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E:\Important\New folder\Price List\"/>
    </mc:Choice>
  </mc:AlternateContent>
  <bookViews>
    <workbookView xWindow="0" yWindow="0" windowWidth="20490" windowHeight="8910" firstSheet="1" activeTab="1"/>
  </bookViews>
  <sheets>
    <sheet name="New Launch Products" sheetId="8" state="hidden" r:id="rId1"/>
    <sheet name="MAIN" sheetId="1" r:id="rId2"/>
    <sheet name="Pack Change" sheetId="6" r:id="rId3"/>
    <sheet name="DISCONTINUED" sheetId="5" r:id="rId4"/>
  </sheets>
  <definedNames>
    <definedName name="_xlnm._FilterDatabase" localSheetId="3" hidden="1">DISCONTINUED!$A$1:$I$1</definedName>
    <definedName name="_xlnm._FilterDatabase" localSheetId="1" hidden="1">MAIN!$A$1:$AB$1183</definedName>
    <definedName name="_xlnm._FilterDatabase" localSheetId="2" hidden="1">'Pack Change'!$A$1:$R$1</definedName>
    <definedName name="_xlnm.Print_Area" localSheetId="1">MAIN!$A$1:$P$862</definedName>
    <definedName name="_xlnm.Print_Titles" localSheetId="1">MAIN!$1:$1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184" i="1" l="1"/>
  <c r="M1184" i="1"/>
  <c r="N1160" i="1" l="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G1168" i="1"/>
  <c r="G1119" i="1"/>
  <c r="G1118" i="1"/>
  <c r="G964" i="1"/>
  <c r="G963" i="1"/>
  <c r="G752" i="1"/>
  <c r="G745" i="1"/>
  <c r="G737" i="1"/>
  <c r="G724" i="1"/>
  <c r="G652" i="1"/>
  <c r="G24" i="1"/>
  <c r="N1152" i="1" l="1"/>
  <c r="N1153" i="1"/>
  <c r="N1154" i="1"/>
  <c r="N1155" i="1"/>
  <c r="N1156" i="1"/>
  <c r="N1157" i="1"/>
  <c r="N1158" i="1"/>
  <c r="N1159"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2" i="1" l="1"/>
</calcChain>
</file>

<file path=xl/sharedStrings.xml><?xml version="1.0" encoding="utf-8"?>
<sst xmlns="http://schemas.openxmlformats.org/spreadsheetml/2006/main" count="14653" uniqueCount="4875">
  <si>
    <t>Product Code</t>
  </si>
  <si>
    <t xml:space="preserve">Brand </t>
  </si>
  <si>
    <t>Tax %</t>
  </si>
  <si>
    <t>HSN Code</t>
  </si>
  <si>
    <t>Composition</t>
  </si>
  <si>
    <t>Molecules</t>
  </si>
  <si>
    <t>Strength</t>
  </si>
  <si>
    <t>Packing</t>
  </si>
  <si>
    <t>MRP</t>
  </si>
  <si>
    <t>Hospital Rate Excl. Tax</t>
  </si>
  <si>
    <t>Offer Rate Excl. Tax</t>
  </si>
  <si>
    <t>Marketing division</t>
  </si>
  <si>
    <t xml:space="preserve">As per Price List
 Current Manufacturing location </t>
  </si>
  <si>
    <t>AMLOKIND-AT</t>
  </si>
  <si>
    <t>EACH UNCOATED TABLET CONTAINS:
AMLODIPINE BESILATE IP 
EQUIVALENT TO AMLODIPINE………..5 MG
ATENOLOL IP…………………………………….50 MG
EXCIPIENTS……………………………………….Q.S.</t>
  </si>
  <si>
    <t>AMLODIPINE 5 MG + ATENOLOL 50 MG</t>
  </si>
  <si>
    <t>Mankind Pharma Ltd.</t>
  </si>
  <si>
    <t>AMLOKIND-2.5</t>
  </si>
  <si>
    <t>EACH FILM COATED TAB CONTAINS:
AMLODIPINE BESILATE I.P.
EQUIVALENT TO AMLODIPINE………….2.5 MG</t>
  </si>
  <si>
    <t>AMLODIPINE 2.5 MG</t>
  </si>
  <si>
    <t>2.5 MG</t>
  </si>
  <si>
    <t>M/s Next Wave (India), Rampur Ghat, Paonta Sahib, Distt. Sirmour (HP)-173025</t>
  </si>
  <si>
    <t>M/s Mediforce Healthcare Pvt. Ltd., Plot No. 8-13, Phase-III, Industrial Area, Gondpur, Paonta Sahib, Distt Sirmour, HP-173025</t>
  </si>
  <si>
    <t>AMLOKIND-5</t>
  </si>
  <si>
    <t>EACH UNCOATED TAB CONTAINS:
AMLODIPINE BESILATE I.P.
EQUIVALENT TO AMLODIPINE………….5 MG</t>
  </si>
  <si>
    <t>AMLODIPINE 5 MG</t>
  </si>
  <si>
    <t>5 MG</t>
  </si>
  <si>
    <t>AMLOKIND-10</t>
  </si>
  <si>
    <t>EACH UNCOATED TAB CONTAINS:
AMLODIPINE BESILATE I.P.
EQUIVALENT TO AMLODIPINE…………...10 MG</t>
  </si>
  <si>
    <t>AMLODIPINE 10 MG</t>
  </si>
  <si>
    <t>10 MG</t>
  </si>
  <si>
    <t>AMLOKIND-H</t>
  </si>
  <si>
    <t>EACH FILM COATED TABLET CONTAINS:
AMLODIPINE BESILATE I.P.
EQUIVALENT TO AMLODIPINE……..5 MG
HYDROCHLOROTHIAZIDE IP………..12.5 MG</t>
  </si>
  <si>
    <t>AMLODIPINE 5 MG + HYDROCHLOROTHIAZIDE IP 12.5 MG</t>
  </si>
  <si>
    <t>AMLOKIND-L</t>
  </si>
  <si>
    <t>EACH FILM COATED TABLET CONTAINS :
AMLODIPINE BESILATE I.P.
EQ. TO AMLODIPINE………………...5 MG
LOSARTAN POTASSIUM I.P……...50 MG</t>
  </si>
  <si>
    <t>AMLODIPINE 5 MG
LOSARTAN POTASSIUM I.P 50 MG</t>
  </si>
  <si>
    <t>M/s Mankind Pharma Ltd., Doring Block, Bermoik Elaka, South-Sikkim 737126</t>
  </si>
  <si>
    <t>ARNISAC-50</t>
  </si>
  <si>
    <t>SCUBITRIL AND VALSARTAN 50MG (24MG+26MG)</t>
  </si>
  <si>
    <t>ARNISAC-100</t>
  </si>
  <si>
    <t>SCUBITRIL AND VALSARTAN 100MG (49MG+51MG)</t>
  </si>
  <si>
    <t>ARNISAC-200</t>
  </si>
  <si>
    <t>SCUBITRIL AND VALSARTAN 200MG (97MG+103MG)</t>
  </si>
  <si>
    <t>BANDY</t>
  </si>
  <si>
    <t>EACH UNCOATED CHEWABLE TAB.CONTAINS:
ALBENDAZOLE I.P……………...400 MG</t>
  </si>
  <si>
    <t>ALBENDAZOLE I.P. 400 MG</t>
  </si>
  <si>
    <t>400 MG</t>
  </si>
  <si>
    <t>M/s Pure &amp; Cure Healthcare Pvt. Ltd. (A Subsidiary of Akums Drugs &amp; Pharmaceuticals Ltd.)
Plot No. 26A, 27-30, Sector-8A, I.I.E., SIDCUL, Ranipur, Haridwar-249403, Uttarakhand.</t>
  </si>
  <si>
    <t>BANDY SUSP</t>
  </si>
  <si>
    <t>EACH 5 ML CONTAINS:
ALBENDAZOLE I.P…………………...200 MG 
FLAVOURED SYRUPY BASE……..Q.S.</t>
  </si>
  <si>
    <t>ALBENDAZOLE I.P. 200 MG</t>
  </si>
  <si>
    <t>200 MG/5ML</t>
  </si>
  <si>
    <t>M/s Penta Kraft, Plot No. 9,10 &amp; 12, Sector-3A, SIDCUL, Haridwar-249403</t>
  </si>
  <si>
    <t>BANDY PLUS</t>
  </si>
  <si>
    <t>EACH UNCOATED CHEWABLE TABLET CONTAINS :
IVERMECTIN I.P……………...6 MG
ALBENDAZOLE I.P……………400 MG</t>
  </si>
  <si>
    <t>IVERMECTIN I.P 6 MG + ALBENDAZOLE I.P. 400 MG</t>
  </si>
  <si>
    <t>BANDY PLUS-12</t>
  </si>
  <si>
    <t>EACH UNCOATED CHEWABLE TABLET CONTAINS :
IVERMECTIN B.P………………..12 MG
ALBENDAZOLE I.P……………...400 MG</t>
  </si>
  <si>
    <t>IVERMECTIN B.P. 12 MG + ALBENDAZOLE I.P. 400 MG</t>
  </si>
  <si>
    <t>BANDY PLUS SUSP</t>
  </si>
  <si>
    <t>EACH 5 ML CONTAINS :
IVERMECTIN BP………………………………...1.5 MG
ALBENDAZOLE IP……………………………...200 MG
IN A FLAVOURED SYRUPY BASE……...Q.S.</t>
  </si>
  <si>
    <t>IVERMECTIN BP 1.5 MG + ALBENDAZOLE IP 200 MG</t>
  </si>
  <si>
    <t>CEFAKIND-250</t>
  </si>
  <si>
    <t>EACH FILM COATED TAB. CONTAINS:
CEFUROXIME AXETIL I.P.
EQ. TO ANHYDROUS CEFUROXIME…………...250 MG</t>
  </si>
  <si>
    <t>CEFUROXIME ANHYDROUS 250 MG</t>
  </si>
  <si>
    <t>250 MG</t>
  </si>
  <si>
    <t>M/s Malik Lifesciences Pvt. Ltd. (A Subsidiary of Akums Drugs &amp; Pharmaceuticals Ltd.) 
Plot No-16, Vardhman Indl. Estate, Vill-Bahadarpur Saini, N.H. 58, Haridwar-247667 (Uttarakhand)</t>
  </si>
  <si>
    <t>M/s Copmed Pharmaceuticals Pvt. Ltd.(Unit-II), Plot No-50 Industrial Area, Gondpur, Poanta Sahib, Distt. Sirmour (HP)-173025</t>
  </si>
  <si>
    <t>CEFAKIND-500</t>
  </si>
  <si>
    <t>EACH FILM COATED TAB. CONTAINS:
CEFUROXIME AXETIL I.P.
EQ. TO ANHYDROUS CEFUROXIME…………..500 MG</t>
  </si>
  <si>
    <t>CEFUROXIME ANHYDROUS 500 MG</t>
  </si>
  <si>
    <t>500 MG</t>
  </si>
  <si>
    <t>CEFAKIND DRY SYRUP</t>
  </si>
  <si>
    <t>EACH 5 ML OF RECONSTITUTED SUSPENSION CONTAINS :
CEFUROXIME AXETIL IP
EQ. TO CEFUROXIME ANHYDROUS…………...125 MG
EXCIPIENTS………………………………………………….Q.S.</t>
  </si>
  <si>
    <t>CEFUROXIME ANHYDROUS 125 MG</t>
  </si>
  <si>
    <t>125 MG/5ML</t>
  </si>
  <si>
    <t>M/s Innova Captab Ltd, 1281/1, Hilltop Industrial Estate, Near EPIP Phase-1 Jharmajri Baddi, Distt. Solan (H.P.)-173205</t>
  </si>
  <si>
    <t>CODISTAR-DX COUGH SYRUP</t>
  </si>
  <si>
    <t>EACH 5 ML CONTAINS :
DEXTROMETHORPHAN HYDROBROMIDE IP……...10 MG
CHLORPHENIRAMINE MALEATE IP……………………...4 MG
FLAVOURED SYRUPY BASE…………………………………..Q.S.</t>
  </si>
  <si>
    <t>DEXTROMETHORPHAN HYDROBROMIDE IP 10 MG + 
CHLORPHENIRAMINE MALEATE IP 4 MG</t>
  </si>
  <si>
    <t>M/s Mankind Pharma Ltd. Village- Kishanpura, P.O Jamniwala, Tehsil- Paonta Sahib, District Sirmour-173025, Himachal Pradesh (INDIA)  UNIT-2</t>
  </si>
  <si>
    <t>M/s Pharma Force Lab. (Unit-II), Plot No. 85 &amp; 86 Indl. Area, Gondpur, Paonta Sahib, Distt. Sirmour (HP)-173025</t>
  </si>
  <si>
    <t>DAFFY BATHING BAR</t>
  </si>
  <si>
    <t>SODIUM POTASSIUM LAURY SULFOSUCCINATE, SODIUM COCO SULPHATE, CETOSTEARYL ALCOHOL, MAIZE STARCH, STEARIC ACID, LAURYL HYDROXY SULTAINE, GLYCERIN, PHOSPHORIC ACID, SODIUM CHLORIDE, LAURIC ACID, AQUA, BUTYROSPERUM PARKII, COCOS NUCIFERA (COCONUT) OIL AND ALOE BARBADENSIS LEAF EXTRACT, 2-OCTYL 1-DECANOL, DISODIUM ETIDRONATE, TITANIUM, DIOXIDE, PERFUME, PENTAERYTHRITYL, TETRA-DI-T-BUTYL, HYDROXYHYDROCINNAMATE, DISODIUM DISTYRYLBIPHENYL DISULFONATE</t>
  </si>
  <si>
    <t>-</t>
  </si>
  <si>
    <t>DAFFY BABY LOTION</t>
  </si>
  <si>
    <t>Aqua, Coco Caprylate/Caprate, Butyrospermum Parkii Butter, Isopropyl Palmitate, Glycerin, Trlheptanoin, Glyceryl Citrate/Lactate/Llnoleate/Oleate, Methyl
Glucose Sesquisterate·, Behenyt Alcohol, Panthenol, Dlmethlcone, Borago Officinalis Seed Oil, Avena Sativa (oat) Kernel Oil, Hellanthus Annuus Oil, Calendula Offrcinans Flower Extract', Glycine Soja Oil, Ceramlde Ill B, Caprylic Capric Triglyceride, Tocopherol,
Phenoxyethanol", Ethylhexyglycerln, Sodium Stearoyl Glutamate•. Citric Acid, Hyrdoxymethoxyphenyl Decanone, Allantion, Trisodium Ethylenediamine Disuccinate, Acrylates Copolymer, Fragrance.</t>
  </si>
  <si>
    <t>DAFFY BABY SHAMPOO</t>
  </si>
  <si>
    <t>Purified Water, Decyl Glucoside, Glycerin, Cocamidopropyl betaine, PEG-120 Methyl Glucose Dioleate, PEG-40 Hydrogenated Castor Oil, Sunfloweroyl Methylglucamide*, Cocoyl Methyl Glucamide*, Capryloyl/ Caproyl Methyl Glucamide (and) Lauroyl /Myristoyl Methyl Glucamide*, Fragrance, Phenoxyethanol, Triethylene glycol, Citric Acid, Chamomilla recutita, Zinc Sulphate, Sodium Hydroxide.</t>
  </si>
  <si>
    <t>ELECTROKIND SACHET</t>
  </si>
  <si>
    <t>EACH SACHET (21.5 GM) CONTAINS :
SODIUM CHLORIDE IP………………………….2.60 GM
POTASSIUM CHLORIDE IP…………………...1.50 GM
SODIUM CITRATE IP…………………………….2.90 GM
DEXTROSE ANHYDROUS IP………………...13.50 GM
EXCIPIENTS…………………………………………..Q.S.</t>
  </si>
  <si>
    <t>FLOZEN PLUS</t>
  </si>
  <si>
    <t>EACH FILM COATED TABLET CONTAINS :
SERRATIOPEPTIDASE IP………………………….15 MG
(EQ. TO ENZYMATIC ACTIVITY………………..30,000 UNITS)
(AS GASTRO-RESISTANT GRANULES)
DICLOFENAC POTASSIUM BP………………….50 MG
PARACETAMOL IP…………………………………….325 MG</t>
  </si>
  <si>
    <t>SERRATIOPEPTIDASE IP 15 MG
(EQ. TO ENZYMATIC ACTIVITY 30,000 UNITS)
(AS GASTRO-RESISTANT GRANULES) + 
DICLOFENAC POTASSIUM BP 50 MG + 
PARACETAMOL IP 325 MG</t>
  </si>
  <si>
    <t>M/s J.K Print Packs (Pharma Division), C-14 to 17, Sara Industrial Estate Ltd., Vill Rampur, Selaqui, Distt Dehradun-248197</t>
  </si>
  <si>
    <t>LECOPE</t>
  </si>
  <si>
    <t>EACH FILM COATED TABLET CONTAINS:
LEVOCETIRIZINE
HYDROCHLORIDE I.P……………………………...5 MG</t>
  </si>
  <si>
    <t>LEVOCETIRIZINE
HYDROCHLORIDE I.P. 5 MG</t>
  </si>
  <si>
    <t>LECOPE-AD (NF)</t>
  </si>
  <si>
    <t>EACH FILM COATED TABLET CONTAINS :
LEVOCETIRIZINE HYDROCHLORIDE IP………..5 MG
PHENYLEPHRINE HYDROCHLORIDE IP………..5 MG
AMBROXOL HYDROCHLORIDE IP………………...60 MG</t>
  </si>
  <si>
    <t>LECOPE SYRUP</t>
  </si>
  <si>
    <t>EACH 5 ML CONTAINS :
LEVOCETIRIZINE HYDROCHLORIDE………………..I.P 2.5 MG
FLAVOURED SYRUPY BASE……………………………..Q.S.</t>
  </si>
  <si>
    <t>LEVOCETIRIZINE HYDROCHLORIDE I.P 2.5 MG</t>
  </si>
  <si>
    <t>2.5 MG/5ML</t>
  </si>
  <si>
    <t>LIPIKIND-10</t>
  </si>
  <si>
    <t>EACH FILM COATED TAB. CONTAINS:
ATORVASTATIN CALCIUM IP EQ. TO
ATORVASTATIN…………………………...10 MG
EXCIPIENTS…………………………………..Q.S.</t>
  </si>
  <si>
    <t>ATORVASTATIN 10 MG</t>
  </si>
  <si>
    <t>LIPIKIND-20</t>
  </si>
  <si>
    <t>EACH FILM COATED TABLET CONTAINS :
ATORVASTATIN CALCIUM IP EQUIVALENT TO 
ATORVASTATIN…………………………..20 MG</t>
  </si>
  <si>
    <t>ATORVASTATIN 20 MG</t>
  </si>
  <si>
    <t xml:space="preserve"> 20 MG</t>
  </si>
  <si>
    <t>LIPIKIND-40</t>
  </si>
  <si>
    <t>EACH FILM COATED TABLET CONTAINS :
ATORVASTATIN CALCIUM IP 
EQUIVALENT TO ATORVASTATIN……………….40 MG
EXCIPIENTS………………………………………………….Q.S.</t>
  </si>
  <si>
    <t>ATORVASTATIN 40 MG</t>
  </si>
  <si>
    <t>40 MG</t>
  </si>
  <si>
    <t>LIPIKIND-80</t>
  </si>
  <si>
    <t>EACH FILM COATED TABLET CONTAINS :
ATORVASTATIN CALCIUM IP 
EQUIVALENT TO ATORVASTATIN  …….. 80 MG</t>
  </si>
  <si>
    <t>ATORVASTATIN 80 MG</t>
  </si>
  <si>
    <t>80 MG</t>
  </si>
  <si>
    <t>LIPIKIND-AS</t>
  </si>
  <si>
    <t>EACH HARD GELATIN CAPSULE CONTAINS :
ATORVASTATIN CALCIUM IP
EQUIVALENT TO ATORVASTATIN ………..10 MG
(AS FILM COATED TABLET)
ASPIRIN IP ……………………………………….……75 MG
(AS ENTERIC COATED PELLETS)</t>
  </si>
  <si>
    <t>ATORVASTATIN 10 MG + 
ASPIRIN IP 75 MG</t>
  </si>
  <si>
    <t>M/s Windlas Biotech Private Limited 
Plant-2, Khasra No. 141 to 143
&amp; 145, Mohabewala Indl. Area, 
Dehradun-248110 (U.K.)
R.O.:40/1, Mohabewala
Indl. Area, Dehradun.</t>
  </si>
  <si>
    <t>LIPIKIND-AS 20</t>
  </si>
  <si>
    <t>EACH HARD GELATIN CAPSULE CONTAINS :
ASPIRIN IP …………………………75 MG
(AS GASTRO-RESISTANT WHITE COLOURED PELLETS)
ATORVASTATIN CALCIUM IP EQ. TO ATOVASTATIN……………………..20 MG
(AS GREEN COLOURED SPHERICAL PELLETS)</t>
  </si>
  <si>
    <t>ASPIRIN IP 75 MG
(AS GASTRO-RESISTANT WHITE COLOURED PELLETS) + 
ATOVASTATIN 20 MG
(AS GREEN COLOURED SPHERICAL PELLETS)</t>
  </si>
  <si>
    <t>LIPIKIND-CV 10 CAPSULES</t>
  </si>
  <si>
    <t>EACH HARD GELATIN CAPSULE CONTAINS:
ATORVASTATIN CALCIUM IP
EQ. TO ATORVASTATIN……………….10 MG
(AS PELLETS)
COLOURS: TARTRAZINE LAKE &amp; BRILLIANT BLUE LAKE
CLOPIDOGREL BISULPHATE IP
EQ. TO CLOPIDOGREL………………….75 MG
(AS PELLETS)
COLOUR: SUNSET YELLOW LAKE
EXCIPIENTS.......................Q.S.
APPROVED COLOURS USED IN EMPTY CAPSULE SHELLLS.</t>
  </si>
  <si>
    <t>ATORVASTATIN 10 MG + CLOPIDOGREL 75 MG</t>
  </si>
  <si>
    <t>LIPIKIND-CV 20 CAPSULES</t>
  </si>
  <si>
    <t>EACH HARD GELATIN CAPSULE CONTAINS:
ATORVASTATIN CALCIUM IP
EQ. TO ATORVASTATIN……………….20 MG
(AS PELLETS)
COLOURS: TARTRAZINE LAKE &amp; BRILLIANT BLUE LAKE
CLOPIDOGREL BISULPHATE IP
EQ. TO CLOPIDOGREL………………….75 MG
(AS PELLETS)
COLOUR: SUNSET YELLOW LAKE
EXCIPIENTS.......................Q.S.
APPROVED COLOURS USED IN EMPTY CAPSULE SHELLLS.</t>
  </si>
  <si>
    <t>ATORVASTATIN 20 MG + CLOPIDOGREL 75 MG</t>
  </si>
  <si>
    <t>LIPIKIND-F</t>
  </si>
  <si>
    <t>EACH FILM COATED TABLET CONTAINS :
ATORVASTATIN CALCIUM IP
EQ. TO ATORVASTATIN…………………….10 MG
FENOFIBRATE IP……………………………….160 MG</t>
  </si>
  <si>
    <t>ATORVASTATIN 10 MG + 
FENOFIBRATE IP 160 MG</t>
  </si>
  <si>
    <t>LIPIKIND-PLUS</t>
  </si>
  <si>
    <t>EACH HARD GELATIN CAPSULE CONTAINS :
ATORVASTATIN CALCIUM IP
EQUIVALENT TO ATORVASTATIN ………..10 MG
(AS A FILM COATED TABLET,
COLOURS : PONCEAU 4R &amp; RED OXIDE OF IRON)
CLOPIDOGREL BISULPHATE IP
EQUIVALENT TO CLOPIDOGREL ………..…75 MG
ASPIRIN IP ………………………………….........…75 MG
(AS A ENTERIC COATED TABLET,
COLOURS:SUNSET YELLOW FCF &amp; TITANIUM DIOXIDE IP)
APPROVED COLOURS USED IN EMPTY CAPSULE SHELL.</t>
  </si>
  <si>
    <t>ATORVASTATIN 10 MG + CLOPIDOGREL 75 MG + ASPIRIN IP 75 MG</t>
  </si>
  <si>
    <t>M/s Tristar Formulations Pvt. Limited., Plot No.A-116 &amp; A-117, 27th Cross, PIPDIC Industrial Estate, Mettupalayam, Puducherry-605009</t>
  </si>
  <si>
    <t>LIPIKIND-PLUS-20</t>
  </si>
  <si>
    <t xml:space="preserve">EACH HARD GELATIN CAPSULE CONTAINS :
ATORVASTATIN CALCIUM IP
EQUIVALENT TO ATORVASTATIN ………..20 MG
(AS TWO WHITE COLOURED FILM COATED TABLET, EACH CONTAINING 10 MG ATORVASATIN TABLETS IP)
COLOUR : TITANIUM DIOXIDE IP
CLOPIDOGREL BISULPHATE IP
EQUIVALENT TO CLOPIDOGREL …………75 MG
(AS TWO REDDISH BROWN COLOURED FILM COATED TABLETS, EACH CONTAINING...............37.5 MG CLOPIDOGREL TABLETS IP)
COLOURS: FERRIC OXIDE RED USP-NF &amp; TITANIUM DIOXIDE IP)
ASPIRIN IP …....................……………………75 MG
(AS ENTERIC COATED WHITE COLOURED PELLETS)
EXCIPIENTS............................................Q.S. </t>
  </si>
  <si>
    <t>ATORVASTATIN 20 MG + CLOPIDOGREL 75 MG + ASPIRIN IP 75 MG</t>
  </si>
  <si>
    <t>LONGIFENE-DS SYRUP</t>
  </si>
  <si>
    <t>EACH 5 ML CONTAINS :
BUCLIZINE HYDROCHLORIDE IP ……………12 MG
IN A FLAVOURED SYRUPY BASE</t>
  </si>
  <si>
    <t>BUCLIZINE HYDROCHLORIDE IP 12 MG</t>
  </si>
  <si>
    <t>12 MG/5ML</t>
  </si>
  <si>
    <t>LONGIFENE SYRUP</t>
  </si>
  <si>
    <t xml:space="preserve">EACH 5 ML CONTAINS:
BUCLIZINE HYDROCHLORIDE  IP……………..6 MG
IN A FLAVOURED SYRUPY BASE </t>
  </si>
  <si>
    <t>BUCLIZINE HYDROCHLORIDE IP 6 MG</t>
  </si>
  <si>
    <t>6 MG/5ML</t>
  </si>
  <si>
    <t>LOSAKIND-25</t>
  </si>
  <si>
    <t>EACH FILM COATED TABLET CONTAINS :
LOSARTAN POTASSIUM I.P.  ………..25 MG
EXCIPIENTS…………………………………Q.S.</t>
  </si>
  <si>
    <t>LOSARTAN POTASSIUM I.P. 25 MG</t>
  </si>
  <si>
    <t>25 MG</t>
  </si>
  <si>
    <t>LOSAKIND-50</t>
  </si>
  <si>
    <t>EACH FILM COATED TABLET CONTAINS :
LOSARTAN POTASSIUM I.P.………………..50 MG
EXCIPIENTS …………………..q.s.</t>
  </si>
  <si>
    <t>LOSARTAN POTASSIUM I.P. 50 MG</t>
  </si>
  <si>
    <t>50 MG</t>
  </si>
  <si>
    <t>LOSAKIND-H</t>
  </si>
  <si>
    <t>EACH FILM COATED TABLET CONTAINS :
LOSARTAN POTASSIUM I.P.………………..50 MG
HYDROCHLOROTHIAZIDE    IP ……….12.5 MG
EXCIPIENTS ………………………………………..Q..S.</t>
  </si>
  <si>
    <t>LOSARTAN POTASSIUM I.P. 50 MG + 
HYDROCHLOROTHIAZIDE IP 12.5 MG</t>
  </si>
  <si>
    <t>MAHACEF-PLUS</t>
  </si>
  <si>
    <t>EACH FILM COATED TABLET CONTAINS :
CEFIXIME IP AS TRIHYDRATE
EQUIVALENT TO ANHYDROUS CEFIXIME ….200 MG
OFLOXACIN IP …………………………………..200 MG
EXCIPIENTS …………………………….Q.S.</t>
  </si>
  <si>
    <t>CEFIXIME 200 MG + 
OFLOXACIN IP 200 MG</t>
  </si>
  <si>
    <t>MAHACEF-PLUS 100</t>
  </si>
  <si>
    <t>EACH UNCOATED DISPERSIBLE TABLET CONTAINS :
CEFIXIME IP 
EQUIVALENT TO ANHYDROUS CEFIXIME ….100 MG
OFLOXACIN IP …………………………………..100 MG
EXCIPIENTS …………………………….Q.S.</t>
  </si>
  <si>
    <t>CEFIXIME 100 MG + 
OFLOXACIN IP 100 MG</t>
  </si>
  <si>
    <t>MANKIND'S PLACIDA</t>
  </si>
  <si>
    <t>EACH FILM COATED TABLET CONTAINS :
FLUPENTIXOL HYDROCHLORIDE BP
EQ. TO FLUPENTIXOL ………………….0.5 MG
MELITRACEN HYDROCHLORIDE
EQ. TO MELITRACEN ……………………..10 MG
EXCIPIENTS …………………………….Q.S.</t>
  </si>
  <si>
    <t>FLUPENTIXOL 0.5 MG + 
MELITRACEN 10 MG</t>
  </si>
  <si>
    <t>MOXIKIND-CV 375</t>
  </si>
  <si>
    <t>EACH FILM COATED TABLET CONTAINS :
AMOXYCILLIN TRIHYDRATE I.P.
EQ. TO AMOXYCILLIN …………………….250 MG
POTASSIUM CLAVULANATE DILUTED I.P.
EQ. TO CLAVULANIC ACID ………… 125 MG</t>
  </si>
  <si>
    <t>AMOXYCILLIN 250 MG + 
POTASSIUM CLAVULANATE DILUTED I.P.
EQ. TO CLAVULANIC ACID 125 MG</t>
  </si>
  <si>
    <t>MOXIKIND-CV 625</t>
  </si>
  <si>
    <t>EACH FILM COATED TABLET CONTAINS :
AMOXYCILLIN TRIHYDRATE I.P.
EQ. TO AMOXYCILLIN …………………….500 MG
POTASSIUM CLAVULANATE DILUTED I.P.
EQ. TO CLAVULANIC ACID ……………… 125 MG</t>
  </si>
  <si>
    <t>AMOXYCILLIN 500 MG + 
POTASSIUM CLAVULANATE DILUTED I.P.
EQ. TO CLAVULANIC ACID 125 MG</t>
  </si>
  <si>
    <t>MOXIKIND CV 1 GM</t>
  </si>
  <si>
    <t>EACH FILM COATED TABLET CONTAINS :
AMOXYCILLIN TRIHYDRATE I.P.
EQ. TO AMOXYCILLIN …………………….875 MG
POTASSIUM CLAVULANATE DILUTED I.P.
EQ. TO CLAVULANIC ACID …………… 125 MG
EXCIPIENTS ………………………………Q.S.</t>
  </si>
  <si>
    <t>AMOXYCILLIN 875 MG + 
POTASSIUM CLAVULANATE DILUTED I.P.
EQ. TO CLAVULANIC ACID 125 MG</t>
  </si>
  <si>
    <t>MOXIKIND-CV KID</t>
  </si>
  <si>
    <t>EACH DISPERSIBLE TABLET CONTAINS :
AMOXYCILLIN TRIHYDRATE I.P.
EQ. TO AMOXYCILLIN ………………….200 MG
POTASSIUM CLAVULANATE DILUTED I.P.
EQ. TO CLAVULANIC ACID ……………… 28.5 MG</t>
  </si>
  <si>
    <t>AMOXYCILLIN 200 MG + 
POTASSIUM CLAVULANATE DILUTED I.P.
EQ. TO CLAVULANIC ACID 28.5 MG</t>
  </si>
  <si>
    <t>MOXIKIND CV DRY SYRUP</t>
  </si>
  <si>
    <t>EACH 5 ML OF CONSTITUTED SUSPENSION CONTAINS :
AMOXYCILLIN TRIHYDRATE I.P.
EQ. TO AMOXYCILLIN …………… 200 MG
POTASSIUM CLAVULANATE DILUTED I.P.
EQ. TO CLAVULANIC ACID …….. 28.5 MG</t>
  </si>
  <si>
    <t>MOXIKIND-CV DROPS</t>
  </si>
  <si>
    <t>EACH ML OF CONSTITUTED SUSPENSION CONTAINS :
AMOXYCILLIN TRIHYDRATE IP
EQUIVALENT TO AMOXYCILLIN ………80 MG
POTASSIUM CLAVULANATE DILUTED IP
EQUIVALENT TO CLAVULANIC ACID …11.4 MG</t>
  </si>
  <si>
    <t>AMOXYCILLIN 80 MG + 
POTASSIUM CLAVULANATE DILUTED I.P.
EQ. TO CLAVULANIC ACID 11.4 MG</t>
  </si>
  <si>
    <t>MOXIKIND-CV FORTE DRY SYRUP</t>
  </si>
  <si>
    <t>EACH 5 ML OF RECONSTITUTED SUSPENSION CONTAINS :
AMOXYCILLIN TRIHYDRATE IP
EQUIVALENT TO AMOXYCILLIN …………….400 MG
POTASSIUM CLAVULANATE DILUTED IP
EQUIVALENT TO CLAVULANIC ACID ……….57 MG</t>
  </si>
  <si>
    <t>AMOXYCILLIN 400 MG + 
POTASSIUM CLAVULANATE DILUTED I.P.
EQ. TO CLAVULANIC ACID 57 MG</t>
  </si>
  <si>
    <t>MOXIKIND-CV ES DRY SYRUP</t>
  </si>
  <si>
    <t>EACH 5 ML OF CONSTITUTED SUSPENSION CONTAINS:
AMOXYCILLIN TRIHYDRATE IP
EQ. TO AMOXYCILLIN………..600 MG
POTASSIUM CLAVULANATE DILUTED IP
EQ. TO CLAVULANIC ACID….42.9 MG
EXCIPIENTS…………………..Q.S.</t>
  </si>
  <si>
    <t>AMOXYCILLIN 600 MG + 
POTASSIUM CLAVULANATE DILUTED I.P.
EQ. TO CLAVULANIC ACID 42.9 MG</t>
  </si>
  <si>
    <t>NUROKIND FAST STRIP</t>
  </si>
  <si>
    <t>EACH ORALLY DISINTEGRATING STRIP CONTAINS:
MECOBALAMIN JP …………………..1500 MCG
APPROPRIATE OVERAGE OF VITAMIN IS ADDED</t>
  </si>
  <si>
    <t>MECOBALAMIN JP 1500 MCG</t>
  </si>
  <si>
    <t>1500 MCG</t>
  </si>
  <si>
    <t>NUROKIND-LC</t>
  </si>
  <si>
    <t>EACH FILM COATED TABLET CONTAINS :
L-CARNITINE L-TARTRATE
EQUIVALENT TO L-CARNITINE ………500 MG
METHYLCOBALAMIN ………………….1500 MCG
FOLIC ACID IP …………………………..1.5 MG</t>
  </si>
  <si>
    <t>L-CARNITINE L-TARTRATE EQUIVALENT TO L-CARNITINE 500 MG + 
METHYLCOBALAMIN 1500 MCG + 
FOLIC ACID IP 1.5 MG</t>
  </si>
  <si>
    <t>NUROKIND-LC INJ.</t>
  </si>
  <si>
    <t>EACH ML CONTAINS: 
LEVOCARNITINE USP ……….…  200 MG.
(AS PRESERVATIVE)
WATER FOR INJECTION IP ……………..Q.S.</t>
  </si>
  <si>
    <t>LEVOCARNITINE USP 200 MG.</t>
  </si>
  <si>
    <t>200 MG.</t>
  </si>
  <si>
    <t>NUROKIND-OD</t>
  </si>
  <si>
    <t>EACH UNCOATED SUBLINGUAL TABLET CONTAINS :
MECOBALAMIN ………………………..1500 MCG
EXCIPIENTS ………………………………. Q.S.</t>
  </si>
  <si>
    <t>MECOBALAMIN 1500 MCG</t>
  </si>
  <si>
    <t>NUROKIND-OD INJ</t>
  </si>
  <si>
    <t>EACH ML CONTAINS :
MECOBALAMIN …………………..1500 MCG
BENZYL ALCOHOL IP ………………….2% V/V
(AS PRESERVATIVE)
WATER FOR INJECTION IP ……………Q.S.</t>
  </si>
  <si>
    <t>M/s Mankind Pharma Ltd.
Village- Kishanpura, P.O Jamniwala, Tehsil- Paonta Sahib, District Sirmour-173025, Himachal Pradesh (INDIA) Unit-1.</t>
  </si>
  <si>
    <t>NUROKIND-500</t>
  </si>
  <si>
    <t>EACH UNCOATED TABLET CONTAINS :
MECOBALAMIN JP …….. 500 MCG</t>
  </si>
  <si>
    <t>MECOBALAMIN 500 MCG</t>
  </si>
  <si>
    <t>500 MCG</t>
  </si>
  <si>
    <t>NUROKIND INJ</t>
  </si>
  <si>
    <t>EACH AMPOULE CONTAINS:
METHYLCOBALAMIN ……….…  500 MCG.
BENZYL ALCOHOL IP ………………….2% W/V
(AS PRESERVATIVE)
WATER FOR INJECTION IP ……………..Q.S.</t>
  </si>
  <si>
    <t>NOBEL</t>
  </si>
  <si>
    <t>EACH UNCOATED TAB. CONTAINS:
NIMESULIDE BP.................................. 100 MG.
BETA-CYCLODEXTRIN. AS EXCIPIENT</t>
  </si>
  <si>
    <t>NIMESULIDE BP 100 MG</t>
  </si>
  <si>
    <t>100 MG.</t>
  </si>
  <si>
    <t>NOBEL-MR</t>
  </si>
  <si>
    <t>EACH UNCOATED TAB. CONTAINS:
PARACETAMOL I.P. ……..325 MG
NIMESULIDE B.P.............…100 MG 
TIZANIDINE HYDROCHLORIDE I.P.
EQ. TO TIZANIDINE …………………  2 MG.
BETA CYCLODEXTRIN AS EXCIPIENT</t>
  </si>
  <si>
    <t>PARACETAMOL I.P.  325 MG + 
NIMESULIDE B.P. 100 MG +
TIZANIDINE 2 MG</t>
  </si>
  <si>
    <t>NOBEL PLUS</t>
  </si>
  <si>
    <t>EACH UNCOATED TAB. CONTAINS:
NIMESULIDE B.P....................100 MG 
ACETAMINOPHEN I.P...........325 MG
EXCIPIENTS ………………………..Q.S.</t>
  </si>
  <si>
    <t>NIMESULIDE B.P. 100 MG + 
ACETAMINOPHEN I.P. 325 MG</t>
  </si>
  <si>
    <t>NOBEL SPAS NEW</t>
  </si>
  <si>
    <t>EACH FILM COATED TAB. CONTAINS:
DROTAVENINE HYDROCHLORIDE …….80 MG
ACECLOFENAC IP...................................100 MG.
EXCIPIENTS………………………………………….Q.S</t>
  </si>
  <si>
    <t>DROTAVENINE HYDROCHLORIDE  80 MG + 
ACECLOFENAC IP 100 MG</t>
  </si>
  <si>
    <t>NOBEL-SPAS RF INJECTION</t>
  </si>
  <si>
    <t>EACH ML CONTAINS :
DICYCLOMINE HYDROCHLORIDE IP………..10 MG
DICLOFENAC SODIUM IP……………………25 MG
BENZYLKONIUM CHLORIDE SOLUTION IP …….0.05% W/V
(AS PRESERVATIVE)
WATER FOR INJECTION IP ……………….Q.S.</t>
  </si>
  <si>
    <t xml:space="preserve">DICYCLOMINE HYDROCHLORIDE IP 10 MG + 
DICLOFENAC SODIUM IP 25 MG </t>
  </si>
  <si>
    <t>NOSIKIND-0.1% NASAL SPRAY</t>
  </si>
  <si>
    <t>XYLOMETAZOLINE HYDROCHLORIDE IP ….0.1% W/V
BENALKONIUM CHLORIDE SOLUTION IP ..0.02% W/V
(AS PRESERVATIVE)
IN AN AQUEOUS ISOTONIC SOLUTION 
USING PURIFIED WATER IP……………….Q.S.</t>
  </si>
  <si>
    <t>M/s Om Sai Pharma Pack, Plot No. 38 &amp; 39 Sector 11, IIE, SIDCUL, Haridwar-249403</t>
  </si>
  <si>
    <t>NOSIKIND-P NASAL SPRAY</t>
  </si>
  <si>
    <t>XYLOMETAZOLINE HYDROCHLORIDE IP ….0.05% W/V
BENALKONIUM CHLORIDE SOLUTION IP ..0.02% W/V
(AS PRESERVATIVE)
IN AN AQUEOUS ISOTONIC SOLUTION 
USING PURIFIED WATER IP……………….Q.S.</t>
  </si>
  <si>
    <t>NUFORCE-50</t>
  </si>
  <si>
    <t>EACH UNCOATED TAB. CONTAINS
FLUCONAZOLE IP...................................50 MG</t>
  </si>
  <si>
    <t>NUFORCE-150</t>
  </si>
  <si>
    <t>EACH UNCOATED TAB. CONTAINS
FLUCONAZOLE IP...................................150 MG</t>
  </si>
  <si>
    <t>150 MG</t>
  </si>
  <si>
    <t>NUFORCE-200</t>
  </si>
  <si>
    <t>EACH UNCOATED TAB. CONTAINS
FLUCONAZOLE IP...................................200 MG</t>
  </si>
  <si>
    <t>FLUCONAZOLE IP 200 MG</t>
  </si>
  <si>
    <t>200 MG</t>
  </si>
  <si>
    <t>NUFORCE-400</t>
  </si>
  <si>
    <t>EACH UNCOATED TAB. CONTAINS
FLUCONAZOLE IP...................................400 MG
EXCIPIENTS ………………………………….Q.S.</t>
  </si>
  <si>
    <t>FLUCONAZOLE IP 400 MG</t>
  </si>
  <si>
    <t>NUFORCE-GM (NF)</t>
  </si>
  <si>
    <t>COMPOSITION
BECLOMETHASONE DIPROPIONATE I.P. ..0.025% W/W
CLOTRIMAZOLE I.P. …………….1% W/W
NEOMYCIN SULPHATE I.P. ………………..0.5% W/W
IN A CREAM BASE WITH PROPYLENE GLYCOL I.P.
PRESERVATIVES :
CHLOROCRESOL I.P. ………………………..0.1% W/W</t>
  </si>
  <si>
    <t>BECLOMETHASONE DIPROPIONATE I.P.  0.025% W/W + 
CLOTRIMAZOLE I.P.  1% W/W + 
NEOMYCIN SULPHATE I.P. 0.5% W/W</t>
  </si>
  <si>
    <t>M/s Sirmour Remedies Pvt. Ltd., Village Kayarda, PO Missarwala, Poanta Sahib, Distt. Sirmour (HP)-173025</t>
  </si>
  <si>
    <t>ORAWAYS BUCCAL PASTE</t>
  </si>
  <si>
    <t>TRIAMCINOLONE ACETONIDE IP……..0.1%W/W
IN BUCCAL PASTE</t>
  </si>
  <si>
    <t>TRIAMCINOLONE ACETONIDE IP 0.1%W/W</t>
  </si>
  <si>
    <t>0.1%W/W</t>
  </si>
  <si>
    <t>OTOCIN-C EAR DROPS</t>
  </si>
  <si>
    <t>PREDNISOLONE ACETATE IP ……………..0.5% W/V
CHLORAMPHENICOL IP ……………………….5% W/V
GLACIAL ACETIC ACID IP ………………..2% W/V
BENZOCAINE IP ……………………..3% W/V
BENZYL ALCOHOL IP ……………………..2% W/V
(AS PRESERVATIVE)
PROPYLENE GLYCOL IP BASE …………………………Q.S.</t>
  </si>
  <si>
    <t>PREDNISOLONE ACETATE IP  0.5% W/V + 
CHLORAMPHENICOL IP  5% W/V + 
GLACIAL ACETIC ACID IP 2% W/V + 
BENZOCAINE IP  3% W/V</t>
  </si>
  <si>
    <t>RABEKIND-20</t>
  </si>
  <si>
    <t>EACH GASTRO-RESISTANT TABLET CONTAINS :
RABEPRAZOLE SODIUM I.P. ……… 20 MG.
EXCIPIENTS …………………………………Q.S.</t>
  </si>
  <si>
    <t>RABEPRAZOLE SODIUM I.P. 20 MG</t>
  </si>
  <si>
    <t>20 MG.</t>
  </si>
  <si>
    <t>RABEKIND-PLUS</t>
  </si>
  <si>
    <t>EACH GASTRO-RESISTANT BILAYERED TABLET CONTAINS:
RABEPRAZOLE SODIUM IP ……………20 MG
LEVOSULPIRIDE ……………75 MG
(IN SUSTAINED RELEASE FORM)</t>
  </si>
  <si>
    <t>RABEPRAZOLE SODIUM IP  20 MG + 
LEVOSULPIRIDE 75 MG</t>
  </si>
  <si>
    <t>RABEKIND-DSR</t>
  </si>
  <si>
    <t>EACH HARD GELATIN CONTAINS :
RABEPRAZOLE SODIUM I.P.……. 20 MG
(AS GASTRO-RESISTANT PELLETS)
DOMPERIDONE I.P. …… 30 MG
(AS SUSTAINED RELEASE PELLETS)</t>
  </si>
  <si>
    <t>RABEPRAZOLE SODIUM I.P. 20 MG + 
DOMPERIDONE I.P. 30 MG</t>
  </si>
  <si>
    <t>RANIDOM (NF)</t>
  </si>
  <si>
    <t>EACH GASTRO-RESISTANT TABLET CONTAINS :
OMEPRAZOLE MAGNESIUM BP
EQUIVALENT TO OMEPRAZOLE …………….10 MG
DOMPERIDONE IP ……………………………15 MG</t>
  </si>
  <si>
    <t>OMEPRAZOLE 10 MG + 
DOMPERIDONE IP 15 MG</t>
  </si>
  <si>
    <t>RANISPAS (NF)</t>
  </si>
  <si>
    <t>EACH GASTRO-RESISTANT TABLET CONTAINS :
OMEPERAZOLE MAGNESIUM BP
EQUIVALENT TO OMEPRAZOLE ………………10 MG
DICYCLOMINE HYDROCHLORIDE IP ………….10 MG</t>
  </si>
  <si>
    <t>TELMIKIND-AM</t>
  </si>
  <si>
    <t>EACH UNCOATED BILAYERED TABLET CONTAINS :
TELMISARTAN IP ……………………….40 MG
AMLODIPINE BESILATE IP 
EQUIVALENT TO AMLODIPINE ………… 5 MG</t>
  </si>
  <si>
    <t>TELMISARTAN IP 40 MG + 
AMLODIPINE 5 MG</t>
  </si>
  <si>
    <t xml:space="preserve">TELMIKIND-AM 80 </t>
  </si>
  <si>
    <t>EACH UNCOATED BILAYERED TABLET CONTAINS :
TELMISARTAN IP ……………………….80 MG
AMLODIPINE BESILATE IP 
EQUIVALENT TO AMLODIPINE ………… 5 MG</t>
  </si>
  <si>
    <t>TELMISARTAN IP 80 MG + 
AMLODIPINE 5 MG</t>
  </si>
  <si>
    <t>TELMIKIND-AMH</t>
  </si>
  <si>
    <t>EACH UNCOATED BILAYERED TABLET CONTAINS :
TELMISARTAN IP ……………………….40 MG
AMLODIPINE BESILATE IP
EQ. TO AMLODIPINE …………………….5 MG
HYDROCHLOROTHIAZIDE IP …………..12.5 MG
EXCIPIENTS …………………………….Q.S.</t>
  </si>
  <si>
    <t>TELMISARTAN IP 40 MG + 
AMLODIPINE 5 MG + HYDROCHLOROTHIAZIDE IP 12.5 MG</t>
  </si>
  <si>
    <t>TELMIKIND-H</t>
  </si>
  <si>
    <t>EACH UNCOATED BILAYERED TABLET CONTAINS :
TELMISARTAN IP…………40 MG
HYDROCHLOROTHIAZIDE IP ……………12.5 MG
EXCIPIENTS ………………Q.S.</t>
  </si>
  <si>
    <t>TELMISARTAN IP 40 MG + 
HYDROCHLOROTHIAZIDE IP 12.5 MG</t>
  </si>
  <si>
    <t>TELMIKIND-H 80</t>
  </si>
  <si>
    <t>EACH UNCOATED BILAYERED TABLET CONTAINS :
TELMISARTAN IP …………………………………80 MG
HYDROCHLOROTHIAZIDE IP ………….12.5 MG
EXCIPIENTS …………………………………………Q.S.</t>
  </si>
  <si>
    <t>TELMISARTAN IP 80 MG + 
HYDROCHLOROTHIAZIDE IP 12.5 MG</t>
  </si>
  <si>
    <t>TELMIKIND-20</t>
  </si>
  <si>
    <t>EACH UNCOATED TABLET CONTAINS :
TELMISARTAN IP………………………………20 MG
EXCIPIENTS …………………………….Q.S.</t>
  </si>
  <si>
    <t>TELMISARTAN IP 20 MG</t>
  </si>
  <si>
    <t>20 MG</t>
  </si>
  <si>
    <t>TELMIKIND-40</t>
  </si>
  <si>
    <t>EACH UNCOATED TABLET CONTAINS :
TELMISARTAN IP…………………40 MG
EXCIPIENTS ……....Q.S.</t>
  </si>
  <si>
    <t>TELMISARTAN IP 40 MG</t>
  </si>
  <si>
    <t>TELMIKIND-80</t>
  </si>
  <si>
    <t>EACH UNCOATED TABLET CONTAINS :
TELMISARTAN IP ……………………….80 MG
EXCIPIENTS ……………………………….Q.S.</t>
  </si>
  <si>
    <t>TELMISARTAN IP 80 MG</t>
  </si>
  <si>
    <t>TELMIKIND-BETA 25</t>
  </si>
  <si>
    <t>EACH  FILM COATED BILAYERED TABLET CONTAINS :
TELMISARTAN IP ……………………….40 MG
METOPROLOL SUCCINATE USP …………23.75 MG
EQ. TO METOPROLOL TARTRATE …….25 MG
(AS EXTENDED RELEASE FORM)</t>
  </si>
  <si>
    <t>TELMISARTAN IP 40 MG + 
METOPROLOL SUCCINATE USP 23.75 MG
EQ. TO METOPROLOL TARTRATE 25 MG</t>
  </si>
  <si>
    <t>M/s Ravenbhel Biotech, EPIP, SIDCO, Kartholi, Bari Brahmana, Jammu-181133</t>
  </si>
  <si>
    <t>M/s Ravenbhel Healthcare Pvt Ltd, 16-17, EPIP, SIDCO, Kartholi, Bari Brahmana, Jammu-181133</t>
  </si>
  <si>
    <t>TELMIKIND-BETA 50</t>
  </si>
  <si>
    <t>EACH  FILM COATED BILAYERED TABLET CONTAINS :
TELMISARTAN IP ……………………….40 MG
METOPROLOL SUCCINATE USP …………47.5 MG
EQ. TO METOPROLOL TARTRATE ………..50 MG
(AS EXTENDED RELEASE FORM)</t>
  </si>
  <si>
    <t>TELMISARTAN IP 40 MG + 
METOPROLOL SUCCINATE USP 47.5 MG
EQ. TO METOPROLOL TARTRATE 50 MG</t>
  </si>
  <si>
    <t>TELMIKIND-TRIO 6.25 TABLETS</t>
  </si>
  <si>
    <t>EACH  FILM COATED TABLET CONTAINS :
CILNIDIPINE IP …………………………10 MG
TELMISARTAN IP ……………………….40 MG
CHLORTHALIDONE IP …………………..6.25 MG</t>
  </si>
  <si>
    <t>CILNIDIPINE IP 10 MG + 
TELMISARTAN IP 40 MG + 
CHLORTHALIDONE IP 6.25 MG</t>
  </si>
  <si>
    <t>TELMIKIND-TRIO 12.5 TABLETS</t>
  </si>
  <si>
    <t>EACH  FILM COATED TABLET CONTAINS :
CILNIDIPINE IP …………………………10 MG
TELMISARTAN IP ……………………….40 MG
CHLORTHALIDONE IP …………………..12.5 MG</t>
  </si>
  <si>
    <t>CILNIDIPINE IP 10 MG + 
TELMISARTAN IP 40 MG + 
CHLORTHALIDONE IP 12.5 MG</t>
  </si>
  <si>
    <t>T-98 SUSP</t>
  </si>
  <si>
    <t>EACH 5 ML. CONTAINS:
PARACETAMOL I.P..................................... 125 MG
IN A FLAVOURED SYRUPY BASE</t>
  </si>
  <si>
    <t>PARACETAMOL I.P. 125 MG</t>
  </si>
  <si>
    <t>M/s Cris Pharma (India) Limited, E-11 UPSIDC Ind. Area, Selaqui Dehradun-248197</t>
  </si>
  <si>
    <t>M/s Indu Drugs Pvt Ltd., 5-5-35/278, 279 &amp; 281/1 (Part), Prasanthi Nagar IDA, Kukatpally, Hyderabad-500072</t>
  </si>
  <si>
    <t>T-98 DROPS</t>
  </si>
  <si>
    <t>EACH ML (APPROX. 20 DROPS) CONTAINS
PARACETAMOL IP...............................…100 MG</t>
  </si>
  <si>
    <t>PARACETAMOL I.P. 100 MG</t>
  </si>
  <si>
    <t>100 MG</t>
  </si>
  <si>
    <t>T-98 JUNIOR</t>
  </si>
  <si>
    <t>EACH UNCOATED DISPERSIBLE TAB. CONTAINS:
PARACETAMOL IP..................................... 250 MG
EXCIPIENTS ………………………………Q.S.</t>
  </si>
  <si>
    <t>PARACETAMOL I.P. 250 MG</t>
  </si>
  <si>
    <t>T-98 TABLET</t>
  </si>
  <si>
    <t>EACH UNCOATED TABLET CONTAINS:
PARACETAMOL I.P. ………………………….500 MG
EXCIPIENTS ………………………………Q.S.</t>
  </si>
  <si>
    <t>PARACETAMOL I.P. 500 MG</t>
  </si>
  <si>
    <t>T-98 DS SUSP</t>
  </si>
  <si>
    <t>EACH 5 ML CONTAINS :
PARACETAMOL IP ………………………..250 MG
FLAVOURED SYRUPY BASE ………….Q.S.</t>
  </si>
  <si>
    <t>250 MG/5ML</t>
  </si>
  <si>
    <t>UNWANTED-KIT</t>
  </si>
  <si>
    <t>EACH KIT CONTAINS :
(A) ONE MIFEPRISTONE TABLET
EACH UNCOATED TABLET CONTAINS :
MIFEPRISTONE ………………….200 MG
(B) FOUR MISOPROSTOL TABLETS
EACH UNCOATED TABLET CONTAINS :
MISOPROSTOL ……………..200 MCG</t>
  </si>
  <si>
    <t>(A) ONE MIFEPRISTONE TABLET
MIFEPRISTONE 200 MG + 
(B) FOUR MISOPROSTOL TABLETS
MISOPROSTOL 200 MCG</t>
  </si>
  <si>
    <t>VOMIKIND-FAST STRIP</t>
  </si>
  <si>
    <t>EACH ORALLY DISINTEGRATING STRIP CONTAINS :
ONDANSETRON HYDROCHLORIDE I.P.
EQUIVALENT TO ONDANSETRON ……………4 MG</t>
  </si>
  <si>
    <t>ONDANSETRON  4 MG</t>
  </si>
  <si>
    <t>4 MG</t>
  </si>
  <si>
    <t>VOMIKIND-MD 2</t>
  </si>
  <si>
    <t>EACH UNCOATED TABLET CONTAINS :
ONDANSETRON …………………………..2 MG
(AS ONDANSETRON HYDROCHLORIDE IP)
EXCIPIENTS …………………………………Q.S.</t>
  </si>
  <si>
    <t>ONDANSETRON 2 MG</t>
  </si>
  <si>
    <t>2 MG</t>
  </si>
  <si>
    <t>VOMIKIND-MD 4</t>
  </si>
  <si>
    <t>EACH UNCOATED TABLET CONTAINS :
ONDANSETRON …………………………………4 MG
(AS ONDANSETRON HYDROCHLORIDE IP)
EXCIPIENTS ………………………………………Q.S.</t>
  </si>
  <si>
    <t>VOMIKIND INJ</t>
  </si>
  <si>
    <t>EACH ML CONTAINS :
ONDANSETRON HYDROCHLORIDE IP
EQUIVALENT TO ONDANSETRON …… 2 MG
WATER FOR INJECTION I.P. …….. Q.S.</t>
  </si>
  <si>
    <t>EACH ML CONTAINS:
ONDANSETRON HYDROCHLORIDE IP
EQ. TO ONDANSETRON …….……………2MG
METHYL PARABEN    I.P.   ……………...1.2MG
(AS PRESERVATIVE)
PROPYL PARABEN    I.P. …..………….0.15MG
(AS PRESERVATIVE)
WATER FOR INJECTION I.P…………………….Q.S.</t>
  </si>
  <si>
    <t>VOMIKIND SYRUP</t>
  </si>
  <si>
    <t>EACH 5 ML CONTAINS : 
ONDANSETRON HYDROCHLORIDE IP
EQUIVALENT TO ONDANSETRON … 2 MG
IN A FLAVOURED SYRUPY BASE</t>
  </si>
  <si>
    <t>2 MG/5ML</t>
  </si>
  <si>
    <t>ZENFLOX EYE DROPS</t>
  </si>
  <si>
    <t>OFLOXACIN  I.P.………………………...... 0.3% w/v
BENZALKONIUM CHLORIDE SOLUTION IP ……..0.02% W/V
(AS PRESERVATIVE)
STERILE AQUEOUS VEHICLE …………..Q.S.</t>
  </si>
  <si>
    <t>OFLOXACIN  I.P. 0.3% w/v</t>
  </si>
  <si>
    <t>ZENFLOX- I.V.</t>
  </si>
  <si>
    <t>EACH 100 ML. CONTAINS
OFLOXACIN I.P.....................................200 MG
SODIUM CHLORIDE I.P. ………………900 MG
WATER FOR INJECTION I.P. ……………Q.S.</t>
  </si>
  <si>
    <t>OFLOXACIN I.P. 200 MG + SODIUM CHLORIDE I.P. 900 MG</t>
  </si>
  <si>
    <t>ZENFLOX SUSP</t>
  </si>
  <si>
    <t>EACH 5 ML CONTAINS:
OFLOXACIN I.P..................................... 50 MG
FLAVOURED SYRUPY BASE ………………Q.S.</t>
  </si>
  <si>
    <t>OFLOXACIN  I.P. 50 MG</t>
  </si>
  <si>
    <t>50 MG/5ML</t>
  </si>
  <si>
    <t>ZENFLOX-100</t>
  </si>
  <si>
    <t>EACH UNCOATED DISPERSIBLE TAB. CONTAINS:
OFLOXACIN I.P.....................................100 MG</t>
  </si>
  <si>
    <t>OFLOXACIN  I.P. 100 MG</t>
  </si>
  <si>
    <t>ZENFLOX-200</t>
  </si>
  <si>
    <t>EACH FILM COATED TAB. CONTAINS:
OFLOXACIN I.P.....................................200 MG</t>
  </si>
  <si>
    <t>OFLOXACIN  I.P. 200 MG</t>
  </si>
  <si>
    <t>ZENFLOX-400</t>
  </si>
  <si>
    <t>EACH FILM COATED TAB. CONTAINS:
OFLOXACIN I.P.....................................400 MG</t>
  </si>
  <si>
    <t>OFLOXACIN  I.P. 400 MG</t>
  </si>
  <si>
    <t>ZENFLOX-OZ</t>
  </si>
  <si>
    <t>EACH FILM COATED TABLET CONTAINS:
OFLOXACIN  I.P.…………200 MG
ORNIDAZOLE IP…………   500 MG</t>
  </si>
  <si>
    <t>BIGSPAS-P</t>
  </si>
  <si>
    <t>EACH FILM COATED TABLET CONTAINS :
CAMYLOFIN DIHYDROCHLORIDE ……….50 MG
PARACETAMOL IP ……………………….325 MG
EXCIPIENTS………………………………….Q.S.</t>
  </si>
  <si>
    <t>CAMYLOFIN DIHYDROCHLORIDE 50 MG + PARACETAMOL 325 MG</t>
  </si>
  <si>
    <t>Discovery Mankind (A Division of Mankind Pharma Ltd.)</t>
  </si>
  <si>
    <t>M/s Khandelwal Laboratories Pvt. Ltd., Plot No. 20, Sector-6, IIE, Industrial Area, SIDCUL Pantnagar, US Nagar-263153 Uttarakhand</t>
  </si>
  <si>
    <t>CALDIKIND TABLETS</t>
  </si>
  <si>
    <t>EACH UNCOATED TABLET CONTAINS: 
CALCIUM CITRATE USP……..1000 MG
MAGNESIUM HYDROXIDE IP EQ. TO ELEMENTAL MAGNESIUM……100 MG
VITAMIN D3 IP…………………200 IU
ZINC SULPHATE MONOHYDRATE IP EQ. TO ELEMENTAL ZINC…………….4 MG
EXCIPIENTS…………………..Q.S.</t>
  </si>
  <si>
    <t xml:space="preserve"> 
CALCIUM CITRATE 1000 MG + MAGNESIUM 100 MG + VITAMIN D3 200 IU + ZINC 4 MG.</t>
  </si>
  <si>
    <t>CALDIKIND 60K SACHET</t>
  </si>
  <si>
    <t>EACH SACHET OF 1 GM CONTAINS :
CHOLECALCIFEROL IP …………………..60,000 IU
EXCIPIENTS ……………………………….Q.S.
APPROPRIATE OVERAGES ADDED</t>
  </si>
  <si>
    <t>CHOLECALCIFEROL 60,000 IU</t>
  </si>
  <si>
    <t>60,000 IU/1GM</t>
  </si>
  <si>
    <t>M/s Copmed Pharmaceuticals Pvt. Ltd. (Unit-III), Plot No-25 &amp; 26 Gondpur Industrial Area, Poanta Sahib, Distt. Sirmour (HP)-173025</t>
  </si>
  <si>
    <t>CALDIKIND PLUS</t>
  </si>
  <si>
    <t>EACH SOFT GELATIN CAPSULE CONTAINS :
CALCIUM CARBONATE IP ………………500 MG
CALCITRIOL IP …………………………… 0.25 MCG
METHYLCOBALAMIN ……………………..1500 MCG
OMEGA-3-MARINE TRIGLYCERIDES BP
PROVIDING
EICOSAPENTAENOIC ACID ………………..90 MG &amp;
DOCOSAHEXAENOIC ACID ………………. 60 MG
FOLIC ACID IP ……………………………..400 MCG
DISODIUM TETRABORATE BP 
EQ. TO ELEMENTAL BORON ……………..1.5 MG
APPROPRIATE OVERAGES OF VITAMINS ARE ADDED.
METHYLPARABEN IP &amp; PROPYLPARABEN IP 
USED AS PRESERVATIVES</t>
  </si>
  <si>
    <t xml:space="preserve">
CALCIUM CARBONATE 500 MG + CALCITRIOL  0.25 MCG + METHYLCOBALAMIN 1500 MCG +OMEGA-3-MARINE TRIGLYCERIDES PROVIDING EICOSAPENTAENOIC ACID 90 MG &amp; DOCOSAHEXAENOIC ACID  60 MG + FOLIC ACID 400 MCG + ELEMENTAL BORON 1.5 MG
</t>
  </si>
  <si>
    <t>CALDIKIND SUSPENSION</t>
  </si>
  <si>
    <t>EACH 5 ML (TEASPOONFUL) CONTAINS :
CALCIUM CARBONATE IP
EQ. TO ELEMENTAL CALCIUM ………………250 MG
MAGNESIUM HYDROXIDE IP
EQ. TO ELEMENTAL MAGNESIUM …………25 MG
ZINC GLUCONATE USP
EQ. TO ELEMENTAL ZINC …………………… 1.25 MG
CHOLECALCIFEROL IP ………………………….125 IU
IN A FLAVOURED SYRUPY BASE
APPROPRIATE OVERAGES OF VITAMIN ADDED</t>
  </si>
  <si>
    <t xml:space="preserve">CALCIUM 250 MG + MAGNESIUM 25 MG + 
ZINC  1.25 MG + CHOLECALCIFEROL IP 125 IU
</t>
  </si>
  <si>
    <t>CALDIKIND-P NF SUSPENSION</t>
  </si>
  <si>
    <t xml:space="preserve">EACH 10 ML CONTAINS:
CALCIUM PHOSPHATE
EQ. TO ELEMENTAL CALCIUM…………300 MG
EQ. TO ELEMENTAL PHOSPHORUS ........150 MG
MAGNESIUM HYDROXIDE
EQ. TO ELEMENTAL MAGNESIUM …………75 MG
ZINC GLUCONATE USP EQ. TO ELEMENTAL ZINC............4 MG
VITAMIN D3 IP.................200 IU
FLAVOURED BASE .........QS
</t>
  </si>
  <si>
    <t>CALCIUM 300 MG + PHOSPHORUS 150 MG + MAGNESIUM 75 MG + ZINC.4 MG + VITAMIN D3 200 IU</t>
  </si>
  <si>
    <t>CANDIFORCE-100</t>
  </si>
  <si>
    <t>EACH HARD GELATIN CAPSULE CONTAINS :
ITRACONAZOLE PELLETS 
EQUIVALENT TO ITRACONAZOLE ……….100 MG
EXCIPIENTS ………………………………Q.S.</t>
  </si>
  <si>
    <t>ITRACONAZOLE 100 MG</t>
  </si>
  <si>
    <t>CANDIFORCE-200</t>
  </si>
  <si>
    <t>EACH HARD GELATIN CAPSULE CONTAINS :
ITRACONAZOLE PELLETS 
EQUIVALENT TO ITRACONAZOLE ……...200 MG
EXCIPIENTS ………………………………Q.S.</t>
  </si>
  <si>
    <t>ITRACONAZOLE 200 MG</t>
  </si>
  <si>
    <t>CANDIFORCE-SB 50</t>
  </si>
  <si>
    <t>EACH HARD GELATIN CAPSULE CONTAINS:
ITRACONAZOLE BP……50 MG
EXCIPIENTS………..Q.S.</t>
  </si>
  <si>
    <t>CANDIFORCE-SB 130</t>
  </si>
  <si>
    <t>EACH HARD GELATIN CAPSULE CONTAINS:
ITRACONAZOLE BP……130 MG
EXCIPIENTS………..Q.S.</t>
  </si>
  <si>
    <t>ITRACONAZOLE 130 MG</t>
  </si>
  <si>
    <t>130 MG</t>
  </si>
  <si>
    <t>CODISTAR-NF COUGH SYRUP</t>
  </si>
  <si>
    <t>EACH 5 ML CONTAINS:
CODEINE PHOSPHATE IP….10 MG
TRIPROLIDINE HYDROCHLORIDE IP….1.25 MG</t>
  </si>
  <si>
    <t>CODEINE PHOSPHATE 10 MG +TRIPROLIDINE HYDROCHLORIDE 1.25 MG</t>
  </si>
  <si>
    <t>CODISTAR-DC SYRUP</t>
  </si>
  <si>
    <t>EACH 5 ML CONTAINS:
DEXTROMETHORPHAN HYDROBROMIDE IP …………10 MG
PHENYLEPHRINE HYDROCHLORIDE IP…..5MG
CHLORPHENIRAMINE MALEATE IP………..2 MG
IN A FLAVOURED SYRUPY BASE</t>
  </si>
  <si>
    <t xml:space="preserve">DEXTROMETHORPHAN HYDROBROMIDE 10 MG + PHENYLEPHRINE HYDROCHLORIDE 5MG + CHLORPHENIRAMINE MALEATE 2 MG
</t>
  </si>
  <si>
    <t>CODISTAR-DC TABLETS</t>
  </si>
  <si>
    <t>EACH UNCOATED FLAVOURED dispersible tablet contains: Dextromethorphan Hydrobromide IP…..10mg
Chlorpheniramine Maleate IP…..2mg
Phenylephrine Hydrochloride IP..5mg
Colour: Sunset Yellow</t>
  </si>
  <si>
    <t>CODISTAR-P DROPS</t>
  </si>
  <si>
    <t>EACH ML (APPROX. 30 DROPS) CONTAINS :
AMBROXOL HYDROCHLORIDE IP…..7.5 MG
TERBUTALINE SULPHATE IP……0.25 MG
GUAIPHENESIN IP………12.5 MG
FLAVOURED SYRUPY BASE ...…QS</t>
  </si>
  <si>
    <t>AMBROXOL HYDROCHLORIDE 7.5 MG + TERBUTALINE SULPHATE 0.25 MG + GUAIPHENESIN 12.5 MG</t>
  </si>
  <si>
    <t>COLIGYL DRY SYRUP</t>
  </si>
  <si>
    <t>EACH 5 ML OF RECONSTITUTED SUSPENSION CONTAINS :
COLISTIN SULFATE IP
EQUIVALENT TO COLISTIN …………. 12.5 MG</t>
  </si>
  <si>
    <t>COLISTIN 12.5 MG</t>
  </si>
  <si>
    <t>12.5 MG/5ML</t>
  </si>
  <si>
    <t>COLIGYL-DS DRY SYRUP</t>
  </si>
  <si>
    <t>EACH 5 ML OF CONSTITUTED SUSPENSION CONTAINS :
COLISTIN SULFATE IP
EQUIVALENT TO COLISTIN …………. 25 MG</t>
  </si>
  <si>
    <t>COLISTIN 25 MG</t>
  </si>
  <si>
    <t xml:space="preserve"> 25 MG/5ML</t>
  </si>
  <si>
    <t>DOLOKIND-AQ INJ</t>
  </si>
  <si>
    <t>EACH ML CONTAINS:
DICLOFENAC SODIUM IP ……..75 MG
EXCIPIENTS………………………………….Q.S.</t>
  </si>
  <si>
    <t>DICLOFENAC SODIUM 75 MG</t>
  </si>
  <si>
    <t>75 MG</t>
  </si>
  <si>
    <t>DOLOKIND PLUS</t>
  </si>
  <si>
    <t>EACH UNCOATED TABLET CONTAINS :
ACECLOFENAC I.P. …………….100 MG
PARACETAMOL I.P. ……………..325 MG
EXCIPIENTS ……………………….Q.S.</t>
  </si>
  <si>
    <t>ACECLOFENAC 100 MG + PARACETAMOL 325 MG</t>
  </si>
  <si>
    <t xml:space="preserve">DOLOKIND </t>
  </si>
  <si>
    <t>EACH FILM-COATED TABLET CONTAINS :
ACECLOFENAC IP. ……………… 100 MG</t>
  </si>
  <si>
    <t>ACECLOFENAC 100 MG</t>
  </si>
  <si>
    <t>DOLOKIND-MR</t>
  </si>
  <si>
    <t>EACH FILM COATED TABLET CONTAINS :
ACECLOFENAC IP. ……………… 100 MG
PARACETAMOL I.P. ………………………325 MG
CHLORZOXAZONE USP ……………250 MG</t>
  </si>
  <si>
    <t>ACECLOFENAC  100 MG + PARACETAMOL 325 MG + CHLORZOXAZONE 250 MG</t>
  </si>
  <si>
    <t>DOLOKIND-SR</t>
  </si>
  <si>
    <t>EACH SUSTAINED RELEASE TABLET CONTAINS:
ACECLOFENAC I.P. …………………. 200 MG</t>
  </si>
  <si>
    <t>ACECLOFENAC 200 MG</t>
  </si>
  <si>
    <t>DYNAGLIPT TABLET</t>
  </si>
  <si>
    <t>EACH FILM COATED TABLET CONTAINS :
TENELIGLIPTIN HYDROBROMIDE HYDRATE
EQ. TO TENELIGLIPTIN………….20 MG</t>
  </si>
  <si>
    <t>TENELIGLIPTIN 20 MG</t>
  </si>
  <si>
    <t>DYNAGLIPT-D 5</t>
  </si>
  <si>
    <t>EACH FILM COATED TABLETS CONTAINS:
DAPAGLIFLOZIN PROPANEDIOL MONOHYDRATE EQ TO DAPAGLIFLOZIN…….5 MG
TENELIGLIPTIN HYDROBROMIDE HYDRATE IP EQ TO TENELIGLIPTIN…….20 MG
EXCIPIENTS…….Q.S.</t>
  </si>
  <si>
    <t>DYNAGLIPT-D 10</t>
  </si>
  <si>
    <t>EACH FILM COATED TABLETS CONTAINS:
DAPAGLIFLOZIN PROPANEDIOL MONOHYDRATE EQ TO DAPAGLIFLOZIN…….10 MG
TENELIGLIPTIN HYDROBROMIDE HYDRATE IP EQ TO TENELIGLIPTIN…….20 MG
EXCIPIENTS…….Q.S.</t>
  </si>
  <si>
    <t xml:space="preserve">DAPAGLIFLOZIN 10 MG + TENELIGLIPTIN 20 MG
</t>
  </si>
  <si>
    <t>DYNAGLIPT-L</t>
  </si>
  <si>
    <t>EACH FILM COATED TABLET CONTAINS:
LINAGLIPTIN……5 MG
EXCIPIENTS…….Q.S.</t>
  </si>
  <si>
    <t>LINAGLIPTIN 5 MG.</t>
  </si>
  <si>
    <t>DYNAGLIPT-LM 2.5/500</t>
  </si>
  <si>
    <t>EACH FILM COATED TABLET CONTAINS:
LINAGLIPTIN……2.5 MG
METFORMIN HYDROCHLORIDE IP…….500 MG
EXCIPIENTS…….Q.S.</t>
  </si>
  <si>
    <t>LINAGLIPTIN 2.5 MG + METFORMIN HYDROCHLORIDE 500 MG</t>
  </si>
  <si>
    <t>DYNAGLIPT-LM 2.5/1000</t>
  </si>
  <si>
    <t>EACH FILM COATED TABLET CONTAINS:
LINAGLIPTIN……2.5 MG
METFORMIN HYDROCHLORIDE IP…….1000 MG
EXCIPIENTS…….Q.S.</t>
  </si>
  <si>
    <t>LINAGLIPTIN 2.5 MG + METFORMIN HYDROCHLORIDE 1000 MG</t>
  </si>
  <si>
    <t>DYNAGLIPT-M TABLET</t>
  </si>
  <si>
    <t>EACH UNCOATED BILAYERED TABLET CONTAINS :
TENELIGLIPTIN HYDROBROMIDE HYDRATE
EQ. TO TENELIGLIPTIN …………………..20 MG
METFORMIN HYDROCHLORIDE IP …………500 MG
(AS SUSTAINED RELEASE FORM)
EXCIPIENTS ………………………………………Q.S.</t>
  </si>
  <si>
    <t>TENELIGLIPTIN 20 MG + METFORMIN HYDROCHLORIDE 500 MG
(AS SUSTAINED RELEASE FORM)
EXCIPIENTS ………………………………………Q.S.</t>
  </si>
  <si>
    <t>DYNAGLIPT-M FORTE</t>
  </si>
  <si>
    <t>EACH UNCOATED BILAYERED TABLET CONTAINS :
TENELIGLIPTIN HYDROBROMIDE HYDRATE
EQ. TO TENELIGLIPTIN …………………..20 MG
METFORMIN HYDROCHLORIDE IP …………1000 MG
(AS SUSTAINED RELEASE FORM)
EXCIPIENTS ………………………………………Q.S.</t>
  </si>
  <si>
    <t>TENELIGLIPTIN 20 MG + METFORMIN HYDROCHLORIDE 1000 MG(AS SUSTAINED RELEASE FORM)</t>
  </si>
  <si>
    <t>EMIKIND-MD</t>
  </si>
  <si>
    <t>EACH UNCOATED TABLET CONTAINS :
PROCHLORPERAZINE MALEATE IP …….5 MG</t>
  </si>
  <si>
    <t>PROCHLORPERAZINE 5 MG</t>
  </si>
  <si>
    <t>FLOZEN-AA (NF)</t>
  </si>
  <si>
    <t>EACH FILM COATED TABLET CONTAINS :
ACELOFENAC IP ……………………………100 MG
PARACETAMOL IP ……………………….325 MG
SERRATIOPEPTIDASE ……………………15 MG
(30,000 UNITS OF SERRATIOPEPTIDASE)
(AS ENTERIC COATED GRANULES)</t>
  </si>
  <si>
    <t>ACELOFENAC 100 MG + PARACETAMOL 325 MG + SERRATIOPEPTIDASE 15 MG</t>
  </si>
  <si>
    <t>FYNAL-250</t>
  </si>
  <si>
    <t>EACH FILM COATED TAB CONTAINS:
LEVOFLOXACIN HEMIHYDRATE I.P.
EQ. TO LEVOFLOXACIN  …………………. 250 MG</t>
  </si>
  <si>
    <t>LEVOFLOXACIN 250 MG</t>
  </si>
  <si>
    <t>FYNAL-500</t>
  </si>
  <si>
    <t>EACH FILM COATED TAB CONTAINS:
LEVOFLOXACIN HEMIHYDRATE I.P.
EQ. TO LEVOFLOXACIN  …………………. 500 MG</t>
  </si>
  <si>
    <t>LEVOFLOXACIN 500 MG</t>
  </si>
  <si>
    <t>FYNAL-OZ</t>
  </si>
  <si>
    <t>EACH FILM COATED TABLET CONTAINS :
LEVOFLOXACIN HEMIHYDRATE I.P. 
EQ. TO LEVOFLOXACIN …………….. 250 MG
ORNIDAZOLE ……………………………500 MG</t>
  </si>
  <si>
    <t>LEVOFLOXACIN 250 MG + ORNIDAZOLE 500 MG</t>
  </si>
  <si>
    <t>GLYKIND-M</t>
  </si>
  <si>
    <t>EACH UNCOATED TAB. CONTAINS
GLICLAZIDE I.P.…………………..         80 MG
METFORMIN HYDROCHLORIDE I.P.…..500 MG</t>
  </si>
  <si>
    <t>GLICLAZIDE 80 MG + METFORMIN HYDROCHLORIDE 500 MG</t>
  </si>
  <si>
    <t>GLYKIND-M XR 60</t>
  </si>
  <si>
    <t>EACH UNCOATED BILAYERED EXTENDED-RELEASE TABLET CONTAINS:
GLICLAZIDE IP…………60 MG
(IN EXTENDED RELEASE FORM)
METFORMIN HYDROCHLORIDE IP…….500 MG
(IN EXTENDED RELEASE FORM)
EXCIPIENTS……………..Q.S.</t>
  </si>
  <si>
    <t>GLICLAZIDE 60 MG + METFORMIN HYDROCHLORIDE 500 MG (IN EXTENDED RELEASE FORM)</t>
  </si>
  <si>
    <t>GLYKIND-60 XR</t>
  </si>
  <si>
    <t>EACH UNCOATED EXTENDED RELEASE TAB. CONTAINS
GLICLAZIDE I.P.…………………..60 MG
EXCIPIENTS ……………………….Q.S.</t>
  </si>
  <si>
    <t>GLICLAZIDE 60 MG</t>
  </si>
  <si>
    <t>60 MG</t>
  </si>
  <si>
    <t>GLIMESTAR-1</t>
  </si>
  <si>
    <t>EACH UNCOATED TAB. CONTAINS:
GLIMEPIRIDE IP…………………… 1 MG</t>
  </si>
  <si>
    <t>GLIMEPIRIDE 1 MG</t>
  </si>
  <si>
    <t>1 MG</t>
  </si>
  <si>
    <t>GLIMESTAR-2</t>
  </si>
  <si>
    <t>EACH UNCOATED TAB. CONTAINS:
GLIMEPIRIDE IP…………………… 2 MG</t>
  </si>
  <si>
    <t>GLIMEPIRIDE 2 MG</t>
  </si>
  <si>
    <t>GLIMESTAR-3</t>
  </si>
  <si>
    <t>EACH UNCOATED TAB. CONTAINS:
GLIMEPIRIDE IP…………………… 3 MG</t>
  </si>
  <si>
    <t>GLIMEPIRIDE 3 MG</t>
  </si>
  <si>
    <t>3 MG</t>
  </si>
  <si>
    <t>GLIMESTAR-4</t>
  </si>
  <si>
    <t>EACH UNCOATED TAB. CONTAINS:
GLIMEPIRIDE IP…………………… 4 MG</t>
  </si>
  <si>
    <t>GLIMEPIRIDE 4 MG</t>
  </si>
  <si>
    <t>GLIMESTAR-M 0.5 TABLETS</t>
  </si>
  <si>
    <t>EACH UNCOATED BILYERED TAB. CONTAINS:
GLIMEPIRIDE IP…………………… 0.5 MG
METFORMIN HYDROCHLORIDE I.P. ….500 MG
(IN PROLONGED RELEASE FORM)</t>
  </si>
  <si>
    <t>GLIMEPIRIDE 0.5 MG + METFORMIN HYDROCHLORIDE 500 MG (IN PROLONGED RELEASE FORM)</t>
  </si>
  <si>
    <t>GLIMESTAR-M1</t>
  </si>
  <si>
    <t>EACH FILM COATED BILAYERED TAB. CONTAINS:
GLIMEPIRIDE IP…………………… 1 MG
METFORMIN HYDROCHLORIDE I.P. ….500 MG
(IN PROLONGED RELEASE FORM)</t>
  </si>
  <si>
    <t>GLIMEPIRIDE 1 MG + METFORMIN HYDROCHLORIDE 500 MG (IN PROLONGED RELEASE FORM)</t>
  </si>
  <si>
    <t>GLIMESTAR-M1 FORTE</t>
  </si>
  <si>
    <t>EACH UNCOATED TABLET CONTAINS :
GLIMEPIRIDE IP …………………………….1 MG
METFORMIN HYDROCHLORIDE IP ………1000 MG
(IN SUSTAINED RELEASE FORM)</t>
  </si>
  <si>
    <t>GLIMEPIRIDE 1 MG + METFORMIN HYDROCHLORIDE 1000 MG (IN SUSTAINED RELEASE FORM)</t>
  </si>
  <si>
    <t>GLIMESTAR-M2</t>
  </si>
  <si>
    <t>EACH FILM COATED TAB. CONTAINS:
GLIMEPIRIDE IP…………………… 2 MG
METFORMIN HYDROCHLORIDE I.P. ….500 MG
(IN SUSTAINED RELEASE FORM)</t>
  </si>
  <si>
    <t>GLIMEPIRIDE 2 MG + METFORMIN HYDROCHLORIDE 500 MG (IN SUSTAINED RELEASE FORM)</t>
  </si>
  <si>
    <t>GLIMESTAR-M2 FORTE</t>
  </si>
  <si>
    <t>EACH UNCOATED TABLET CONTAINS :
GLIMEPIRIDE IP ……………………………2 MG
METFORMIN HYDROCHLORIDE IP ………1000 MG
(IN SUSTAINED RELEASE FORM)</t>
  </si>
  <si>
    <t>GLIMEPIRIDE 2 MG + METFORMIN HYDROCHLORIDE 1000 MG (IN SUSTAINED RELEASE FORM)</t>
  </si>
  <si>
    <t>GLIMESTAR-M3</t>
  </si>
  <si>
    <t>EACH UNCOATED BILAYERED TABLET CONTAINS :
GLIMEPIRIDE IP …………………………………….3 MG
METFORMIN HYDROCHLRIDE IP …………….500 MG
(IN SUSTAINED RELEASE FORM)</t>
  </si>
  <si>
    <t>GLIMEPIRIDE 3 MG + METFORMIN HYDROCHLORIDE 500 MG (IN SUSTAINED RELEASE FORM)</t>
  </si>
  <si>
    <t>GLIMESTAR-M3 FORTE</t>
  </si>
  <si>
    <t>EACH UNCOATED BILAYERED TABLET CONTAINS :
GLIMEPIRIDE IP ……………………………….3 MG
METFORMIN HYDROCHLRIDE IP ………….1000 MG
(IN SUSTAINED RELEASE FORM)</t>
  </si>
  <si>
    <t>GLIMEPIRIDE 3 MG + METFORMIN HYDROCHLORIDE 1000 MG (IN SUSTAINED RELEASE FORM)</t>
  </si>
  <si>
    <t>GLIMESTAR-M4</t>
  </si>
  <si>
    <t>EACH UNCOATED BILAYERED TABLET CONTAINS :
GLIMEPIRIDE IP …………………………………….4 MG
METFORMIN HYDROCHLRIDE IP …………….500 MG
(IN SUSTAINED RELEASE FORM)</t>
  </si>
  <si>
    <t>GLIMEPIRIDE 4 MG + METFORMIN HYDROCHLORIDE 500 MG (IN SUSTAINED RELEASE FORM)</t>
  </si>
  <si>
    <t>GLIMESTAR-M4 FORTE</t>
  </si>
  <si>
    <t>EACH UNCOATED BILAYERED TABLET CONTAINS :
GLIMEPIRIDE IP …………………………………….4 MG
METFORMIN HYDROCHLRIDE IP ………….1000 MG
(IN SUSTAINED RELEASE FORM)</t>
  </si>
  <si>
    <t>GLIMEPIRIDE 4 MG + METFORMIN HYDROCHLORIDE 1000 MG (IN SUSTAINED RELEASE FORM)</t>
  </si>
  <si>
    <t>GLIMESTAR PM1</t>
  </si>
  <si>
    <t>EACH UNCOATED BILAYERED TABLET CONTAINS :
GLIMEPIRIDE IP…………………1 MG
PIOGLITAZONE HYDROCHLORIDE IP
EQUIVALENT TO PIOGLITAZONE …………...15 MG
METFORMIN HYDROCHLORIDE IP………....500 MG
(IN EXTENDED RELEASE FORM)</t>
  </si>
  <si>
    <t>GLIMEPIRIDE 1 MG + PIOGLITAZONE 15 MG + METFORMIN HYDROCHLORIDE 500 MG (IN EXTENDED RELEASE FORM)</t>
  </si>
  <si>
    <t>GLIMESTAR PM2</t>
  </si>
  <si>
    <t>EACH UNCOATED BILAYERED TABLET CONTAINS :
GLIMEPIRIDE IP…………………2 MG
PIOGLITAZONE HYDROCHLORIDE IP
EQUIVALENT TO PIOGLITAZONE …………...15 MG
METFORMIN HYDROCHLORIDE IP………....500 MG
(IN EXTENDED RELEASE FORM)</t>
  </si>
  <si>
    <t>GLIMEPIRIDE 2 MG + PIOGLITAZONE 15 MG + METFORMIN HYDROCHLORIDE 500 MG (IN EXTENDED RELEASE FORM)</t>
  </si>
  <si>
    <t>GLUCOMUST-M</t>
  </si>
  <si>
    <t>EACH UNCOATED BILAYERED TABLET CONTAINS :
GLIBENCLAMIDE IP…………………5 MG
METFORMIN HYDROCHLORIDE IP………..500 MG
(IN EXTENDED RELEASE FORM)
EXCIPIENTS ………………………………Q.S.</t>
  </si>
  <si>
    <t>GLIBENCLAMIDE 5 MG + METFORMIN HYDROCHLORIDE 500 MG (IN EXTENDED RELEASE FORM)</t>
  </si>
  <si>
    <t>GLUCOMUST-PM</t>
  </si>
  <si>
    <t>EACH UNCOATED BILAYERED TABLET CONTAINS:
GLIBENCLAMIDE IP…………….5 MG
PIOGLITAZONE HYDROCHLORIDE IP
EQ. TO PIOGLITAZONE…….15 MG
METFORMIN HYDROCHLORIDE IP…..500 MG
(INEXTENDED RELEASE FROM)
COLOUR: ERYTHROSINE</t>
  </si>
  <si>
    <t>GLIBENCLAMIDE 5 MG + PIOGLITAZONE 15 MG + METFORMIN HYDROCHLORIDE 500 MG (INEXTENDED RELEASE FROM)</t>
  </si>
  <si>
    <t>GRANIFORCE-MD</t>
  </si>
  <si>
    <t>EACH UNCOATED DISPERSIBLE TABLET CONTAINS :
GRANISETRON HYDROCHLORIDE B.P.
EQUIVALENT TO GRANISETRON ..1 MG
EXCIPIENTS ……………………….Q.S.</t>
  </si>
  <si>
    <t xml:space="preserve">GRANISETRON 1 MG
</t>
  </si>
  <si>
    <t>GRANIFORCE SYRUP</t>
  </si>
  <si>
    <t>EACH 5 ML CONTAINS :
GRANISETRON HYDROCHLORIDE B.P.
EQUIVALENT TO GRANISETRON ..1 MG
FLAVOURED SYRUPY BASE …..Q.S.</t>
  </si>
  <si>
    <t>1 MG/5ML</t>
  </si>
  <si>
    <t>LONGIFENE</t>
  </si>
  <si>
    <t>EACH UNCOATED TAB CONTAINS:
BUCLIZINE HYDROCHLORIDE  IP……..25 MG
EXCIPIENTS …………………………….Q.S.</t>
  </si>
  <si>
    <t>BUCLIZINE HYDROCHLORIDE 25 MG</t>
  </si>
  <si>
    <t>LONGIFENE-A SYRUP</t>
  </si>
  <si>
    <t>EACH 5 ML CONTAINS AQUEOUS EXTRACTS OF:
TINOSPORA CORDIFOLIA 
(GUDUCHI STEM)………...75.50 MG
FOENICULUM VULGARE (SAUNF) (FRUIT)…38 MG
PICRORHIZA KURROA (KUTKI) (RHIZOME)…38 MG
EMBELIA RIBES (VIDANGA) (FRUIT)….. 18 MG
CYPERUS ROTUNDUS 
(NAGARMOTHA) (RHIZOME)…………18.75 MG
CUMINUM CYMINUM (JEERA) (FRUIT)….18.75 MG
PIPER LONGUM (PIPPALI) (FRUIT)………18.75 MG
EMBLICA OFFICINALIS 
(AMALAKI) (FRUIT PULP)………….18.75 MG
TRACHYSPERMUM AMMI (YAVANI)(FRUIT)..18.75 MG
PRESERVATIVES:
SODIUM BENZOATE IP………0.20% W/V
SODIUM METHY PARABEN IP…..0.12% W/V
SODIUM PROPYL PARABEN IP…..0.02% W/V
IN A FLAVOURED SYRUPY BASE</t>
  </si>
  <si>
    <t>TINOSPORA CORDIFOLIA 
(GUDUCHI STEM)75.50 MG +  FOENICULUM VULGARE (SAUNF) (FRUIT)38 MG + PICRORHIZA KURROA (KUTKI) (RHIZOME) 38 MG + EMBELIA RIBES (VIDANGA) (FRUIT) 18 MG + CYPERUS ROTUNDUS (NAGARMOTHA) (RHIZOME)18.75 MG + CUMINUM CYMINUM (JEERA) (FRUIT) 18.75 MG + PIPER LONGUM (PIPPALI) (FRUIT) 18.75 MG + EMBLICA OFFICINALIS (AMALAKI) (FRUIT PULP) 18.75 MG TRACHYSPERMUM AMMI (YAVANI)(FRUIT) 18.75 MG</t>
  </si>
  <si>
    <t xml:space="preserve">LONGIFENE-DS </t>
  </si>
  <si>
    <t>EACH UNCOATED TABLET CONTAINS :
BUCLIZINE HYDROCHLORIDE IP ……………50 MG
EXCIPIENTS ………………………………………Q.S.</t>
  </si>
  <si>
    <t>BUCLIZINE HYDROCHLORIDE 50 MG</t>
  </si>
  <si>
    <t>MAHACEF-50</t>
  </si>
  <si>
    <t>EACH UNCOATED DISPERSIBLE TABLET CONTAINS :
CEFIXIME IP AS TRIHYDRATE
EQ. TO ANHYDROUS CEFIXIME………….50 MG</t>
  </si>
  <si>
    <t>CEFIXIME 50 MG</t>
  </si>
  <si>
    <t>MAHACEF-100</t>
  </si>
  <si>
    <t>EACH UNCOATED DISPERSIBLE TAB. CONTAINS:  
CEFIXIME IP
EQ. TO ANHYDROUS CEFIXIME …….100 MG</t>
  </si>
  <si>
    <t>CEFIXIME 100 MG</t>
  </si>
  <si>
    <t>MAHACEF-200</t>
  </si>
  <si>
    <t>EACH FILM COATED TAB. CONTAINS:
CEFIXIME IP 
EQ. TO ANHYDROUS CEFIXIME …….200 MG</t>
  </si>
  <si>
    <t>CEFIXIME 200 MG</t>
  </si>
  <si>
    <t>MAHACEF-100 DRY SYRUP</t>
  </si>
  <si>
    <t>EACH 5 ML OF CONSTITUTED SUSPENSION CONTAINS:
CEFIXIME  IP (AS TRIHYDRATE)  
EQUIVALENT TO ANHYDROUS CEFIXIME ………. 100 MG
EXCIPIENTS …………………………………….Q.S.</t>
  </si>
  <si>
    <t>100 MG/5ML</t>
  </si>
  <si>
    <t>MAHACEF DRY SYRUP</t>
  </si>
  <si>
    <t>EACH 5 ML OF CONSTITUTED SUSPENSION CONTAINS:
CEFIXIME  IP (AS TRIHYDRATE)  
EQUIVALENT TO ANHYDROUS CEFIXIME ………. 50 MG
EXCIPIENTS …………………………………….Q.S.</t>
  </si>
  <si>
    <t>MAHACEF DROPS</t>
  </si>
  <si>
    <t>EACH ML OF RECONSTITUTED SUSPENSION CONTAINS :
CEFIXIME IP AS TRIHYDRATE 
EQ. TO ANHYDROUS CEFIXIME ……………25 MG</t>
  </si>
  <si>
    <t>CEFIXIME 25 MG</t>
  </si>
  <si>
    <t>MAHACEF CV-100</t>
  </si>
  <si>
    <t>EACH UNCOATED DISPERSIBLE TABLET CONTAINS :
CEFIXIME IP AS TRIHYDRATE
EQ. TO CEFIXIME ANHYDROUS …………..100 MG
POTASSIUM CLAVULANATE DILUTED IP
EQ. TO CLAVULANIC ACID …………………62.5 MG</t>
  </si>
  <si>
    <t>CEFIXIME 100 MG + CLAVULANIC ACID 62.5 MG</t>
  </si>
  <si>
    <t>MAHACEF CV-200</t>
  </si>
  <si>
    <t>EACH FILM COATED TABLET CONTAINS :
CEFIXIME IP AS TRIHYDRATE
EQ. TO ANHYDROUS CEFIXIME …………..200 MG
POTASSIUM CLAVULANATE DILUTED IP
EQ. TO CLAVULANIC ACID …………………125 MG</t>
  </si>
  <si>
    <t>CEFIXIME 200 MG + CLAVULANIC ACID 125 MG</t>
  </si>
  <si>
    <t>MAHACEF-OZ NEW</t>
  </si>
  <si>
    <t>EACH FILM COATED TABLET CONTAINS ;
OFLOXACIN IP ………………………….200 MG
ORNIDAZOLE IP……………………………..500 MG
EXCIPIENTS …………………………….Q.S.</t>
  </si>
  <si>
    <t>OFLOXACIN 200 MG + ORNIDAZOLE 500 MG</t>
  </si>
  <si>
    <t>MAHACEF-XL 200 NEW</t>
  </si>
  <si>
    <t>EACH FILM COATED TABLET CONTAINS :
CEFIXIME IP 
EQUIVALENT TO ANHYDROUS CEFIXIME ….200 MG
DICLOXACILLIN SODIUM IP
EQUIVALENT TO DICLOXACILLIN ……………500 MG
(AS EXTENDED RELEASE)
EXCIPIENTS …………………………………Q.S.</t>
  </si>
  <si>
    <t>CEFIXIME 200 MG + DICLOXACILLIN 500 MG (AS EXTENDED RELEASE)</t>
  </si>
  <si>
    <t>MAHACORT-DZ6</t>
  </si>
  <si>
    <t>EACH UNCOATED TABLET CONTAINS :
DEFLAZACORT …………………..6 MG</t>
  </si>
  <si>
    <t>DEFLAZACORT 6 MG</t>
  </si>
  <si>
    <t>6 MG</t>
  </si>
  <si>
    <t>MAHACORT-DZ SUSP.</t>
  </si>
  <si>
    <t>EACH 5 ML CONTAINS :
DEFLAZACORT …………………………….6 MG
FLAVOURED SYRUPY BASE ……………..Q.S.</t>
  </si>
  <si>
    <t>MAHAFLOX-400</t>
  </si>
  <si>
    <t>EACH FILM COATED TABLET CONTAINS :
MOXIFLOXACIN HYDROCHLORIDE IP
EQUIVALENT TO MOXIFLOXACIN …………400 MG
EXCIPIENTS …………………………………..Q.S.</t>
  </si>
  <si>
    <t>MOXIFLOXACIN 400 MG</t>
  </si>
  <si>
    <t>MANKIND'S PLACIDA PLUS</t>
  </si>
  <si>
    <t>EACH FILM COATED TABLET CONTAINS :
ETIZOLAM JP ……………………….0.5 MG
ESCITALOPRAM OXALATE IP 
EQUIVALENT TO ESCITALOPRAM ………10 MG</t>
  </si>
  <si>
    <t>ETIZOLAM 0.5 MG + ESCITALOPRAM 10 MG</t>
  </si>
  <si>
    <t>METATIME-500</t>
  </si>
  <si>
    <t>EACH UNCOATED TABLET CONTAINS :
METFORMIN HYDROCHLORIDE I.P. …..500 MG</t>
  </si>
  <si>
    <t>METFORMIN HYDROCHLORIDE 500 MG</t>
  </si>
  <si>
    <t>METATIME-500 XR</t>
  </si>
  <si>
    <t>EACH UNCOATED SUSTAINED RELEASE TABLET CONTAINS :
METFORMIN HYDROCHLORIDE I.P. …..500 MG</t>
  </si>
  <si>
    <t>METATIME-1000 XR</t>
  </si>
  <si>
    <t>EACH UNCOATED SUSTAINED RELEASE TABLET CONTAINS :
METFORMIN HYDROCHLORIDE I.P. …..1000 MG</t>
  </si>
  <si>
    <t>METFORMIN HYDROCHLORIDE 1000 MG</t>
  </si>
  <si>
    <t>1000 MG</t>
  </si>
  <si>
    <t>MONTICOPE</t>
  </si>
  <si>
    <t>EACH UNCOATED TABLET CONTAINS :
MONTELUKAST SODIUM IP
EQUIVALENT TO MONTELUKAST ………10 MG
LEVOCETIRIZINE DIHYDROCHLORIDE IP ….5 MG</t>
  </si>
  <si>
    <t>MONTELUKAST 10 MG + LEVOCETIRIZINE DIHYDROCHLORIDE 5 MG</t>
  </si>
  <si>
    <t>MONTICOPE-A</t>
  </si>
  <si>
    <t>EACH UNCOATED BILAYERED TABLET CONTAINS :
MONTELUKAST SODIUM IP
EQUIVALENT TO MONTELUKAST …………10 MG
LEVOCETIRIZINE DIHYDROCHLORIDE IP ……..5 MG
AMBROXOL HYDROCHLORIDE IP …………..75 MG
(AS SUSTAINED RELEASE)</t>
  </si>
  <si>
    <t>MONTELUKAST 10 MG + LEVOCETIRIZINE DIHYDROCHLORIDE 5 MG + AMBROXOL HYDROCHLORIDE 75 MG (AS SUSTAINED RELEASE)</t>
  </si>
  <si>
    <t>MONTICOPE-KID</t>
  </si>
  <si>
    <t>EACH UNCOATED DISPERSIBLE TABLET CONTAINS :
MONTELUKAST SODIUM IP
EQUIVALENT TO MONTELUKAST ……….4 MG
LEVOCETIRIZINE DIHYDROCHLORIDE IP ….2.5 MG</t>
  </si>
  <si>
    <t>MONTELUKAST 4 MG + LEVOCETIRIZINE DIHYDROCHLORIDE 2.5 MG</t>
  </si>
  <si>
    <t>MONTICOPE SUSP</t>
  </si>
  <si>
    <t>EACH 5 ML CONTAINS :
MONTELUKAST SODIUM IP
EQ. TO MONTELUKAST …………………….4 MG
LEVOCETIRIZINE DIHYDROCHLORIDE IP …..2.5 MG
IN A FLAVOURED SYRUP BASE …………..Q.S.</t>
  </si>
  <si>
    <t>EACH 5 ML CONTAINS :
MONTELUKAST SODIUM IP
EQ. TO MONTELUKAST …………..4 MG
LEVOCETIRIZINE DIHYDROCHLORIDE IP ….2.5 MG
IN A FLAVOURED SYRUP BASE ……………Q.S.</t>
  </si>
  <si>
    <t>NEFROZON</t>
  </si>
  <si>
    <t>EACH FILM COATED TABLET CONTAINS :
TAURINE USP …………………………….500 MG
ACETYLCYSTEINE USP ………………….150 MG</t>
  </si>
  <si>
    <t>TAURINE 500 MG + ACETYLCYSTEINE 150 MG</t>
  </si>
  <si>
    <t>NITROBACT-100</t>
  </si>
  <si>
    <t>EACH HARD GELATIN CAPSULE CONTAINS :
NITROFURANTOIN IP
(HYDROUS/ANHYDROUS-MACROCRYSTALS) 
EQUIVALENT TO NITROFURANTOIN………100 MG</t>
  </si>
  <si>
    <t>NITROFURANTOIN 100 MG</t>
  </si>
  <si>
    <t>NUFORCE SOAP</t>
  </si>
  <si>
    <t>CLOTRIMAZOLE IP ……………………1% W/W
SOAP NOODLES ……………………..Q.S.
COLOUR : COS OIL ORANGE ……….Q.S.
PERFUME ………………………………Q.S.</t>
  </si>
  <si>
    <t>CLOTRIMAZOLE 1% W/W</t>
  </si>
  <si>
    <t>1% W/W</t>
  </si>
  <si>
    <t>M/s Psychotropics India Ltd., Plot No.46 &amp; 49 , Sector 6-A, IIE, SIDCUL, Industrial Area Haridwar-249403 (Uttarakhand)</t>
  </si>
  <si>
    <t>NUROKIND PLUS RF</t>
  </si>
  <si>
    <t>EACH HARD GELATIN CAPSULE CONTAINS :
MECOBALAMIN JP……………… 1500 mcg
ALPHA LIPOIC ACID  USP …………….. 100 MG
PYRIDOXINE HYDROCHLORIDE I.P…….. 3 MG
FOLIC ACID I.P. ……………….. 1.5 MG
EXCIPIENTS ……………………………………………….Q.S.</t>
  </si>
  <si>
    <t>MECOBALAMIN 1500 mcg + ALPHA LIPOIC ACID 100 MG + PYRIDOXINE HYDROCHLORIDE 3 MG + FOLIC ACID 1.5 MG</t>
  </si>
  <si>
    <t>NUROKIND PLUS NF INJ.</t>
  </si>
  <si>
    <t>EACH  AMPOULE CONTAINS :
MECOBALAMINE ……….1500 MCG
PYRIDOXINE HYDROCHLORIDE I.P. .100 MG
NICOTINAMIDE I.P. …………………… 100 MG
BENZYL ALCOHOL I.P. …………….2% V/V
(AS PRESERVATIVE)
WATER FOR INJECTION I.P. ………….Q.S.</t>
  </si>
  <si>
    <t>MECOBALAMINE 1500 MCG + PYRIDOXINE HYDROCHLORIDE 100 MG + NICOTINAMIDE 100 MG</t>
  </si>
  <si>
    <t>NUROKIND-G</t>
  </si>
  <si>
    <t>EACH FILM COATED TABLET CONTAINS :
GABAPENTIN IP………………………… 300 MG
MECOBALAMIN JP ………………………. 500 MCG</t>
  </si>
  <si>
    <t>GABAPENTIN 300 MG + MECOBALAMIN 500 MCG</t>
  </si>
  <si>
    <t>NUROKIND-G 100 NEW</t>
  </si>
  <si>
    <t>EACH FILM COATED TABLET CONTAINS :
GABAPENTIN  USP ………………….100 MG
METHYCOBALAMIN …………………500 MCG
EXCIPIENTS ………………………………………….Q.S.</t>
  </si>
  <si>
    <t>GABAPENTIN 100 MG + MECOBALAMIN 500 MCG</t>
  </si>
  <si>
    <t>NOBEL GEL</t>
  </si>
  <si>
    <t>DICLOFENAC DIETHYLAMINE B.P. ……  1.16% w/w
(EQUIVALENT TO DICLOFENAC SODIUM  1.00% w/w)
LINSEED OIL B.P. (CONTAINING PREDOMINANTLY
ALFA LINOLENIC ACID ……………3.00% w/w
METHYL SALICYLATE I.P. ………….. 10.00% w/w
MENTHOL I.P. ………………………… .  5.00% w/w
PRESERVATIVE BENZYL ALCOHOL I.P ... 1.00% w/w
GEL BASE …………………………………..Q.S.</t>
  </si>
  <si>
    <t>DICLOFENAC DIETHYLAMINE 1.16% w/w + ALFA LINOLENIC ACID 3.00% w/w + METHYL SALICYLATE 10.00% w/w + MENTHOL 5.00% w/w</t>
  </si>
  <si>
    <t>DICLOFENAC DIETHYLAMINE B.P. ……  1.16% w/w
EQUIVALENT TO DICLOFENAC SODIUM  1.00% w/w
LINSEED OIL B.P. (CONTAINING PREDOMINANTLY
ALFA LINOLENIC ACID ……………3.00% w/w
METHYL SALICYLATE I.P. ……………. 10.00% w/w
MENTHOL I.P. ………………………… .  5.00% w/w
PRESERVATIVE BENZYL ALCOHOL I.P.  ... 1.00% w/w
GEL BASE ………………………………………..Q.S.</t>
  </si>
  <si>
    <t>NOBEL PLUS SUSP. (NF)</t>
  </si>
  <si>
    <t>EACH 5 ML CONTAINS :
PARACETAMOL IP ……………………….125 MG
MEFANAMIC ACID IP ………………………50 MG
FLAVOURED SYRUPY BASE …………….Q.S.</t>
  </si>
  <si>
    <t>PARACETAMOL 125 MG + MEFANAMIC ACID 50 MG</t>
  </si>
  <si>
    <t>NUFORCE MOUTH PAINT</t>
  </si>
  <si>
    <t>CLOTRIMAZOLE  IP ….……………. 1 % w/v
PROPYLENE GLYCOL IP AND
GLYCERIN I.P BASE  q.s.</t>
  </si>
  <si>
    <t>CLOTRIMAZOLE  1 % w/v</t>
  </si>
  <si>
    <t>OTOCIN-D EYE/EAR DROPS</t>
  </si>
  <si>
    <t>EACH ML CONTAINS:
POLYMYXIN B SULPHATE BP ………………..5000 IU
CHLORAMPHENICOL IP …………………..4 MG
DEXAMETHASONE SODIUM PHOSPHATE IP …………….1 MG
PHENYLMERCURIC NITRATE IP ………………………0.001% W/V
STERILE AQUEOUS VEHICLE ……….Q.S.</t>
  </si>
  <si>
    <t xml:space="preserve">POLYMYXIN B SULPHATE 5000 IU + CHLORAMPHENICOL 4 MG + DEXAMETHASONE SODIUM PHOSPHATE 1 MG + PHENYLMERCURIC NITRATE 0.001% W/V </t>
  </si>
  <si>
    <t>PANTAKIND</t>
  </si>
  <si>
    <t>EACH GASTRO-RESISTANT TABLET CONTAINS :
PANTOPRAZOLE ………… 40 MG
(AS PANTOPRAZOLE SODIUM IP)
EXCIPIENTS ……………………Q.S.</t>
  </si>
  <si>
    <t>PANTOPRAZOLE 40 MG</t>
  </si>
  <si>
    <t>PANTAKIND-80</t>
  </si>
  <si>
    <t>EACH DUAL RELEASE GASTRO RESISTANT TABLET CONTAINS:
PANTOPRAZOLE SODIUM IP EQ. TO PANTOPRAZOLE……………..80 MG
EXCIPIENTS………………….Q.S.</t>
  </si>
  <si>
    <t>PANTOPRAZOLE 80 MG</t>
  </si>
  <si>
    <t>PANTAKIND-DSR</t>
  </si>
  <si>
    <t>EACH HARD GELATIN CAPSULE CONTAINS :
PANTOPRAZOLE SODIUM IP
EQ. TO PANTOPRAZOLE ……………..40 MG
(AS GASTRO-RESISTANT PELLETS)
DOMPERIDONE IP ……………………30 MG
(AS SUSTAINED RELEASE PELLETS)</t>
  </si>
  <si>
    <t>PANTOPRAZOLE 40 MG + DOMPERIDONE 30 MG</t>
  </si>
  <si>
    <t>PANTAKIND-FLUX</t>
  </si>
  <si>
    <t>EACH HARD GELATIN CAPSULE CONTAINS :
PANTOPRAZOLE SODIUM IP
EQ. TO PANTOPRAZOLE …………………40 MG
(AS ENTERIC COATED TABLET)
CINITAPRIDE HYDROGEN TARTRATE
EQ. TO CINITAPRIDE ………………………. 3 MG
(IN SUSTAINED RELEASE TABLET)</t>
  </si>
  <si>
    <t>PANTOPRAZOLE 40 MG + CINITAPRIDE 3 MG</t>
  </si>
  <si>
    <t>PANTAKIND IV INJECTION</t>
  </si>
  <si>
    <t>EACH VIAL CONTAINS:
PANTOPRAZOLE SODIUM IP
(AS LYOPHILIZED POWDER)
EQ. TO PANTOPRAZOLE……40 MG
ONE AMPOULE CONTAINING…..10 ML
OF 0.9% W/V SODIUM CHLORIDE 
INJECTION IP IS INCLUDED IN THIS PACK.</t>
  </si>
  <si>
    <t>PIOKIND-15</t>
  </si>
  <si>
    <t>EACH UNCOATED TABLET CONTAINS :
PIOGLITAZONE HYDROCHLORIDE  IP
EQUIVALENT TO PIOGLITAZONE ………….15 MG</t>
  </si>
  <si>
    <t>PIOGLITAZONE 15 MG</t>
  </si>
  <si>
    <t>15 MG</t>
  </si>
  <si>
    <t>PIOKIND-30</t>
  </si>
  <si>
    <t>EACH UNCOATED TABLET CONTAINS :
PIOGLITAZONE HYDROCHLORIDE  IP
EQUIVALENT TO PIOGLITAZONE ………….30 MG</t>
  </si>
  <si>
    <t>PIOGLITAZONE 30 MG</t>
  </si>
  <si>
    <t>30 MG</t>
  </si>
  <si>
    <t>PIOKIND M-15</t>
  </si>
  <si>
    <t>EACH FILM COATED TAB. CONTAINS:
PIOGLITAZONE HYDROCHLORIDE IP
EQ. TO PIOGLITAZONE…………….15 MG
METFORMIN HYDROCHLORIDE I.P. ….500 MG
(IN SUSTAINED RELEASE FORM)</t>
  </si>
  <si>
    <t>PIOGLITAZONE 15 MG + METFORMIN HYDROCHLORIDE 500 MG (IN SUSTAINED RELEASE FORM)</t>
  </si>
  <si>
    <t>RANIDOM-O (RF)</t>
  </si>
  <si>
    <t>EACH ENTERIC COATED TABLET CONTAINS :
ESOMEPRAZOLE MAGNESIUM TRIHYDRATE  IP
EQ. TO ESOMEPRAZOLE ……………….20 MG
DOMPERIDONE IP ……………………….10 MG</t>
  </si>
  <si>
    <t>ESOMEPRAZOLE 20 MG + DOMPERIDONE 10 MG</t>
  </si>
  <si>
    <t>RUTOHEAL</t>
  </si>
  <si>
    <t>EACH ENTERIC COATED TABLET CONTAINS :
TRYPSIN BP …………………………………48 MG
BROMELAIN ………………………………90 MG
RUTOSIDE TRIHYDRATE BP …………..100 MG
TOTAL PROTEOLYTIC ACTIVITY NOT LESS THAN 1095 FIP
UNITS PER TABLET (PAPAIN METHOD)</t>
  </si>
  <si>
    <t>TRYPSIN 48 MG + BROMELAIN 90 MG + RUTOSIDE TRIHYDRATE 100 MG</t>
  </si>
  <si>
    <t>RUTOHEAL-D</t>
  </si>
  <si>
    <t>EACH ENTERIC COATED TABLET CONTAINS :
TRYPSIN BP ……………………………48 MG
BROMELAIN …………………………….90 MG
RUTOSIDE TRIHYDRATE BP ………..100 MG
DICLOFENAC SODIUM IP ……………. 50 MG
TOTAL PROTEOLYTIC ACTIVITY NOT LESS THAN 1095 FIP
UNITS PER TABLET (PAPAIN METHOD)</t>
  </si>
  <si>
    <t>TRYPSIN 48 MG + BROMELAIN .90 MG + RUTOSIDE TRIHYDRATE 100 MG + DICLOFENAC SODIUM 50 MG</t>
  </si>
  <si>
    <t>SGLTD-5</t>
  </si>
  <si>
    <t>EACH FILM COATED TABLET CONTAINS:
DAPAGLIFLOZIN PROPANEDIOL MONOHYDRATE
EQV. TO DAPAGLIFLOZIN…………………5 MG
EXCIPIENTS……………………………………..Q.S.</t>
  </si>
  <si>
    <t xml:space="preserve"> DAPAGLIFLOZIN 5 MG</t>
  </si>
  <si>
    <t>SGLTD-10</t>
  </si>
  <si>
    <t>EACH FILM COATED TABLET CONTAINS:
DAPAGLIFLOZIN PROPANEDIOL MONOHYDRATE
EQV. TO DAPAGLIFLOZIN…………………10 MG
EXCIPIENTS……………………………………..Q.S.</t>
  </si>
  <si>
    <t xml:space="preserve"> DAPAGLIFLOZIN 10 MG</t>
  </si>
  <si>
    <t>SGLTD-M 5/500</t>
  </si>
  <si>
    <t>EACH FILM COATED BILAYERED TABLET CONTAINS:
DAPAGLIFLOZIN PROPANEDIOL MONOHYDRATE
EQV. TO DAPAGLIFLOZIN…………………5 MG
METFORMIN HYDROCHLORIDE IP……………………………….500 MG
(EXTENDED RELEASE)
EXCIPIENTS……………………………………..Q.S.</t>
  </si>
  <si>
    <t>DAPAGLIFLOZIN 5 MG + METFORMIN HYDROCHLORIDE 500 MG (EXTENDED RELEASE)</t>
  </si>
  <si>
    <t>SGLTD-M 5/1000</t>
  </si>
  <si>
    <t>EACH FILM COATED BILAYERED TABLET CONTAINS:
DAPAGLIFLOZIN PROPANEDIOL MONOHYDRATE
EQV. TO DAPAGLIFLOZIN…………………5 MG
METFORMIN HYDROCHLORIDE IP……………………………….1000 MG
(EXTENDED RELEASE)
EXCIPIENTS……………………………………..Q.S.</t>
  </si>
  <si>
    <t>DAPAGLIFLOZIN 5 MG + METFORMIN HYDROCHLORIDE 1000 MG (EXTENDED RELEASE)</t>
  </si>
  <si>
    <t>SGLTD-M 10/500</t>
  </si>
  <si>
    <t>EACH FILM COATED BILAYERED TABLET CONTAINS:
DAPAGLIFLOZIN PROPANEDIOL MONOHYDRATE
EQV. TO DAPAGLIFLOZIN…………………10 MG
METFORMIN HYDROCHLORIDE IP…….500 MG
(EXTENDED RELEASE)
EXCIPIENTS……………………………………..Q.S.</t>
  </si>
  <si>
    <t>DAPAGLIFLOZIN 10 MG + METFORMIN HYDROCHLORIDE 500 MG (EXTENDED RELEASE)</t>
  </si>
  <si>
    <t>SGLTD-M 10/1000</t>
  </si>
  <si>
    <t>EACH FILM COATED BILAYERED TABLET CONTAINS:
DAPAGLIFLOZIN PROPANEDIOL MONOHYDRATE
EQV. TO DAPAGLIFLOZIN…………………10 MG
METFORMIN HYDROCHLORIDE IP…….1000 MG
(EXTENDED RELEASE)
EXCIPIENTS……………………………………..Q.S.</t>
  </si>
  <si>
    <t>DAPAGLIFLOZIN 10 MG + METFORMIN HYDROCHLORIDE 1000 MG (EXTENDED RELEASE)</t>
  </si>
  <si>
    <t>SGLTD-S 5/50</t>
  </si>
  <si>
    <t xml:space="preserve">EACH FILM COATED TABLET CONTAINS:
DAPAGLIFLOZIN PROPANEDIOL MONOHYDRATE
EQ. TO DAPAGLIFLOZIN….5 MG
SITAGLIPTIN PHOSPHATE MONOHYDRATE IP
EQ. TO SITAGLIPTIN……50 MG
EXCIPIENTS………………..Q.S. </t>
  </si>
  <si>
    <t>DAPAGLIFLOZIN 5 MG + SITAGLIPTIN 50 MG</t>
  </si>
  <si>
    <t>SGLTD-S 10/100</t>
  </si>
  <si>
    <t xml:space="preserve">EACH FILM COATED TABLET CONTAINS:
DAPAGLIFLOZIN PROPANEDIOL MONOHYDRATE
EQ. TO DAPAGLIFLOZIN…..10 MG
SITAGLIPTIN PHOSPHATE MONOHYDRATE IP
EQ. TO SITAGLIPTIN……100 MG
EXCIPIENTS………………..Q.S. </t>
  </si>
  <si>
    <t>DAPAGLIFLOZIN 10 MG + SITAGLIPTIN 100 MG</t>
  </si>
  <si>
    <t>SGLTD-TRIO 500</t>
  </si>
  <si>
    <t>EACH FILM COATED BILAYERED TABLET CONTAINS:
DAPAGLIFLOZIN PROPANEDIOL MONOHYDRATE EQ. TO DAPAGLIFLOZIN……10MG
SITAGLIPTIN PHOSPHATE MONOHYDRATE IP EQ. TO SITAGLIPTIN…………100MG
METFORMIN HYDROCHLORIDE IP……500MG
(AS EXTENDED RELEASE)
EXCIPIENTS………….Q.S.</t>
  </si>
  <si>
    <t>DAPAGLIFLOZIN 10 MG + SITAGLIPTIN 100 MG + METFORMIN HYDROCHLORIDE 500 MG (AS EXTENDED RELEASE)</t>
  </si>
  <si>
    <t>SGLTD-TRIO 1000</t>
  </si>
  <si>
    <t>EACH FILM COATED BILAYERED TABLET CONTAINS:
DAPAGLIFLOZIN PROPANEDIOL MONOHYDRATE EQ. TO DAPAGLIFLOZIN……10MG
SITAGLIPTIN PHOSPHATE MONOHYDRATE IP EQ. TO SITAGLIPTIN…………100MG
METFORMIN HYDROCHLORIDE IP……1000MG
(AS EXTENDED RELEASE)
EXCIPIENTS………….Q.S.</t>
  </si>
  <si>
    <t>DAPAGLIFLOZIN 10 MG + SITAGLIPTIN 100 MG + METFORMIN HYDROCHLORIDE 1000 MG (AS EXTENDED RELEASE)</t>
  </si>
  <si>
    <t>SGLTR</t>
  </si>
  <si>
    <t>EACH FILM COATED TABLET CONTAINS :
REMOGLIFLOZIN ETABONATE ....100 MG
EXCIPIENTS ………………………….Q.S.</t>
  </si>
  <si>
    <t>REMOGLIFLOZIN ETABONATE 100 MG</t>
  </si>
  <si>
    <t>M/s Glenmark Pharmaceuticals Ltd. , East Sikkim, Sikkim-737135</t>
  </si>
  <si>
    <t>SGLTR-M</t>
  </si>
  <si>
    <t>EACH FILM COATED TABLET CONTAINS :
REMOGLIFLOZIN ETABONATE ....100 MG
METFORMIN HYDROCHLORIDE I.P. …..500 MG
EXCIPIENTS ………………………….Q.S.</t>
  </si>
  <si>
    <t>REMOGLIFLOZIN ETABONATE 100 MG + METFORMIN HYDROCHLORIDE 500 MG</t>
  </si>
  <si>
    <t>SGLTR-M 1000</t>
  </si>
  <si>
    <t>EACH FILM COATED TABLET CONTAINS :
REMOGLIFLOZIN ETABONATE ....100 MG
METFORMIN HYDROCHLORIDE I.P. …..1000 MG
EXCIPIENTS ………………………….Q.S.</t>
  </si>
  <si>
    <t>REMOGLIFLOZIN ETABONATE 100 MG + METFORMIN HYDROCHLORIDE 1000 MG</t>
  </si>
  <si>
    <t>SGLTR-V</t>
  </si>
  <si>
    <t>EACH FILM COATED TABLET CONTAINS :
REMOGLIFLOZIN ETABONATE ....100 MG
VILDAGLIPTIN……………………………..50 MG
EXCIPIENTS ………………………….Q.S.</t>
  </si>
  <si>
    <t>REMOGLIFLOZIN ETABONATE 100 MG + VILDAGLIPTIN 50 MG</t>
  </si>
  <si>
    <t>TEXAKIND</t>
  </si>
  <si>
    <t>EACH FILM COATED TABLET CONTAINS :
TRANEXAMIC ACID IP …500 MG
EXCIPIENTS ………………….Q.S.</t>
  </si>
  <si>
    <t>TRANEXAMIC ACID 500 MG</t>
  </si>
  <si>
    <t>TEXAKIND-MF</t>
  </si>
  <si>
    <t>EACH FILM COATED TABLET CONTAINS :
TRANEXAMIC ACID I.P. ………… 500 MG
MEFENAMIC ACID I.P. ………….250 MG</t>
  </si>
  <si>
    <t>TRANEXAMIC ACID 500 MG + MEFENAMIC ACID 250 MG</t>
  </si>
  <si>
    <t>TEXAKIND INJ</t>
  </si>
  <si>
    <t>EACH 5 ML CONTAINS :
TRANEXAMIC ACID IP ………………….500 MG
WATER FOR INJECTION I.P. ……………..Q.S.</t>
  </si>
  <si>
    <t>500 MG/5ML</t>
  </si>
  <si>
    <t>ZENFLOX-UTI</t>
  </si>
  <si>
    <t>EACH FILM COATED TABLET CONTAINS :
FLAVOXATE HYDROCHLORIDE BP ………..200 MG
OFLOXACIN IP …………………………….. 200 MG</t>
  </si>
  <si>
    <t>ZENFLOX-PLUS 100</t>
  </si>
  <si>
    <t xml:space="preserve">EACH UNCOATED DISPERSIBLE TABLET CONTAINS :
OFLOXACIN IP …….……………………………..100 MG
CEFIXIME IP AS TRIHYDRATE 
EQUIVALENT TO ANHYDROUS CEFIXIME ….100 MG </t>
  </si>
  <si>
    <t xml:space="preserve">OFLOXACIN 100 MG + CEFIXIME 100 MG </t>
  </si>
  <si>
    <t>ZENFLOX-PLUS</t>
  </si>
  <si>
    <t>EACH FILM COATED TABLET CONTAINS :
OFLOXACIN IP ..………………….200 MG
CEFIXIME IP AS TRIHYDRATE 
EQUIVALENT TO ANHYDROUS
CEFIXIME …………………………200 MG
EXCIPIENTS …………………………Q.S.</t>
  </si>
  <si>
    <t xml:space="preserve">OFLOXACIN 200 MG + CEFIXIME 200 MG </t>
  </si>
  <si>
    <t>MANKIND'S HEALTH OK NEW DROPS</t>
  </si>
  <si>
    <t>EACH  SERVING PER ML CONTAINS (APPROX.) :
SOYA PROTEIN HYDROLYSATE 60MG
PROVIDING ESSENTIAL AMINO ACIDS APPROX:
L-LEUCINE…………………4.33 MG
L-ARGININE HYDROCHLORIDE……4.27 MG
L-LYSINE HYDROCHLORIDE………..3.56 MG
L-PHENYLALANINE……………………2.91 MG
L-ISOLEUCINE………………………….2.65 MG
L-VALINE…………………………………2.54 MG
L-THREONINE…………………………..2.05 MG
L-HISTIDINE HYDROCHLORIDE .…1.40 MG
DL-METHIONINE………………………..0.71 MG
L-TRYPTOPHAN…………………………0.65 MG
VITAMIN:
VITAMIN C………………………………..40 MG
VITAMIN B2 ..........................0.60 MG
VITAMIN B1 ...........................0.50 MG
VITAMIN D .............................5.0 MCG
VITAMIN B12 ..........................1.0 MCG
INGREDIENTS : PURIFED WATER, SUCROSE, SOYA  
PROTEIN HYDROLYSATE, STABILIZER (INS 420(I)), L-ASCORBIC ACID, THICKENER (INS 422), ACIDITY REGULATOR [INS 331(III)], PRESERVATIVE(INS 211), RIBOFLAVIN SODIUM PHOSPHATE, THICKENER (INS 415), SEQUESTRANT (INS 386), EMULSIFYING AGENT (INS 433), THIAMINE HYDROCHLORIDE, ANTIOXIDANT (INS 320), ERGOCALCIFEROL &amp; CYANOCOBALAMIN.</t>
  </si>
  <si>
    <t>SOYA PROTEIN HYDROLYSATE 60MG
PROVIDING ESSENTIAL AMINO ACIDS APPROX:
L-LEUCINE 4.33 MG + L-ARGININE HYDROCHLORIDE 4.27 MG + L-LYSINE HYDROCHLORIDE 3.56 MG + L-PHENYLALANINE 2.91 MG + L-ISOLEUCINE 2.65 MG + L-VALINE 2.54 MG + L-THREONINE 2.05 MG + L-HISTIDINE HYDROCHLORIDE 1.40 MG + DL-METHIONINE 0.71 MG + L-TRYPTOPHAN 0.65 MG + VITAMIN C 40 MG + VITAMIN B2 0.60 MG + VITAMIN B1 0.50 MG + VITAMIN D 5.0 MCG + VITAMIN B12 1.0 MCG</t>
  </si>
  <si>
    <t>M/s Tirupati Lifesciences, Nahan Road, Paonta Sahib, Distt. Sirmour (H.P.)-173025</t>
  </si>
  <si>
    <t>MANKIND'S HEALTH OK SACHET</t>
  </si>
  <si>
    <t>EACH  SERVING PER 5G SACHET   
CONTAINS (APPROX.) :
TAURINE ………………………….500 MG
L-CARNITINE FUMRATE
EQIVALENT TO L-CARNITINE………..250 MG
CAFFEINE………………………………………..50 MG
INOSITOL…………………………………………50 MG
NICOTINAMIDE……………………………….20 MG
AMERICAN GINSENG EXTRACT  …………20 MG
(HIGHLY CONCENTRATED &amp; STANDARDIZED, 
GINSENG EXTRACT CORRESPONDING TO 
100 MG OF ROOT OF PANAX QUINQUEFOLIUS)
ZINC SULFATE EQUIVALENT TO ZINC…10 MG
LYCOPENE………………………………5 MG
VITAMIN B6 …………………………….1.5 MG
FOLIC ACID……………………………..0.2 MG
MECOBALAMIN……………………..0.1 MG
INGREDIENTS : SUCROSE, FRUCTOSE, TAURINE,  
L-CARNITINE FUMRATE,  INOSITOL,  LYCOPENE 
POWDER 10%, CAFFINE,  ACIDITY REGULATOR 
(INS 330),  ASPATAME(INS 951),  SUCRALOSE 
(INS 955), ZINC SULPHATE, NICOTINAMIDE, 
AMERICAN GINSENG EXTRACT 20%, PYRIDOXINE 
HYDROCHLORIDE,   HYDROXY PROPYL  METHYL
CELLUOSE (INS 464), ANTIOXIDANT(INS 321),
FOLIC ACID &amp; MECOBALAMIN</t>
  </si>
  <si>
    <t>TAURINE 500 MG + L-CARNITINE L-CARNITINE 250 MG + CAFFEINE 50 MG + INOSITOL 50 MG + NICOTINAMIDE 20 MG + AMERICAN GINSENG EXTRACT 20 MG + ZINC 10 MG + LYCOPENE 5 MG + VITAMIN B6 1.5 MG + FOLIC ACID 0.2 MG + MECOBALAMIN 0.1 MG</t>
  </si>
  <si>
    <t>MANKIND'S HEALTH OK SYRUP</t>
  </si>
  <si>
    <t>EACH  SERVING PER 15ML CONTAINS  :
ASCORBIC ACID………………………….40.0 MG
L-LYSINE HYDROCHLORIDE………..26.25 MG
L-LEUCINE…………………………………...19.21 MG
NICOTINAMIDE………………………….12.0 MG
L-METHIONINE…………………..……..9.66 MG
L-VALINE…………………………………7.035 MG
L-ISOLEUCINE………………………….6.195 MG
L-PHENYLALANINE……………………5.25 MG
L-TRYPTOPHAN…………………………5.25 MG
D-PANTHENOL……………………………5.0 MG
L-THREONINE……………………………..4.41 MG
PYRIDOXINE HYDROCHLORIDE…..1.5 MG
RIBOFLAVIN………………………………..1.1 MG
(AS RIBOFLAVIN SODIUM PHOSPHATE)
THIAMINE HYDROCHLORIDE……….1.0 MG
FOLIC ACID………………………………..0.2 MG
CYANOCOBALAMIN………………….1.0 MCG
INGREDIENTS : SUCROSE, SWEATENER INS 420,  
PRESERVATIVE INS 211, THICKNER INS 415, ACIDITY
REGULATOR INS 330 &amp; 524, DISODIUM EDETATE &amp; SODIUM CITRATE.</t>
  </si>
  <si>
    <t>ASCORBIC ACID.40.0 MG + L-LYSINE HYDROCHLORIDE 26.25 MG + L-LEUCINE 19.21 MG + NICOTINAMIDE 12.0 MG + L-METHIONINE 9.66 MG + L-VALINE 7.035 MG + L-ISOLEUCINE 6.195 MG + L-PHENYLALANINE 5.25 MG +L-TRYPTOPHAN 5.25 MG + D-PANTHENOL 5.0 MG + L-THREONINE 4.41 MG + PYRIDOXINE HYDROCHLORIDE 1.5 MG + RIBOFLAVIN 1.1 MG + THIAMINE HYDROCHLORIDE 1.0 MG + FOLIC ACID 0.2 MG + CYANOCOBALAMIN 1.0 MCG</t>
  </si>
  <si>
    <t>NEOSMILE DROPS</t>
  </si>
  <si>
    <t>EACH ML CONTAINS:
LACTASE ENZYME……………………600 UNITS 
APPROPRIATE OVERAGES OF ENZYME IS ADDED.
TO COMPENSATE THE PROBABLE LOSS ON STORAGE
INGREDIENTS : GLYCEROL (INS 422), SODIUM ACETATE   
(INS 262(i)), GLACIAL  ACETIC ACID (INS 260)</t>
  </si>
  <si>
    <t>LACTASE ENZYME 600 UNITS</t>
  </si>
  <si>
    <t xml:space="preserve">600 UNITS </t>
  </si>
  <si>
    <t>M/s Advanced Vital Enzyme Pvt. Ltd., Plot No. : 211, Iind Phase, G.I.D.C., Vapi-396195</t>
  </si>
  <si>
    <t>AMLOKIND-BETA 25</t>
  </si>
  <si>
    <t>EACH FILM COATED TABLET CONTAINS :
METOPROLOL SUCCINATE IP …………23.75 MG
EQUIVALENT TO METOPROLOL TARTRATE …25 MG
(AS PROLONGED RELEASE FORM)
AMLODIPINE BESILATE IP
EQUIVALENT TO AMLODIPINE ……………….. 5 MG</t>
  </si>
  <si>
    <t>METOPROLOL TARTRATE 25 MG (AS PROLONGED RELEASE FORM) + AMLODIPINE  5 MG</t>
  </si>
  <si>
    <t>Gravitas Mankind (A Division of Mankind Pharma Ltd.)</t>
  </si>
  <si>
    <t>AMLOKIND-BETA 50</t>
  </si>
  <si>
    <t>EACH FILM COATED TABLET CONTAINS :
METOPROLOL SUCCINATE IP …………47.5 MG
EQUIVALENT TO METOPROLOL TARTRATE …50 MG
(AS PROLONGED RELEASE FORM)
AMLODIPINE BESILATE IP
EQUIVALENT TO AMLODIPINE ……………….. 5 MG</t>
  </si>
  <si>
    <t>METOPROLOL TARTRATE 50 MG (AS PROLONGED RELEASE FORM) + AMLODIPINE  5 MG</t>
  </si>
  <si>
    <t>CEFAKIND-CV 250</t>
  </si>
  <si>
    <t>EACH FILM COATED TABLET CONTAINS :
CEFUROXIME AXETIL IP
EQUIVALENT TO ANHYDROUS CEFUROXIME …..250 MG
POTASSIUM CLAVULANATE DILUTED IP
EQUIVALENT TO CLAVULANIC ACID ……125 MG</t>
  </si>
  <si>
    <t>CEFAKIND-CV 500</t>
  </si>
  <si>
    <t>EACH FILM COATED TABLET CONTAINS :
CEFUROXIME AXETIL IP
EQUIVALENT TO ANHYDROUS CEFUROXIME …..500 MG
POTASSIUM CLAVULANATE DILUTED IP
EQUIVALENT TO CLAVULANIC ACID ……125 MG</t>
  </si>
  <si>
    <t>CLARINOVA-250</t>
  </si>
  <si>
    <t>EACH FILM COATED TABLET CONTAINS:
CLARITHROMYCIN IP………250 MG
EXCIPIENTS………………….Q.S.</t>
  </si>
  <si>
    <t>CLARITHROMYCIN 250 MG</t>
  </si>
  <si>
    <t>CLARINOVA-250 DRY SYRUP</t>
  </si>
  <si>
    <t>EACH 5 ML OF CONSTITUTED SUSPENSION CONTAINS:
CLARITHROMYCIN IP………….250 MG
EXCIPIENTS……………………..Q.S.</t>
  </si>
  <si>
    <t>CLARINOVA-500</t>
  </si>
  <si>
    <t>EACH FILM COATED TABLET CONTAINS :
CLARITHROMYCIN IP ………………….500 MG
EXCIPIENTS ………………………………Q.S.</t>
  </si>
  <si>
    <t>CLARITHROMYCIN 500 MG</t>
  </si>
  <si>
    <t>CLARINOVA DRY SYRUP</t>
  </si>
  <si>
    <t>EACH 5 ML OF CONSTITUTED 
SUSPENSION CONTAINS :
CLARITHROMYCIN IP ………………….125 MG
EXCIPIENTS ………………………………Q.S.</t>
  </si>
  <si>
    <t>CLARITHROMYCIN 125 MG</t>
  </si>
  <si>
    <t>D3 MUST 2K</t>
  </si>
  <si>
    <t>EACH UNCOATED CHEWABLE TABLET CONTAINS :
CHOLECALCIFEROL IP (AS STABILIZED)…2,000 I.U.
APPROPRIATE OVERAGE OF VITAMIN IS ADDED</t>
  </si>
  <si>
    <t>CHOLECALCIFEROL IP (AS STABILIZED) 2,000 I.U.</t>
  </si>
  <si>
    <t>2,000 I.U.</t>
  </si>
  <si>
    <t>D3 MUST 60K</t>
  </si>
  <si>
    <t>EACH UNCOATED CHEWABLE TABLET CONTAINS :
CHOLECALCIFEROL IP (AS STABILIZED)…60,000 I.U.
APPROPRIATE OVERAGE OF VITAMIN IS ADDED</t>
  </si>
  <si>
    <t>CHOLECALCIFEROL IP (AS STABILIZED) 60,000 I.U.</t>
  </si>
  <si>
    <t>60,000 I.U.</t>
  </si>
  <si>
    <t>D3 MUST DROPS</t>
  </si>
  <si>
    <t>EACH ML CONTAINS :
CHOLECALCIFEROL IP …………400 IU (10 MCG)
(VITAMIN D3)
PALATABLE BASE …………………Q.S.</t>
  </si>
  <si>
    <t>CHOLECALCIFEROL 400 I.U.</t>
  </si>
  <si>
    <t>400 IU (10 MCG)</t>
  </si>
  <si>
    <t>D3 MUST FORTE DROPS</t>
  </si>
  <si>
    <t>EACH ML (APPROX. 30 DROPS) CONTAINS :
CHOLECALCIFEROL IP …………800 IU
(IN NANO DROPLET FORM)
FLAVOURED BASE ...…QS</t>
  </si>
  <si>
    <t>CHOLECALCIFEROL 800 IU</t>
  </si>
  <si>
    <t>800 IU</t>
  </si>
  <si>
    <t>M/s Tirupati Medicare Limited, Nahan Road, Paonta Sahib, Distt Sirmour (H.P.)-173025</t>
  </si>
  <si>
    <t>D3 MUST NANO ORAL SOLUTION</t>
  </si>
  <si>
    <t>EACH 5 ML CONTAINS:
CHOLECALCIFEROL IP…..60,000 IU
(IN NANO DROPLET FORM)
IN A FLAVOURED BASE….Q.S.
COLOUR: TARTRAZINE</t>
  </si>
  <si>
    <t>60,000 IU</t>
  </si>
  <si>
    <t>DOLOKIND-AA</t>
  </si>
  <si>
    <t>EACH FILM COATED TALBET CONTAINS :
ACECLOFENAC IP …………………………100 MG
PARACETAMOL IP ………………………..325 MG
SERRATIOPEPTIDASE …………………..15 MG
(30,000 UNITS OF SERRATIOPEPTIDASE)
(AS GASTRO-RESISTANT GRANULES)</t>
  </si>
  <si>
    <t xml:space="preserve">ACECLOFENAC IP 100 MG + PARACETAMOL IP 325 MG + SERRATIOPEPTIDASE 15 MG
</t>
  </si>
  <si>
    <t>GLIMESTAR-MV1</t>
  </si>
  <si>
    <t>EACH UNCOATED BILAYERED TABLET CONTAINS:
GLIMEPIRIDE IP……1 MG
VOGLIBOSE IP……..0.2 MG
METFORMIN HYDROCHLORIDE IP…..500 MG
(AS EXTENDED RELEASE)
EXCIPIENTS………..Q.S.</t>
  </si>
  <si>
    <t>GLIMEPIRIDE 1 MG + VOGLIBOSE 0.2 MG + HYDROCHLORIDE 500 MG (AS EXTENDED RELEASE)</t>
  </si>
  <si>
    <t>GLIMESTAR-MV2</t>
  </si>
  <si>
    <t>EACH UNCOATED BILAYERED TABLET CONTAINS:
GLIMEPIRIDE IP……2 MG
VOGLIBOSE IP……..0.2 MG
METFORMIN HYDROCHLORIDE IP…..500 MG
(AS EXTENDED RELEASE)
EXCIPIENTS………..Q.S.</t>
  </si>
  <si>
    <t>GLIMEPIRIDE 2 MG + VOGLIBOSE 0.2 MG + HYDROCHLORIDE500 MG</t>
  </si>
  <si>
    <t>LIZOFORCE DRY SYRUP</t>
  </si>
  <si>
    <t>EACH 5 ML OF CONSTITUTED SUSPENSION CONTAINS :
LINEZOLID IP……………………….100 MG
FLAVOURED SYRUPY BASE …………..Q.S.</t>
  </si>
  <si>
    <t>LINEZOLID 100 MG</t>
  </si>
  <si>
    <t>M/s Hetero Labs Limited (Unit-II),  Village Kalyanpur, Chakkan Road, Tehsil Baddi, Distt Solan (H.P.)-173205</t>
  </si>
  <si>
    <t>LIZOFORCE-600</t>
  </si>
  <si>
    <t>EACH FILM COATED TABLET CONTAINS :
LINEZOLID IP………………………..600 MG</t>
  </si>
  <si>
    <t>LINEZOLID 600 MG</t>
  </si>
  <si>
    <t>600 MG</t>
  </si>
  <si>
    <t>LIZOFORCE I.V.</t>
  </si>
  <si>
    <t>EACH 100 ML CONTAINS :
LINEZOLID IP……………………….200 MG
DEXTROSE (ANHYDROUS) IP ….5% W/V
WATER FOR INJECTION IP ……….Q.S.</t>
  </si>
  <si>
    <t>LINEZOLID 200 MG + DEXTROSE (ANHYDROUS) 5% W/V</t>
  </si>
  <si>
    <t>MAHAGABA M-75</t>
  </si>
  <si>
    <t>EACH HARD GELATIN CAPSULE CONTAINS :
PREGABALIN …………………………………75 MG
METHYLCOBALAMIN …………………………750 MCG
(AS FILM COATED TABLET)</t>
  </si>
  <si>
    <t>PREGABALIN 75 MG + METHYLCOBALAMIN 750 MCG</t>
  </si>
  <si>
    <t>MAHAGABA-M OD</t>
  </si>
  <si>
    <t>EACH FILM COATED BILAYERED TABLET CONTAINS:
METHYLCOBALAMIN JP ……………………1500 MCG
PREGABALIN IP …………………………………75 MG
(AS SUSTAINED RELEASE)</t>
  </si>
  <si>
    <t>PREGABALIN 75 MG + METHYLCOBALAMIN 1500 MCG</t>
  </si>
  <si>
    <t>MAHAGABA-NT 75 TABLETS</t>
  </si>
  <si>
    <t>EACH FILM COATED BILAYERED TABLET CONTAINS:
NORTRIPTYLINE HYDROCHLORIDE IP
EQ. TO NORTRIPTYLINE……10.0 MG
PREGABALIN IP………………75.0 MG
(AS SUSTAINED RELEASE FORM)</t>
  </si>
  <si>
    <t>PREGABALIN 75 MG + NORTRIPTYLINE 10.0 MG</t>
  </si>
  <si>
    <t>NIMULID TABLETS</t>
  </si>
  <si>
    <t xml:space="preserve">Each uncoated tablet contains:
Nimesulide BP ….100 mg </t>
  </si>
  <si>
    <t>NIMULID-AP</t>
  </si>
  <si>
    <t>EACH UNCOATED TABLET CONTAINS:
ACECLOFENAC IP........................100 MG
PARACETAMOL IP........................325MG
EXCIPIENTS........Q.S.</t>
  </si>
  <si>
    <t>ACECLOFENAC 100 MG + PARACETAMOL 325MG</t>
  </si>
  <si>
    <t>NIMULID-ATH 4</t>
  </si>
  <si>
    <t>EACH FILM COATED TABLET CONTAINS:
THIOCOLCHICOSIDE IP……………….4MG
ACECLOFENAC IP………………………...100MG
EXCIPIENTS………………………………….Q.S.</t>
  </si>
  <si>
    <t>NIMULID-ATH 8</t>
  </si>
  <si>
    <t>EACH FILM COATED TABLET CONTAINS:
THIOCOLCHICOSIDE IP…..8MG
ACECLOFENAC IP…..100MG
EXCIPIENTS……..Q.S.</t>
  </si>
  <si>
    <t>NIMULID-HF TABLETS</t>
  </si>
  <si>
    <t xml:space="preserve">Each Uncoated Tablet Contains:
Nimesulide BP…..100MG
Paracetamol IP ….. 325MG
Colour: Lake Quinoline Yellow </t>
  </si>
  <si>
    <t>NIMULID-MD TABLETS</t>
  </si>
  <si>
    <t xml:space="preserve">Each uncoated dispersible tablet contains:
Nimesulide BP ….100 mg </t>
  </si>
  <si>
    <t>NUROKIND-Z MORE</t>
  </si>
  <si>
    <t>EACH FILM COATED TABLET CONTAINS :
ZINC SULPHATE MONOHYDRATE U.S.P. ….61.8 MG
METHYLCOBALAMIN ………………………. 500 MCG
PYRIDOXINE HYDROCHLORIDE I.P. …………3 MG
FOLIC ACID I.P. ……………………………….1.5 MG
NIACINAMIDE I.P. ……………………………50 MG
CHROMIUM  …………………………………..50 MCG
(AS CHROMIUM PICOLINATE U.S.P.)</t>
  </si>
  <si>
    <t xml:space="preserve">
ZINC SULPHATE MONOHYDRATE 61.8 MG + METHYLCOBALAMIN 500 MCG + PYRIDOXINE HYDROCHLORIDE 3 MG + FOLIC ACID 1.5 MG + NIACINAMIDE 50 MG + CHROMIUM 50 MCG + 
(AS CHROMIUM PICOLINATE U.S.P.)</t>
  </si>
  <si>
    <t>ORTHOBOON SACHET</t>
  </si>
  <si>
    <t>EACH SERVING 12G (ONE SACHET) CONTAINS :
COLLAGEN PEPTIDES  ……. 10 GM (83.33% W/W)
GLUCOSAMINE SULPHATE POTASSIUM
CHLORIDE……………………………..1500 MG (12.5% W/W)
VITAMIN C……………………………..35 MG (0.29% W/W)
APPROPRIATE OVERAGES OF VITAMIN  ADDED.
INGREDIENTS :  BIOACTIVE COLLAGEN PEPTIDES ,
GLUCOSAMINE SULPHATE POTASSIUM CHLORIDE,
ACIDITY REGULATOR (330), FLAVOURS (ORANGE &amp;
PINEAPPLE), ASCORBIC ACID &amp; SWEETENER
SUCRALOSE (995)</t>
  </si>
  <si>
    <t>COLLAGEN PEPTIDES  10 GM (83.33% W/W) + GLUCOSAMINE SULPHATE POTASSIUM CHLORIDE 1500 MG (12.5% W/W) + VITAMIN C 35 MG (0.29% W/W)</t>
  </si>
  <si>
    <t>POLMAFORCE</t>
  </si>
  <si>
    <t>EACH HARD GELATIN CAPSULE CONTAINS:
POLMACOXIB..……2 MG
EXCIPIENTS……….Q.S.</t>
  </si>
  <si>
    <t>POLMACOXIB 2 MG</t>
  </si>
  <si>
    <t>SITADAY-50</t>
  </si>
  <si>
    <t>EACH FILM COATED TABLET CONTAINS:
SITAGLIPTIN PHOSPHATE MONOHYDRATE IP
EQ TO SITAGLIPTIN……50 MG
EXCIPIENTS…………….Q.S.</t>
  </si>
  <si>
    <t>SITAGLIPTIN 50 MG</t>
  </si>
  <si>
    <t>SITADAY-100</t>
  </si>
  <si>
    <t>EACH FILM COATED TABLET CONTAINS:
SITAGLIPTIN PHOSPHATE MONOHYDRATE IP
EQ TO SITAGLIPTIN……100 MG
EXCIPIENTS…………….Q.S.</t>
  </si>
  <si>
    <t>SITAGLIPTIN 100 MG</t>
  </si>
  <si>
    <t>SITADAY-D5</t>
  </si>
  <si>
    <t>EACH FILM COATED TABLET CONTAINS:
SITAGLIPTIN PHOSPHATE MONOHYDRATE IP EQ. TO SITAGLIPTIN........50 MG
DAPAGLIFLOZIN PROPANEDIOL MONOHYDRATE EQ. TO DAPAGLIFLOZIN.....5 MG
EXCIPIENTS............Q.S.</t>
  </si>
  <si>
    <t>SITAGLIPTIN 50 MG + DAPAGLIFLOZIN 5 MG</t>
  </si>
  <si>
    <t>SITADAY-D 10</t>
  </si>
  <si>
    <t>EACH FILM COATED TABLET CONTAINS:
SITAGLIPTIN PHOSPHATE MONOHYDRATE IP EQ. TO SITAGLIPTIN........100 MG
DAPAGLIFLOZIN PROPANEDIOL MONOHYDRATE EQ. TO DAPAGLIFLOZIN.....10 MG
EXCIPIENTS............Q.S.</t>
  </si>
  <si>
    <t>SITAGLIPTIN 100 MG + DAPAGLIFLOZIN 10 MG</t>
  </si>
  <si>
    <t>SITADAY-DM</t>
  </si>
  <si>
    <t>EACH FILM COATED BILAYERED TABLET CONTAINS:
DAPAGLIFLOZIN PROPANEDIOL MONOHYDRATE EQV. TO DAPAGLIFLOZIN………………..10 MG
SITAGLIPTIN PHOSPHATE MONOHYDRATE IP EQV. TO SITAGLIPTIN……..100 MG
METFORMIN HYDROCHLORIDE IP…..500 MG
(AS EXTENDED RELEASE)
EXCIPIENTS.......................................Q.S.</t>
  </si>
  <si>
    <t>DAPAGLIFLOZIN 10 MG + SITAGLIPTIN 100 MG + HYDROCHLORIDE 500 MG(AS EXTENDED RELEASE)</t>
  </si>
  <si>
    <t>SITADAY-DM FORTE</t>
  </si>
  <si>
    <t>EACH FILM COATED BILAYERED TABLET CONTAINS:
DAPAGLIFLOZIN PROPANEDIOL MONOHYDRATE EQV. TO DAPAGLIFLOZIN............10 MG
SITAGLIPTIN PHOSPHATE MONOHYDRATE IP EQV. TO SITAGLIPTIN……...........100 MG
METFORMIN HYDROCHLORIDE IP…...............................1000 MG
(AS EXTENDED RELEASE)
EXCIPIENT...........Q.S.</t>
  </si>
  <si>
    <t>DAPAGLIFLOZIN 10 MG + SITAGLIPTIN 100 MG + HYDROCHLORIDE 1000 MG (AS EXTENDED RELEASE)</t>
  </si>
  <si>
    <t>SITADAY-M 500</t>
  </si>
  <si>
    <t>EACH FILM COATED TABLET CONTAINS:
SITAGLIPTIN PHOSPHATE MONOHYDRATE IP
EQ TO SITAGLIPTIN……50 MG
METFORMIN HYDROCHLORIDE IP…..500 MG
EXCIPIENTS…………….Q.S.</t>
  </si>
  <si>
    <t>SITADAY-M 1000</t>
  </si>
  <si>
    <t>EACH FILM COATED TABLET CONTAINS:
SITAGLIPTIN PHOSPHATE MONOHYDRATE IP
EQ TO SITAGLIPTIN……50 MG
METFORMIN HYDROCHLORIDE IP…..1000 MG
EXCIPIENTS…………….Q.S.</t>
  </si>
  <si>
    <t>SITAGLIPTIN 50 MG + HYDROCHLORIDE 1000 MG</t>
  </si>
  <si>
    <t>TELMIKIND-CT 40</t>
  </si>
  <si>
    <t>EACH UNCOATED BILAYERED TABLET CONTAINS :
TELMISARTAN IP …………….40 MG
CHLORTHALIDONE IP….12.5 MG
EXCIPIENTS …………………….Q.S.</t>
  </si>
  <si>
    <t>TELMISARTAN 40 MG + CHLORTHALIDONE 12.5 MG</t>
  </si>
  <si>
    <t>TELMIKIND-CT 40/6.25</t>
  </si>
  <si>
    <t>EACH UNCOATED BILAYERED TABLET CONTAINS :
TELMISARTAN IP …………….40 MG
CHLORTHALIDONE IP….6.25 MG
EXCIPIENTS …………………….Q.S.</t>
  </si>
  <si>
    <t>TELMISARTAN 40 MG + CHLORTHALIDONE 6.25 MG</t>
  </si>
  <si>
    <t>TELMIKIND-CT 80 TABLETS</t>
  </si>
  <si>
    <t>EACH UNCOATED BILAYERED TABLET CONTAINS:
TELMISARTAN IP……………80 MG
CHLORTHALIDONE IP……..12.5 MG
EXCIPIENTS…………………Q.S.</t>
  </si>
  <si>
    <t>TELMISARTAN 80 MG + CHLORTHALIDONE 12.5 MG</t>
  </si>
  <si>
    <t>TELMIKIND-LN</t>
  </si>
  <si>
    <t>EACH FILM COATED TABLET CONTAINS:
CILNIDIPINE IP……..10 MG
TELMISARTAN IP….40 MG
EXCIPIENTS……….Q.S.</t>
  </si>
  <si>
    <t>TELMISARTAN 40 MG + CILNIDIPINE 10 MG</t>
  </si>
  <si>
    <t>TELMIKIND LNB-25</t>
  </si>
  <si>
    <t>EACH FILM COATED BILAYERED TABLET CONTAINS:
TELMISARTAN IP…….40 MG
CILNIDIPINE IP……….10 MG
METOPROLOL SUCCINATE IP……23.75 MG
EQ. TO METOPROLOL TARTRATE…….25 MG
(AS EXTENDED RELEASE)
EXCIPIENTS………Q.S.</t>
  </si>
  <si>
    <t>TELMISARTAN 40 MG + CILNIDIPINE 10 MG + METOPROLOL SUCCINATE 23.75 MG + METOPROLOL TARTRATE 25 MG(AS EXTENDED RELEASE)</t>
  </si>
  <si>
    <t>TELMIKIND LNB-50</t>
  </si>
  <si>
    <t>EACH FILM COATED BILAYERED TABLET CONTAINS:
TELMISARTAN IP…….40 MG
CILNIDIPINE IP……….10 MG
METOPROLOL SUCCINATE IP……47.50 MG
EQ. TO METOPROLOL TARTRATE…….50 MG
(AS EXTENDED RELEASE)
EXCIPIENTS………Q.S.</t>
  </si>
  <si>
    <t>TELMISARTAN 40 MG + CILNIDIPINE 10 MG + METOPROLOL SUCCINATE 47.50 MG + METOPROLOL TARTRATE 50 MG(AS EXTENDED RELEASE)</t>
  </si>
  <si>
    <t>VERTISTAR-MD 8</t>
  </si>
  <si>
    <t>EACH UNCOATED DISPERSIBLE TABLET CONTAINS :
BETAHISTINE DIHYDROCHLORIDE I.P.…. 8 MG
EXCIPIENTS ……………………………..Q.S.</t>
  </si>
  <si>
    <t>BETAHISTINE DIHYDROCHLORIDE 8 MG</t>
  </si>
  <si>
    <t>8 MG</t>
  </si>
  <si>
    <t>VERTISTAR-MD 16</t>
  </si>
  <si>
    <t>EACH UNCOATED DISPERSIBLE TABLET CONTAINS :
BETAHISTINE DIHYDROCHLORIDE I.P.…. 16 MG
EXCIPIENTS ……………………………..Q.S.</t>
  </si>
  <si>
    <t>BETAHISTINE DIHYDROCHLORIDE 16 MG</t>
  </si>
  <si>
    <t>16 MG</t>
  </si>
  <si>
    <t>VERTISTAR-MD 24</t>
  </si>
  <si>
    <t>EACH UNCOATED DISPERSIBLE TABLET CONTAINS :
BETAHISTINE DIHYDROCHLORIDE I.P.…. 24 MG
EXCIPIENTS ……………………………..Q.S.</t>
  </si>
  <si>
    <t>BETAHISTINE DIHYDROCHLORIDE 24 MG</t>
  </si>
  <si>
    <t>24 MG</t>
  </si>
  <si>
    <t>OVERZYME-10000 CAPSULES</t>
  </si>
  <si>
    <t>EACH HARD GELATIN CAPSULE CONTAINS:
PANCREATIN IP (AS GASTRO-RESISTANT PELLETS) 
EQ. TO LIPASE ACTIVITY…....10000 PH. EUR. UNITS
AMYLASE ACTIVITY………60000 PH. EUR. UNITS
PORTEASE ACTIVITY…….350 PH. EUR. UNITS</t>
  </si>
  <si>
    <t>LIPASE ACTIVITY 10000 PH. EUR. UNITS + AMYLASE ACTIVITY 60000 PH. EUR. UNITS + PORTEASE ACTIVITY 350 PH. EUR. UNITS</t>
  </si>
  <si>
    <t>OVERZYME-25000 CAPSULES</t>
  </si>
  <si>
    <t>EACH HARD GELATIN CAPSULE CONTAINS:
PANCREATIN IP (AS GASTRO-RESISTANT PELLETS) 
EQ. TO LIPASE ACTIVITY…....25000 PH. EUR. UNITS
AMYLASE ACTIVITY………18000 PH. EUR. UNITS
PORTEASE ACTIVITY…….1000 PH. EUR. UNITS</t>
  </si>
  <si>
    <t>LIPASE ACTIVITY 25000 PH. EUR. UNITS + AMYLASE ACTIVITY 18000 PH. EUR. UNITS + PORTEASE ACTIVITY 1000 PH. EUR. UNITS</t>
  </si>
  <si>
    <t>OVERZYME SYRUP</t>
  </si>
  <si>
    <t>EACH  SERVING PER 5ML CONTAINS (APPROX.)  :
DIASTASE  (1:1200) ………50 MG
(FUNGAL DIASTASE DERIVED FROM
ASPERGILLUS ORYZAE DIGESTS NOT LESS 
THAN 60 GM OF COOKED STARCH)
ALPHA-GALACTOSIDASE………………..25 MG
PEPSIN (1:3000)  ……………….10 MG
(DIGESTS NOT LESS THAN 30 G OF 
COAGULATED EGG ALBUMIN)
LIPASE………………………………..10 MG
FLAVOURED LIQUID BASE……….Q.S.
OTHER INGREDIENTS : SUCROSE, DEXTROSE, SORBITOL   
SOLUTION (INS 420), GLYCERINE, PROPYLENE GLYCOL
(INS 1520), POLYETHYLENE GLYCOL 4000 (INS 1521),
CITRIC ACID (INS 330), EDTA, CLASS II PRESERVATIVES (INS 211, 217 &amp; 218) 
CONTAINS PERMITTED NATURAL
COLOUR  CARAMEL COLOUR  (INS 150) &amp; ADDED 
FLAVOUR ANISEED OIL
OVERAGES  ADDED TO COMPENSATE LOSS ON STORAGE.</t>
  </si>
  <si>
    <t>DIASTASE  (1:1200) 50 MG + ALPHA-GALACTOSIDASE 25 MG + PEPSIN (1:3000) 10 MG + LIPASE 10 MG</t>
  </si>
  <si>
    <t>ABEVIA-100</t>
  </si>
  <si>
    <t>EACH HARD GELATIN CAPSULE CONTAINS:
ACEBROPHYLLINE………100 MG
CAPSULE SHELL COLOURS:
BRILLIANT BLUE FCF &amp; TITANIUM DIOXIDE IP
(SODIUM METHYLPARABEN IP &amp; SODIUM PROPYLPARABEN IP USED AS PRESERVATIVES)</t>
  </si>
  <si>
    <t>ACEBROPHYLLINE 100 MG</t>
  </si>
  <si>
    <t>Aspiris Mankind (A Division of Mankind Pharma Ltd.)</t>
  </si>
  <si>
    <t>ABEVIA-200 SR</t>
  </si>
  <si>
    <t>EACH FILM COATED SUSTAINED RELEASE TABLET CONTAINS:
ACEBROPHYLLINE………..200 MG
COLOUR: TITANIUM DIOXIDE IP</t>
  </si>
  <si>
    <t>ACEBROPHYLLINE 200 MG</t>
  </si>
  <si>
    <t>ABEVIA-N</t>
  </si>
  <si>
    <t>EACH FILM COATED BILAYERED TABLET CONTAINS:
ACEBROPHYLLINE………..100MG
ACETYLCYSTEINE BP…….600MG
COLOUR: QUINOLINE YELLOW WS</t>
  </si>
  <si>
    <t>ACEBROPHYLLINE 100MG + 
ACETYLCYSTEINE BP 600MG</t>
  </si>
  <si>
    <t>COMBIHALE-FB 100 DPI CAPSULES</t>
  </si>
  <si>
    <t>EACH CAPSULE CONTAINS:
FORMOTEROL FUMARATE DIHYDRATE I.P.
EQ. TO FORMOTEROL FUMARATE…..6 MCG
BUDESONIDE I.P…………………………100 MCG
EXCIPIENTS…………….Q.S.</t>
  </si>
  <si>
    <t>FORMOTEROL FUMARATE 6 MCG + 
BUDESONIDE I.P. 100 MCG</t>
  </si>
  <si>
    <t>COMBIHALE-FB 200 REDICAPS</t>
  </si>
  <si>
    <t>EACH CAPSULE CONTAINS:
FORMOTEROL FUMARATE DIHYDRATE I.P.
EQ. TO FORMOTEROL FUMARATE…..6 MCG
BUDESONIDE I.P…………………………200 MCG</t>
  </si>
  <si>
    <t>FORMOTEROL FUMARATE 6 MCG + 
BUDESONIDE I.P. 200 MCG</t>
  </si>
  <si>
    <t>COMBIHALE-FB 200 INHALER</t>
  </si>
  <si>
    <t>EACH ACTUATION DELIVERS:
FORMOTEROL FUMARATE DIHYDRATE I.P.
EQ. TO FORMOTEROL FUMARATE…..6 MCG
BUDESONIDE I.P…………………………200 MCG
SUSPENDED IN PROPELLANT HFA134a……Q.S.</t>
  </si>
  <si>
    <t>COMBIHALE-FB 400 INHALER</t>
  </si>
  <si>
    <t>EACH ACTUATION DELIVERS:
FORMOTEROL FUMARATE DIHYDRATE I.P.
EQ. TO FORMOTEROL FUMARATE…..6 MCG
BUDESONIDE I.P…………………………400 MCG
SUSPENDED IN PROPELLANT HFA134a……Q.S.</t>
  </si>
  <si>
    <t>FUMARATE 6 MCG + 
BUDESONIDE I.P. 400 MCG</t>
  </si>
  <si>
    <t>COMBIHALE-FB 400 REDICAPS</t>
  </si>
  <si>
    <t>EACH CAPSULE CONTAINS:
FORMOTEROL FUMARATE DIHYDRATE I.P.
EQ. TO FORMOTEROL FUMARATE…..6 MCG
BUDESONIDE I.P…………………………400 MCG</t>
  </si>
  <si>
    <t>COMBIHALE-FB FORTE DPI CAPSULES</t>
  </si>
  <si>
    <t>EACH CAPSULE CONTAINS:
FORMOTEROL FUMARATE DIHYDRATE I.P
EQ. TO FORMOTEROL FUMARATE…….12 MCG
BUDESONIDE I.P……..400 MCG
EXCIPIENTS…………..Q.S.</t>
  </si>
  <si>
    <t>FUMARATE 12 MCG + 
BUDESONIDE I.P. 400 MCG</t>
  </si>
  <si>
    <t>COMBIHALE-FF 100 REDICAPS</t>
  </si>
  <si>
    <t>EACH CAPSULE CONTAINS:
FORMOTEROL FUMARATE DIHYDRATE I.P.
EQ. TO FORMOTEROL FUMARATE…..6 MCG
FLUTICASONE PROPIONATE IP………100 MCG</t>
  </si>
  <si>
    <t>FUMARATE 6 MCG + 
FLUTICASONE PROPIONATE IP 100 MCG</t>
  </si>
  <si>
    <t>COMBIHALE-FF 250 REDICAPS</t>
  </si>
  <si>
    <t>EACH CAPSULE CONTAINS:
FORMOTEROL FUMARATE DIHYDRATE I.P.
EQ. TO FORMOTEROL FUMARATE…..6 MCG
FLUTICASONE PROPIONATE IP………250 MCG</t>
  </si>
  <si>
    <t>COMBIHALE-FF 500 REDICAPS</t>
  </si>
  <si>
    <t>EACH CAPSULE CONTAINS:
FORMOTEROL FUMARATE DIHYDRATE I.P.
EQ. TO FORMOTEROL FUMARATE…..6 MCG
FLUTICASONE PROPIONATE IP………500 MCG</t>
  </si>
  <si>
    <t>FUMARATE 6 MCG + 
FLUTICASONE PROPIONATE IP 500 MCG</t>
  </si>
  <si>
    <t>COMBIHALE-FF 125 INHALER</t>
  </si>
  <si>
    <t>EACH ACTUATION DELIVERS:
FORMOTEROL FUMARATE DIHYDRATE I.P.
EQ. TO FORMOTEROL FUMARATE…..6 MCG
FLUTICASONE PROPIONATE IP………125 MCG
SUSPENDED INERT PROPELLANT……Q.S.</t>
  </si>
  <si>
    <t>FUMARATE 6 MCG + 
FLUTICASONE PROPIONATE IP 125 MCG</t>
  </si>
  <si>
    <t>COMBIHALE-FF 250 INHALER</t>
  </si>
  <si>
    <t>EACH ACTUATION DELIVERS:
FORMOTEROL FUMARATE DIHYDRATE I.P.
EQ. TO FORMOTEROL FUMARATE…..6 MCG
FLUTICASONE PROPIONATE IP………250 MCG
SUSPENDED IN PROPELLANT HFA134a……Q.S.</t>
  </si>
  <si>
    <t>FUMARATE 6 MCG + 
FLUTICASONE PROPIONATE IP 250 MCG</t>
  </si>
  <si>
    <t xml:space="preserve">COMBIHALE-G </t>
  </si>
  <si>
    <t>EACH CAPSULE CONTAINS:
FORMOTEROL FUMARATE DIHYDRATE IPEQ. TO FORMOTEROL FUMARATE……..12 MCG
GLYCOPYRROLATE IP EQ. TO GLYCOPYRRONIUM……….25 MCG
BUDESONIDE IP…………..400 MCG
EXCIPIENTS……………….Q.S.</t>
  </si>
  <si>
    <t>FUMARATE 12 MCG + 
GLYCOPYRRONIUM 25 MCG + 
BUDESONIDE IP 400 MCG</t>
  </si>
  <si>
    <t>FLUTIWAYS NASAL SPRAY</t>
  </si>
  <si>
    <t>EACH SPRAY DELIVERS:
FLUTICASONE FUROATE……27.5  MCG
FLUTICASONE FUROATE…..0.0306 % W/W
BENZALKONIUM
CHLORIDE IP…..0.015 % W/W
(AS PRESERVATIVE)
EXCIPIENTS…..Q.S.</t>
  </si>
  <si>
    <t>FLUTICASONE FUROATE 27.5  MCG
FLUTICASONE FUROATE 0.0306 % W/W</t>
  </si>
  <si>
    <t>FLUTIWAYS-AZ NASAL SPRAY</t>
  </si>
  <si>
    <t>EACH ACTUATION DELIVERS:
FLUTICASONE FUROATE……27.5 MCG
AZELASTINE
HYDROCHLORIDE IP………140 MCG
COMPOSITION:
FLUTICASONE FUROATE 0.0275 % W/W
AZELASTINE
HYDROCHLORIDE IP………0.140 % W/W
BENZALKONIUM
CHLORIDE IP………..0.01 % W/W
(AS PRESERVATIVE)
EXCIPIENTS……….Q.S.</t>
  </si>
  <si>
    <t>FLUTICASONE FUROATE 27.5 MCG + 
AZELASTINE HYDROCHLORIDE IP 140 MCG
FLUTICASONE FUROATE 0.0275 % W/W
AZELASTINE HYDROCHLORIDE IP 0.140 % W/W</t>
  </si>
  <si>
    <t>GLYCOBREEZ-F DPI CAPSULES</t>
  </si>
  <si>
    <t>EACH CAPSULE CONTAINS:
GLYCOPYRROLATE IP
EQ. TO GLYCOPYRRONIUM…25 MCG
FORMOTEROL FUMARATE DIHYDRATE IP……….12 MCG
EXCIPIENTS………….Q.S.</t>
  </si>
  <si>
    <t>GLYCOPYRRONIUM 25 MCG + 
FORMOTEROL FUMARATE DIHYDRATE IP 12 MCG</t>
  </si>
  <si>
    <t>IPRAFLO DPI CAPSULES</t>
  </si>
  <si>
    <t>EACH CAPSULE CONTAINS:
IPIRATROPIUM BROMIDE IP EQ. TO ANHYDROUS 
IPRAREOPIUM BROMIDE…..40 MCG
LEVOSALBUTAMOL SULPHATE IP
EQ. TO LEVOSALBUTAMOL….100 MCG
EXCIPIENT…………….Q.S.</t>
  </si>
  <si>
    <t xml:space="preserve">LECOPE-M </t>
  </si>
  <si>
    <t>EACH UNCOATED TABLET CONTAINS :
MONTELUKAST SODIUM IP
EQUIVALENT TO MONTELUKAST ……………10 MG
LEVOCETIRIZINE DIHYDROCHLORIDE IP ……5 MG</t>
  </si>
  <si>
    <t>MONTELUKAST 10 MG + LEVOCETIRIZINE DIHYDROCHLORIDE IP 5 MG</t>
  </si>
  <si>
    <t>MANKIND'S I BREATHE DPI DEVICE</t>
  </si>
  <si>
    <t>THE BOX CONTAINS:
1 DEVICE IN PROTECTIVE POUCH
1 LEAFLET</t>
  </si>
  <si>
    <t>MANKIND'S AIR SPACE</t>
  </si>
  <si>
    <t>THE BOX CONTAINS:
1 AIR SPACE DEVICE
1 PROTECTIVE JAR 
1 HOW TO USE LEAFLET</t>
  </si>
  <si>
    <t>MANTEDANIB-100</t>
  </si>
  <si>
    <t>EACH SOFT GELATIN CAPSULE CONTAINS:
NINTEDANIB ETHANESULFONATE…..120.4 MG
EQ. TO NNTEDANIB……………………100 MG
EXCIPIENTS…………………………….Q.S.</t>
  </si>
  <si>
    <t>NNTEDANIB 100 MG</t>
  </si>
  <si>
    <t>MANTEDANIB-150</t>
  </si>
  <si>
    <t>EACH SOFT GELATIN CAPSULE CONTAINS:
NINTEDANIB ETHANESULFONATE…..180.6 MG
EQ. TO NNTEDANIB……………………150 MG
EXCIPIENTS…………………………….Q.S.</t>
  </si>
  <si>
    <t>NNTEDANIB 150 MG</t>
  </si>
  <si>
    <t>MLIFE TABLETS</t>
  </si>
  <si>
    <t>EACH FILM COATED BILAYERED TABLET CONTAINS:
BILASTINE……..20 MG
MONTELUKAST SODIUM IP
EQV. TO MONTELUKAST…..10 MG
EXCIPIENTS….Q.S.</t>
  </si>
  <si>
    <t>BILASTINE 20 MG + 
MONTELUKAST 10 MG</t>
  </si>
  <si>
    <t>NUROKIND-D3</t>
  </si>
  <si>
    <t>EACH FILM COATED TABLET CONTAINS :
ALPHA LIPOIC ACID USP ……………….100 MG
PYRIDOXINE HYDROCHLORIDE IP …….. 3 MG
METHYLCOBALAMIN IP ……………….1500 MCG
FOLIC ACID IP …………………………….1.5 MG
VITAMIN D3 IP ………………………..1000 IU
EXCIPIENTS ………………………………………….Q.S.
APPROPRIATE OVERAGES OF VITAMINS ARE ADDED
TO COMPENSATE LOSS ON STORAGE</t>
  </si>
  <si>
    <t>ALPHA LIPOIC ACID USP  100 MG + 
PYRIDOXINE HYDROCHLORIDE IP  3 MG + 
METHYLCOBALAMIN IP  1500 MCG + 
FOLIC ACID IP  1.5 MG +
VITAMIN D3 IP  1000 IU</t>
  </si>
  <si>
    <t>100 MG+3 MG+1500 MCG+1.5 MG+1000 IU</t>
  </si>
  <si>
    <t>VILMIST CAPSULES</t>
  </si>
  <si>
    <t xml:space="preserve">EACH CAPSULE CONTAINS:
FLUTICASONE FUROATE....100 MCG
VILANTEROL TRIFENATATE EQ. TO VILANTEROL.....25 MCG
EXCIPIENT......................Q.S. </t>
  </si>
  <si>
    <t>FLUTICASONE FUROATE 100 MCG + 
VILANTEROL 25 MCG</t>
  </si>
  <si>
    <t>VILMIST 200 CAPSULES</t>
  </si>
  <si>
    <t xml:space="preserve">EACH CAPSULE CONTAINS:
FLUTICASONE FUROATE PH. EUR....200 MCG
VILANTEROL TRIFENATATE EQ. TO VILANTEROL..25 MCG
EXCIPIENT......................Q.S. </t>
  </si>
  <si>
    <t>FLUTICASONE FUROATE 200 MCG + 
VILANTEROL 25 MCG</t>
  </si>
  <si>
    <t>CLONABRIS-0.25 TABLETS</t>
  </si>
  <si>
    <t>EACH UNCOATED DISPERSIBLE TABLET CONTAINS:
CLONAZEPAM IP……..0.25 MG
EXCIPIENTS…………..Q.S.</t>
  </si>
  <si>
    <t>CLONAZEPAM 0.25 MG</t>
  </si>
  <si>
    <t>0.25 MG</t>
  </si>
  <si>
    <t>Cerebris Mankind (A Division of Mankind Pharma Ltd.)</t>
  </si>
  <si>
    <t>CLONABRIS-0.5 TABLETS</t>
  </si>
  <si>
    <t>EACH UNCOATED DISPERSIBLE TABLET CONTAINS:
CLONAZEPAM IP……..0.5 MG
EXCIPIENTS…………..Q.S.</t>
  </si>
  <si>
    <t>CLONAZEPAM 0.5 MG</t>
  </si>
  <si>
    <t>0.5 MG</t>
  </si>
  <si>
    <t>CLONABRIS-2</t>
  </si>
  <si>
    <t>EACH UNCOATED MOUTH DISSOLVING TABLET CONTAINS:
CLONAZEPAM IP……… 2 MG</t>
  </si>
  <si>
    <t>CLONAZEPAM 2 MG</t>
  </si>
  <si>
    <t>DUXEAD-20 TABLETS</t>
  </si>
  <si>
    <t>EACH GASTRO-RESISTANT TABLET CONTAINS:
DULOXETINE HYDROCHLORIDE IP
EQ. TO DULOXETINE……….20 MG
EXCIPIENTS…………………..Q.S.</t>
  </si>
  <si>
    <t>DULOXETINE 20 MG</t>
  </si>
  <si>
    <t>DUXEAD-30 TABLETS</t>
  </si>
  <si>
    <t>EACH GASTRO-RESISTANT TABLET CONTAINS:
DULOXETINE HYDROCHLORIDE IP
EQ. TO DULOXETINE……….30 MG
EXCIPIENTS…………………..Q.S.</t>
  </si>
  <si>
    <t>DULOXETINE 30 MG</t>
  </si>
  <si>
    <t>ECITELO-5 TABLETS</t>
  </si>
  <si>
    <t>EACH FILM COATED TABLET CONTAINS:
ESCITALOPRAM OXALATE IP
EQ. TO ESCITALOPRAM……5 MG
EXCIPIENTS………………….Q.S.
COLOUR: TITANIUM DIOXIDE IP</t>
  </si>
  <si>
    <t>ESCITALOPRAM 5 MG</t>
  </si>
  <si>
    <t>ECITELO-10 TABLETS</t>
  </si>
  <si>
    <t>EACH FILM COATED TABLET CONTAINS:
ESCITALOPRAM OXALATE IP
EQ. TO ESCITALOPRAM……10 MG
EXCIPIENTS………………….Q.S.
COLOUR: TITANIUM DIOXIDE IP</t>
  </si>
  <si>
    <t>ESCITALOPRAM 10 MG</t>
  </si>
  <si>
    <t>ECITELO-20 TABLETS</t>
  </si>
  <si>
    <t>EACH FILM COATED TABLET CONTAINS:
ESCITALOPRAM OXALATE IP
EQ. TO ESCITALOPRAM……20 MG
EXCIPIENTS………………….Q.S.
COLOUR: TITANIUM DIOXIDE IP</t>
  </si>
  <si>
    <t>ESCITALOPRAM 20 MG</t>
  </si>
  <si>
    <t>ECITELO FORTE</t>
  </si>
  <si>
    <t>EACH FILM COATED TABLET CONTAINS:
ESCITALOPRAM OXALATE IP
EQ. TO ESCITALOPRAM……10 MG
CLONAZEPAM IP…………..0.5 MG
EXCIPIENTS………………….Q.S.
COLOUR: FERRIC OXIDE YELLOW USP-NF &amp; TITANIUM DIOXIDE IP</t>
  </si>
  <si>
    <t>ESCITALOPRAM 10 MG + CLONAZEPAM 0.5 MG</t>
  </si>
  <si>
    <t>ECITELO LS</t>
  </si>
  <si>
    <t>EACH FILM COATED TABLET CONTAINS:
ESCITALOPRAM OXALATE IP
EQ. TO ESCITALOPRAM……10 MG
CLONAZEPAM IP…………..0.25 MG
EXCIPIENTS………………….Q.S.
COLOUR: LAKE OF TARTRAZINE &amp; TITANIUM DIOXIDE IP</t>
  </si>
  <si>
    <t>ESCITALOPRAM 10 MG + CLONAZEPAM 0.25 MG</t>
  </si>
  <si>
    <t>ECITELO PLUS</t>
  </si>
  <si>
    <t>EACH FILM COATED TABLET CONTAINS:
ESCITALOPRAM OXALATE IP
EQUIVALENT TO ESCITALOPRAM………..5 MG
CLONAZEPAM IP……….0.5 MG</t>
  </si>
  <si>
    <t>ESCITALOPRAM 5 MG + CLONAZEPAM 0.5 MG</t>
  </si>
  <si>
    <t>EPIFAST-250 TABLETS</t>
  </si>
  <si>
    <t>EACH FILM COATED TABLET CONTAINS:
LEVETIRACETAM IP…………..250 MG
EXCIPIENTS……………………Q.S.</t>
  </si>
  <si>
    <t>LEVETIRACETAM 250 MG</t>
  </si>
  <si>
    <t>EPIFAST-500 TABLETS</t>
  </si>
  <si>
    <t>EACH FILM COATED TABLET CONTAINS:
LEVETIRACETAM IP…………..500 MG
EXCIPIENTS……………………Q.S.</t>
  </si>
  <si>
    <t>LEVETIRACETAM 500 MG</t>
  </si>
  <si>
    <t>EPIFAST-750 TABLETS</t>
  </si>
  <si>
    <t>EACH FILM COATED TABLET CONTAINS:
LEVETIRACETAM IP…………..750 MG
EXCIPIENTS……………………Q.S.</t>
  </si>
  <si>
    <t>LEVETIRACETAM 750 MG</t>
  </si>
  <si>
    <t>750 MG</t>
  </si>
  <si>
    <t>EPIFAST-1000 TABLETS</t>
  </si>
  <si>
    <t>EACH FILM COATED TABLET CONTAINS:
LEVETIRACETAM IP…………..1000 MG
EXCIPIENTS……………………Q.S.</t>
  </si>
  <si>
    <t>LEVETIRACETAM 1000 MG</t>
  </si>
  <si>
    <t>EPIFAST-RTU 500 IV</t>
  </si>
  <si>
    <t>EACH 100 ML CONTAINS:
LEVETIRACETAM IP………....500 MG
SODIUM CHLORIDE IP……....820 MG
WATER FOR INJECTION IP…Q.S.</t>
  </si>
  <si>
    <t>LEVETIRACETAM 500 MG + SODIUM CHLORIDE 820 MG</t>
  </si>
  <si>
    <t>LACOBRIS-100</t>
  </si>
  <si>
    <t>EACH FILM COATED TABLET CONTAINS:
LACOSAMIDE BP…..100 MG
COLOURS: INDIGO CARMINE LAKE &amp; TITANIUM DIOXIDE IP</t>
  </si>
  <si>
    <t>LACOSAMIDE 100 MG</t>
  </si>
  <si>
    <t>LACOBRIS-200</t>
  </si>
  <si>
    <t>EACH FILM COATED TABLET CONTAINS:
LACOSAMIDE BP…..200 MG
COLOURS: INDIGO CARMINE LAKE &amp; TITANIUM DIOXIDE IP</t>
  </si>
  <si>
    <t>LACOSAMIDE 200 MG</t>
  </si>
  <si>
    <t>PREBRIS-MNT</t>
  </si>
  <si>
    <t>EACH FILM COATED TABLET CONTAINS:
PREGABALIN IP…..75 MG
NORTRIPTYLINE HYDROCHLORIDE IP
EQ. TO NORTRIPTYLINE….10 MG
METHYLCOBALAMIN IP……1500 MCG</t>
  </si>
  <si>
    <t>PREGABALIN 75 MG + NORTRIPTYLINE 10 MG + 
METHYLCOBALAMIN 1500 MCG</t>
  </si>
  <si>
    <t>NUROKIND-NEXT</t>
  </si>
  <si>
    <t>EACH HARD GELATIN CAPSULE CONTAINS :
MECOBALAMIN …………………………1500 MCG
ALPHA-LIPOIC ACID USP ………………100 MG
BENFOTHIAMINE …………………………50 MG
PYRIDOXINE HYDROCHLORIDE IP …… 3 MG
BIOTIN USP ……………………………….. 5 MG
FOLIC ACID IP …………………………….1.5 MG
CHROMIUM ……………………………….200 MCG
(AS CHROMIUM PICOLINATE USP)
(MECOBALAMIN &amp; FOLIC ACID AS FILM COATED TABLET)
APPROPRIATE OVERAGES OF VITAMINS ARE
ADDED TO COMPENSATE LOSS ON STORAGE.</t>
  </si>
  <si>
    <t>MECOBALAMIN 1500 MCG + ALPHA-LIPOIC ACID 100 MG + BENFOTHIAMINE 50 MG + PYRIDOXINE HYDROCHLORIDE 3 MG + BIOTIN 5 MG+FOLIC ACID 1.5 MG + CHROMIUM 200 MCG</t>
  </si>
  <si>
    <t>SOLOPOSE-0.25 MD</t>
  </si>
  <si>
    <t>EACH UNCOATED MOUTH DISSOLVING TABLET CONTAINS :
ETIZOLAM ……………………………………….0.25 MG</t>
  </si>
  <si>
    <t>ETIZOLAM 0.25 MG</t>
  </si>
  <si>
    <t>SOLOPOSE-0.5 MD</t>
  </si>
  <si>
    <t>EACH UNCOATED MOUTH DISSOLVING TABLET CONTAINS :
ETIZOLAM ……………………………………….0.50 MG</t>
  </si>
  <si>
    <t>ETIZOLAM 0.50 MG</t>
  </si>
  <si>
    <t>0.50 MG</t>
  </si>
  <si>
    <t>SOLOPOSE-BETA 0.5</t>
  </si>
  <si>
    <t>EACH FILM COATED TABLET CONTAINS :
ETIZOLAM …………………………………..0.5 MG
PROPRANOLOL HYDROCHLORIDE IP …20 MG</t>
  </si>
  <si>
    <t>ETIZOLAM 0.5 MG + PROPRANOLOL HYDROCHLORIDE …20 MG</t>
  </si>
  <si>
    <t>SOLOPOSE-PLUS</t>
  </si>
  <si>
    <t>EACH FILM COATED TABLET CONTAINS :
ETIZOLAM …………………………………….0.5 MG
ESCITALOPRAM OXALATE IP 
EQUIVALENT TO ESCITALOPRAM ………..10 MG</t>
  </si>
  <si>
    <t>TRUGABA-100</t>
  </si>
  <si>
    <t>EACH FILM COATED TABLET CONTAINS:
GABAPENTIN IP…………100 MG
EXCIPIENTS……………..Q.S.</t>
  </si>
  <si>
    <t>GABAPENTIN 100 MG</t>
  </si>
  <si>
    <t>TRUGABA-300</t>
  </si>
  <si>
    <t>EACH FILM COATED TABLET CONTAINS:
GABAPENTIN IP…………300 MG
EXCIPIENTS……………..Q.S.</t>
  </si>
  <si>
    <t>300 MG</t>
  </si>
  <si>
    <t>TRUGABA-NT 100</t>
  </si>
  <si>
    <t>EACH FILM COATED TABLET CONTAINS:
GABAPENTIN IP…..100 MG
NORTRIPTYLINE HYDROCHLORIDE IP
EQ. TO NORTRIPTYLINE…. 10 MG
EXCIPIENTS….Q.S.</t>
  </si>
  <si>
    <t>GABAPENTIN 100 MG + NORTRIPTYLINE 10 MG</t>
  </si>
  <si>
    <t>TRUGABA-NT 400</t>
  </si>
  <si>
    <t>EACH FILM COATED TABLET CONTAINS:
GABAPENTIN IP…..400 MG
NORTRIPTYLINE HYDROCHLORIDE IP
EQ. TO NORTRIPTYLINE…. 10 MG
EXCIPIENTS….Q.S.</t>
  </si>
  <si>
    <t>GABAPENTIN 400 MG + NORTRIPTYLINE 10 MG</t>
  </si>
  <si>
    <t>APTIMUST SYRUP</t>
  </si>
  <si>
    <t>EACH 5 ML CONTAINS :
CYPROCHEPTADINE HYDROCHLORIDE IP 
EQ. TO ANHYDROUS CYPROHEPTADINE HCL ……….2 MG
TRICHOLINE CITRATE ……………………..275 MG
SORBITOL SOLUTION (70%) IP ……………..2 GM
(NON CRYSTALLISING)
FLAVOURED SYRUPY BASE ………………….Q.S.</t>
  </si>
  <si>
    <t>CYPROHEPTADINE HCL 2 MG + 
TRICHOLINE CITRATE  275 MG + 
SORBITOL SOLUTION (70%) IP 2 GM</t>
  </si>
  <si>
    <t>Future Mankind (A Division of Mankind Pharma Ltd.)</t>
  </si>
  <si>
    <t>BENGREAT-4</t>
  </si>
  <si>
    <t>EACH FILM COATED TABLET CONTAINS:
BENIDIPINE HYDROCHLORIDE JP…………….4 MG
EXCIPIENTS ………………………………………….Q.S.</t>
  </si>
  <si>
    <t>BENIDIPINE HYDROCHLORIDE JP 4 MG</t>
  </si>
  <si>
    <t>BENGREAT-8</t>
  </si>
  <si>
    <t>EACH FILM COATED TABLET CONTAINS:
BENIDIPINE HYDROCHLORIDE JP…………….8 MG
EXCIPIENTS ………………………………………….Q.S.</t>
  </si>
  <si>
    <t>BENIDIPINE HYDROCHLORIDE JP 8 MG</t>
  </si>
  <si>
    <t>BETAKIND GARGLE</t>
  </si>
  <si>
    <t>POVIDONE IODINE IP ………………..2% W/V
(0.2% W/V AVAILABLE IODINE)
ABSOLUTE ALCOHOL CONTENT …..8.38% V/V
PURIFIED WATER IP ………………Q.S.</t>
  </si>
  <si>
    <t>POVIDONE IODINE IP  2% W/V</t>
  </si>
  <si>
    <t>M/s Vasistha Pharmaceuticals., 173 Phase-I Udyog Vihar, HSIDC Complex, Gurgaon-122016</t>
  </si>
  <si>
    <t xml:space="preserve">BISOHEART-2.5 </t>
  </si>
  <si>
    <t>EACH FILM COATED TAB. CONTAINS:
BISOPROLOL FUMARATE USP………2.5 MG
EXCIPIENTS ………………………………Q.S.</t>
  </si>
  <si>
    <t>BISOPROLOL FUMARATE USP 2.5 MG</t>
  </si>
  <si>
    <t xml:space="preserve">BISOHEART-5 </t>
  </si>
  <si>
    <t>EACH FILM COATED TAB. CONTAINS:
BISOPROLOL FUMARATE BP………5 MG
EXCIPIENTS ………………………………Q.S.</t>
  </si>
  <si>
    <t>BISOPROLOL FUMARATE BP 5 MG</t>
  </si>
  <si>
    <t>BISOHEART-AM 5</t>
  </si>
  <si>
    <t>EACH FILM COATED TAB. CONTAINS:
BISOPROLOL FUMARATE USP………5 MG
AMLODIPINE BESILATE IP
EQUIVALENT TO AMLODIPINE ……………….. 5 MG
EXCIPIENTS ………………………………Q.S.</t>
  </si>
  <si>
    <t>BISOPROLOL FUMARATE USP 5 MG + 
AMLODIPINE 5 MG</t>
  </si>
  <si>
    <t>BISOHEART-AM 2.5</t>
  </si>
  <si>
    <t>EACH FILM COATED TABLET CONTAINS:
BISOPROLOL FUMARATE IP….2.5 MG
AMLODIPINE BESILATE IP
EQ. TO AMLODIPINE……………5 MG
EXCIPIENTS……………………….Q.S.</t>
  </si>
  <si>
    <t>BISOPROLOL FUMARATE IP 2.5 MG + 
AMLODIPINE 5 MG</t>
  </si>
  <si>
    <t>BISOHEART-T 5</t>
  </si>
  <si>
    <t>EACH FILM COATED TABLET CONTAINS:
BISOPROLOL FUMARATE IP……………..5MG
TELMISARTAN IP……………………………...40MG
EXCIPIENTS……………………………………….Q.S.</t>
  </si>
  <si>
    <t>BISOPROLOL FUMARATE IP 5MG + 
TELMISARTAN IP 40MG</t>
  </si>
  <si>
    <t>BISOHEART-T 2.5</t>
  </si>
  <si>
    <t>EACH FILM COATED TABLET CONTAINS:
BISOPROLOL FUMARATE IP……………………...2.5MG
TELMISARTAN IP…..40MG
EXCIPIENTS………...Q.S.</t>
  </si>
  <si>
    <t>BISOPROLOL FUMARATE IP 2.5MG + 
TELMISARTAN IP 40MG</t>
  </si>
  <si>
    <t>CLONAFIT-0.25 MD</t>
  </si>
  <si>
    <t>EACH UNCOATED DISPERSIBLE TABLET CONTAINS :
CLONAZEPAM USP ……………………….0.25 MG</t>
  </si>
  <si>
    <t>CLONAZEPAM USP  0.25 MG</t>
  </si>
  <si>
    <t>CLONAFIT-0.50 MD</t>
  </si>
  <si>
    <t>EACH UNCOATED DISPERSIBLE TABLET CONTAINS :
CLONAZEPAM IP ……………………….0.50 MG</t>
  </si>
  <si>
    <t>CLONAZEPAM IP 0.50 MG</t>
  </si>
  <si>
    <t>CLONAFIT-BETA</t>
  </si>
  <si>
    <t>EACH UNCOATED TABLET CONTAINS :
CLONAZEPAM IP ……………………………..0.50 MG
PROPRANOLOL HYDROCHLORIDE IP ……… 20 MG</t>
  </si>
  <si>
    <t>CLONAZEPAM IP 0.50 MG + 
PROPRANOLOL HYDROCHLORIDE IP  20 MG</t>
  </si>
  <si>
    <t>CLONAFIT-PLUS</t>
  </si>
  <si>
    <t>EACH FILM COATED TABLET CONTAINS :
ESCITALOPRAM OXALATE IP
EQUIVALENT TO ESCITALOPRAM …….10 MG
CLONAZEPAM IP ……………………0.5 MG</t>
  </si>
  <si>
    <t>ESCITALOPRAM  10 MG + 
CLONAZEPAM IP  0.5 MG</t>
  </si>
  <si>
    <t>DENTAFORCE-DT</t>
  </si>
  <si>
    <t>EACH UNCOATED DISPERSIBLE TABLET CONTAINS :
KETOROLAC TROMETHAMINE I.P. ……………10 MG</t>
  </si>
  <si>
    <t>KETOROLAC TROMETHAMINE I.P.  10 MG</t>
  </si>
  <si>
    <t>DOLOFORCE-DT</t>
  </si>
  <si>
    <t>EACH UNCOATED DISPERSIBLE TABLET CONTAINS :
PIROXICAM IP ……………………………..20 MG</t>
  </si>
  <si>
    <t>PIROXICAM IP 20 MG</t>
  </si>
  <si>
    <t>DOLOFORCE INJ</t>
  </si>
  <si>
    <t>EACH 2ML AMPOULE CONTAINS :
PIROXICAM IP ……………………………40 MG
BENZYL ALCOHOL IP ……………………..2% W/V
(AS PRESERVATIVE)
ABSOLUTE ALCOHOL IP ………………12.6% V/V</t>
  </si>
  <si>
    <t>PIROXICAM IP 40 MG</t>
  </si>
  <si>
    <t>DOLOKIND GEL</t>
  </si>
  <si>
    <t>DICLOFENAC DIETHYLAMINE BP ……1.16% W/W
(EQ. TO DICLOFENAC SODIUM 1.00% W/W)
CAPSAICIN USP …………………………0.025% W/W
MENTHOL IP …………………………….5% W/W
METHYL SALICYLATE IP …………………5% W/W
AQUEOUS GEL BASE ………………..Q.S.</t>
  </si>
  <si>
    <t>FLORA-BC (NF)</t>
  </si>
  <si>
    <t>EACH HARD GELATIIN CAPSULE CONTAINS :
PYRIDOXINE HYDROCHLORIDE IP ……….. 3 MG
NIACINAMIDE IP ……………………………. 50 MG
FOLIC ACID IP …………………………………1.5 MG
LACTIC ACID BACILLUS ……………40x106 SPORES</t>
  </si>
  <si>
    <t>PYRIDOXINE HYDROCHLORIDE IP  3 MG + 
NIACINAMIDE IP  50 MG + 
FOLIC ACID IP 1.5 MG + 
LACTIC ACID BACILLUS  40x106 SPORES</t>
  </si>
  <si>
    <t>FLORA-BC DRY SYRUP</t>
  </si>
  <si>
    <t>EACH 5 ML OF RECONSTITUTED SUSPENSION CONTAINS:
LACTIC ACID BACILLUS …………………..40x106 SPORES
NICOTINAMIDE I.P. …………………………15 MG
FOLIC ACID I.P. ……………………………..100 MCG
VITAMIN B6 I.P. ………………………………1.5 MG
ZINC SULPHATE MONOHYDRATE U.S.P.
EQIVALENT TO ELEMENTAL ZINC ……….5 MG</t>
  </si>
  <si>
    <t>LACTIC ACID BACILLUS 40x106 SPORES + 
NICOTINAMIDE I.P.  15 MG + 
FOLIC ACID I.P.  100 MCG + 
VITAMIN B6 I.P.  1.5 MG + 
ZINC 5 MG</t>
  </si>
  <si>
    <t>FLORA-Zn SACHET</t>
  </si>
  <si>
    <t>EACH SACHET (1 G) CONTAINS :
LACTOBACILLUS ACIDOPHILUS …………350 MILLION
LACTOBACILLUS RHAMNOSUS…………..200 MILLION
LACTOBACILLUS CASEI ..…………………150 MILLION
LACTOBACILLUS PLANTARUM...…………150 MILLION
LACTOBACILLUS BULGARICUS…………..150 MILLION
BIFIDOBACTERIUM LONGUM ...……………150 MILLION
BIFIDOBACTERIUM INFANTIS ...……………150 MILLION
BIFIDOBACTERIUM BREVE ..……………….150 MILLION
STREPTOCOCCUS THERMOPHILUS .....…..200 MILLION
SACCHAROMYCES BOULARDII ...………..0.05 BILLION
FRUCTO OLIGO SACCHARIDES …………….100 MG
ELEMENTAL ZINC ………………………………10 MG
(AS ZINC SULFATE MONOHYDRATE USP)
EXCIPIENTS ………………………………Q.S.</t>
  </si>
  <si>
    <t>LACTOBACILLUS ACIDOPHILUS  350 MILLION + 
LACTOBACILLUS RHAMNOSUS 200 MILLION + 
LACTOBACILLUS CASEI  150 MILLION + 
LACTOBACILLUS PLANTARUM 150 MILLION + 
LACTOBACILLUS BULGARICUS 150 MILLION + 
BIFIDOBACTERIUM LONGUM 150 MILLION + 
BIFIDOBACTERIUM INFANTIS  150 MILLION + 
BIFIDOBACTERIUM BREVE  150 MILLION + 
STREPTOCOCCUS THERMOPHILUS  200 MILLION + 
SACCHAROMYCES BOULARDII  0.05 BILLION + 
FRUCTO OLIGO SACCHARIDES  100 MG + 
ELEMENTAL ZINC 10 MG</t>
  </si>
  <si>
    <t>GASTICA DROPS</t>
  </si>
  <si>
    <t>EACH ML (APPROX. 25 DROPS FROM ENCLOSED
DROPPER) CONTAINS :
SIMETHICONE EMULSION USP
EQ. TO SIMETHICONE ……………………….40 MG
DILL OIL BP …………………………………0.005 ML
FENNEL OIL ………………………………..0.0007 ML
FLAVOURED SYRUPY BASE …………………..Q.S.</t>
  </si>
  <si>
    <t>SIMETHICONE 40 MG + 
DILL OIL BP  0.005 ML + 
FENNEL OIL  0.0007 ML</t>
  </si>
  <si>
    <t>GASTICA-FIZ</t>
  </si>
  <si>
    <t>EACH EFFERVESCENT TABLET CONTAINS :
PAPAIN IP ……………………………………. 60 MG
ALPHA AMYLASE IP (1:2000) ………………20 MG
(FUNGAL DIASTASE)
SIMETHICONE IP …………………………….25 MG
EXCIPIENTS ……………………………………Q.S.</t>
  </si>
  <si>
    <t>PAPAIN IP  60 MG + 
ALPHA AMYLASE IP (1:2000)  20 MG
(FUNGAL DIASTASE) +
SIMETHICONE IP  25 MG</t>
  </si>
  <si>
    <t>GLIPTAGREAT-50</t>
  </si>
  <si>
    <t>EACH  UNCOATED TEABLET CONTAINS :
VILDAGLIPTIN IP..........50 MG
EXCIPIENTS ……………………………………Q.S.</t>
  </si>
  <si>
    <t>VILDAGLIPTIN IP 50 MG</t>
  </si>
  <si>
    <t>GLIPTAGREAT-D 5</t>
  </si>
  <si>
    <t>EACH BILAYER TABLET CONTAINS:
DAPAGLIFLOZIN PRPPANEDIOL MONOHYDRATE
EQ. TO DAPAGLIFLOZIN…..5 MG
VILDAGLIPTIN IP……………..100 MG
(SUSTAINED RELEASE)
COLOUR: FERRIC OXIDE RED USP-NF</t>
  </si>
  <si>
    <t>DAPAGLIFLOZIN 5 MG + 
VILDAGLIPTIN IP 100 MG</t>
  </si>
  <si>
    <t>GLIPTAGREAT-D 10</t>
  </si>
  <si>
    <t>EACH BILAYER TABLET CONTAINS:
DAPAGLIFLOZIN PRPPANEDIOL MONOHYDRATE
EQ. TO DAPAGLIFLOZIN…..10 MG
VILDAGLIPTIN IP……………..100 MG
(SUSTAINED RELEASE)
COLOUR: FERRIC OXIDE YELLOW USP-NF</t>
  </si>
  <si>
    <t>DAPAGLIFLOZIN 10 MG + 
VILDAGLIPTIN IP 100 MG</t>
  </si>
  <si>
    <t>GLIPTAGREAT-DM 500</t>
  </si>
  <si>
    <t>EACH UNCOATED BILAYERED TABLET CONTAINS:
VILDAGLIPTIN IP……….100 MG
(AS SUSTAINED RELEASE)
DAPAGLIFLOZIN PROPANEDIOL MONOHYDRATE EQ. TO DAPAGLIFLOZIN………..10 MG
METFORMIN HYDROCHLORIDE IP…..500 MG
(AS SUSTAINED RELEASE)
EXCIPINETS………………Q.S.</t>
  </si>
  <si>
    <t>VILDAGLIPTIN IP 100 MG + 
DAPAGLIFLOZIN 10 MG +
METFORMIN HYDROCHLORIDE IP 500 MG</t>
  </si>
  <si>
    <t>GLIPTAGREAT-DM 1000</t>
  </si>
  <si>
    <t>EACH UNCOATED BILAYERED TABLET CONTAINS:
VILDAGLIPTIN IP……….100 MG
(AS SUSTAINED RELEASE)
DAPAGLIFLOZIN PROPANEDIOL MONOHYDRATE EQ. TO DAPAGLIFLOZIN………..10 MG
METFORMIN HYDROCHLORIDE IP…..1000 MG
(AS SUSTAINED RELEASE)
EXCIPINETS………………Q.S.</t>
  </si>
  <si>
    <t>VILDAGLIPTIN IP 100 MG + 
DAPAGLIFLOZIN 10 MG +
METFORMIN HYDROCHLORIDE IP 1000 MG</t>
  </si>
  <si>
    <t>GLIPTAGREAT-M 500</t>
  </si>
  <si>
    <t>EACH FILM COATED TEABLET CONTAINS :
VILDAGLIPTIN..........50 MG
METFORMIN HYDROCHLORIDE I.P. ….500 MG
EXCIPIENTS ……………………………………Q.S.</t>
  </si>
  <si>
    <t>VILDAGLIPTIN 50 MG + 
METFORMIN HYDROCHLORIDE I.P.  500 MG</t>
  </si>
  <si>
    <t>GLIPTAGREAT-M 500 OD</t>
  </si>
  <si>
    <t>EACH FILM COATED BILAYERED TABLET CONTAINS:
VILDAGLIPTIN IP………100 MG
(AS SUSTAINED RELEASE)
METFORMIN HYDROCHLORIDE IP…………...500 MG
(AS SUSTAINED RELEASE)
EXCIPIENTS……………Q.S.</t>
  </si>
  <si>
    <t>VILDAGLIPTIN 100 MG + 
METFORMIN HYDROCHLORIDE I.P.  500 MG</t>
  </si>
  <si>
    <t>GLIPTAGREAT-M 1000</t>
  </si>
  <si>
    <t>EACH FILM COATED TEABLET CONTAINS :
VILDAGLIPTIN..........50 MG
METFORMIN HYDROCHLORIDE I.P. ….1000 MG
EXCIPIENTS ……………………………………Q.S.</t>
  </si>
  <si>
    <t>VILDAGLIPTIN 50 MG + 
METFORMIN HYDROCHLORIDE I.P.  1000 MG</t>
  </si>
  <si>
    <t>GLIPTAGREAT-M 1000 OD</t>
  </si>
  <si>
    <t>EACH FILM COATED BILAYERED TABLET CONTAINS:
VILDAGLIPTIN IP………100 MG
(AS SUSTAINED RELEASE)
METFORMIN HYDROCHLORIDE IP…………………1000 MG
(AS SUSTAINED RELEASE)
EXCIPIENTS……………Q.S.</t>
  </si>
  <si>
    <t>VILDAGLIPTIN 100 MG + 
METFORMIN HYDROCHLORIDE I.P.  1000 MG</t>
  </si>
  <si>
    <t>GLIPTAGREAT OD 100 TABLET</t>
  </si>
  <si>
    <t>EACH SUSTAINED RELEASE TABLET CONTAINS:
VILDAGLIPTIN…………..100 MG
EXCIPIENTS………………Q.S.</t>
  </si>
  <si>
    <t>VILDAGLIPTIN 100 MG</t>
  </si>
  <si>
    <t>GUDLAX PLUS LAXATIVE</t>
  </si>
  <si>
    <t>EACH 5 ML CONTAINS:
LIQUID PARAFFIN IP…….….1.25 ML
MILK OF MAGNESIA IP……...3.75 ML
SODIUM PICOSULFATE BP…3.33 MG</t>
  </si>
  <si>
    <t>LIQUID PARAFFIN IP 1.25 ML + 
MILK OF MAGNESIA IP 3.75 ML + 
SODIUM PICOSULFATE BP 3.33 MG</t>
  </si>
  <si>
    <t>HISTAFREE-120</t>
  </si>
  <si>
    <t>EACH FILM COATED TABLET CONTAINS :
FEXOFENADINE HYDROCHLORIDE IP …120 MG
EXCIPIENTS ………………………..Q.S.</t>
  </si>
  <si>
    <t>FEXOFENADINE HYDROCHLORIDE IP  120 MG</t>
  </si>
  <si>
    <t>120 MG</t>
  </si>
  <si>
    <t>HISTAFREE-180</t>
  </si>
  <si>
    <t>EACH FILM COATED TABLET CONTAINS :
FEXOFENADINE HYDROCHLORIDE IP …..180 MG</t>
  </si>
  <si>
    <t>FEXOFENADINE HYDROCHLORIDE IP  180 MG</t>
  </si>
  <si>
    <t>180 MG</t>
  </si>
  <si>
    <t>HISTAFREE-M</t>
  </si>
  <si>
    <t>EACH FILM COATED TABLET CONTAINS :
FEXOFENADINE HYDROCHLORIDE IP ……120 MG
MONTELUKAST SODIUM IP
EQUIVALENT TO MONTELUKAST …………..10 MG</t>
  </si>
  <si>
    <t>FEXOFENADINE HYDROCHLORIDE IP  120 MG + MONTELUKAST 10 MG</t>
  </si>
  <si>
    <t>HISTAFREE SUSP</t>
  </si>
  <si>
    <t>EACH 5 ML CONTAINS :
FEXOFENADINE HYDROCHLORIDE IP …..30 MG
FLAVOURED SYRUPY BASE …………………Q.S.</t>
  </si>
  <si>
    <t>FEXOFENADINE HYDROCHLORIDE IP  30 MG</t>
  </si>
  <si>
    <t>30 MG/5ML</t>
  </si>
  <si>
    <t>INZOFRESH-10</t>
  </si>
  <si>
    <t>EACH FILM COATED TABLET CONTAINS :
ZOLPIDEM TARTRATE IP …………..10 MG</t>
  </si>
  <si>
    <t>ZOLPIDEM TARTRATE IP 10 MG</t>
  </si>
  <si>
    <t>LIPIROSE-5</t>
  </si>
  <si>
    <t>EACH FILM COATED TABLET CONTAINS :
ROSUVASTATIN CALCIUM IP
EQUIVALENT TO ROSUVASTATIN ………..5 MG</t>
  </si>
  <si>
    <t>ROSUVASTATIN  5 MG</t>
  </si>
  <si>
    <t>LIPIROSE-10</t>
  </si>
  <si>
    <t>EACH FILM COATED TABLET CONTAINS :
ROSUVASTATIN CALCIUM IP
EQUIVALENT TO ROSUVASTATIN ………..10 MG</t>
  </si>
  <si>
    <t>ROSUVASTATIN  10 MG</t>
  </si>
  <si>
    <t>LIPIROSE-20</t>
  </si>
  <si>
    <t>EACH FILM COATED TABLET CONTAINS :
ROSUVASTATIN CALCIUM IP
EQ. TO ROSUVASTATIN ..………………… 20 MG
EXCIPIENTS …………………………………Q.S.</t>
  </si>
  <si>
    <t>ROSUVASTATIN  20 MG</t>
  </si>
  <si>
    <t>LIPIROSE-AS 10</t>
  </si>
  <si>
    <t>EACH HARD GELATIN CAPSULE CONTAINS :
ROSUVASTATIN CALCIUM IP
EQ. TO ROSUVASTATIN.………………… 10 MG
(AS RED COLOURED FILM COATED ROSUVASTATIN TABLETS IP)
COLOURS: FERRIC OXIDE RED USP-NF  &amp; TITANIUM DIOXIDE IP 
ASPIRIN IP..............................75 MG 
(AS WHITE COLOURED ENTERIC COATED PELLETS)
EXCIPIENTS.............................Q.S.</t>
  </si>
  <si>
    <t xml:space="preserve">ROSUVASTATIN  10 MG + ASPIRIN IP 75 MG </t>
  </si>
  <si>
    <t>LIPIROSE-AS 20</t>
  </si>
  <si>
    <t>EACH HARD GELATIN CAPSULE CONTAINS :
ROSUVASTATIN CALCIUM IP
EQ. TO ROSUVASTATIN.………………… 20 MG
(AS RED COLOURED FILM COATED ROSUVASTATIN TABLETS IP)
COLOURS: FERRIC OXIDE RED USP-NF  &amp; TITANIUM DIOXIDE IP 
ASPIRIN IP...............75 MG 
(AS WHITE COLOURED ENTERIC COATED PELLETS)
EXCIPIENTS.............................Q.S.</t>
  </si>
  <si>
    <t xml:space="preserve">ROSUVASTATIN  20 MG + ASPIRIN IP 75 MG </t>
  </si>
  <si>
    <t>LIPIROSE-CV 10</t>
  </si>
  <si>
    <t xml:space="preserve">EACH HARD GELATIN CAPSULE CONTAINS: 
ROSUVASTATIN CALCIUM IP EQ. TO ROSUVASTATIN…….10 MG
(AS LIGHT ORANGE COLOURED FILM COATED ROSUVASTATIN TABLETS IP) COLOURS: SUNSET YELLOW &amp; TITANIUM DIOXIDE IP
CLOPIDOGREL BISULPHATE IP EQ. TO CLOPIDOGREL……75 MG
(AS TWO LIGHT BROWN COLOURED FILM COATED TABLETS
EACH CONTAINING CLOPIDOGREL TABLETS IP 37.5 MG)
</t>
  </si>
  <si>
    <t>ROSUVASTATIN 10 MG + CLOPIDOGREL 75 MG</t>
  </si>
  <si>
    <t>LIPIROSE-CV 20</t>
  </si>
  <si>
    <t xml:space="preserve">EACH HARD GELATIN CAPSULE CONTAINS: 
ROSUVASTATIN CALCIUM IP EQ. TO ROSUVASTATIN…….20 MG
(AS LIGHT ORANGE COLOURED FILM COATED ROSUVASTATIN TABLETS IP) COLOURS: SUNSET YELLOW &amp; TITANIUM DIOXIDE IP
CLOPIDOGREL BISULPHATE IP EQ. TO CLOPIDOGREL…….75 MG
(AS TWO LIGHT BROWN COLOURED FILM COATED TABLETS
EACH CONTAINING CLOPIDOGREL TABLETS IP 37.5 MG)
</t>
  </si>
  <si>
    <t>ROSUVASTATIN 20 MG + CLOPIDOGREL 75 MG</t>
  </si>
  <si>
    <t>LIPIROSE-F 5</t>
  </si>
  <si>
    <t>EACH FILM COATED TABLET CONTAINS :
ROSUVASTATIN CALCIUM IP
EQ. TO ROSUVASTATIN ..……………………5 MG
FENOFIBRATE IP (NANO PARTICLE) …..145 MG</t>
  </si>
  <si>
    <t>ROSUVASTATIN 5 MG + FENOFIBRATE IP (NANO PARTICLE) 145 MG</t>
  </si>
  <si>
    <t>LIPIROSE-F 10</t>
  </si>
  <si>
    <t>EACH FILM COATED TABLET CONTAINS :
ROSUVASTATIN CALCIUM IP
EQ. TO ROSUVASTATIN ..………………… 10 MG
FENOFIBRATE IP (NANO PARTICLE) …..145 MG</t>
  </si>
  <si>
    <t>ROSUVASTATIN 10 MG + FENOFIBRATE IP (NANO PARTICLE) 145 MG</t>
  </si>
  <si>
    <t>LIPIROSE-GOLD 10</t>
  </si>
  <si>
    <t>EACH HARD GELATIN CAPSULE CONTAINS :
ROSUVASTATIN CALCIUM IP
EQ. TO ROSUVASTATIN  (AS PELLETS)..………………… 10 MG
ASPIRIN IP (AS ENERTIC COATED PELLETS) ………….75 MG
CLOPIDOGREL BISULPHATE IP
EQ. TO CLOPIDOGREL (AS PELLETS) ………….75 MG
APPROVED COLOUR (ERYTHROSINE) USED IN EMPTY CPASULE SHELLS.</t>
  </si>
  <si>
    <t>ROSUVASTATIN 10 MG + 
ASPIRIN IP 75 MG + 
CLOPIDOGREL 75 MG</t>
  </si>
  <si>
    <t>LIPIROSE-GOLD 20</t>
  </si>
  <si>
    <t>EACH HARD GELATIN CAPSULE CONTAINS :
ROSUVASTATIN CALCIUM IP
EQ. TO ROSUVASTATIN  (AS PELLETS)..………………… 20 MG
ASPIRIN IP (AS ENERTIC COATED PELLETS) ………….75 MG
CLOPIDOGREL BISULPHATE IP
EQ. TO CLOPIDOGREL (AS PELLETS) ………….75 MG
APPROVED COLOUR (SUNSET YELLOW FCF, CARMOISINE &amp; PONCEAU 4R ) USED IN EMPTY CPASULE SHELLS.</t>
  </si>
  <si>
    <t>ROSUVASTATIN 20 MG + 
ASPIRIN IP 75 MG + 
CLOPIDOGREL 75 MG</t>
  </si>
  <si>
    <t>LYCOSTAR NEW (RF)</t>
  </si>
  <si>
    <t>EACH SOFT GELATIN CAPSULE CONTAINS :
LYCOPENE USP ………………………….5000 MCG
MIX CAROTENE 10% ……………………10.33 MG
REFINED WHEAT GERM OIL BP ………25 MG
ZINC SULFATE MONOHYDRATE IP ….27.45 MG
SELENIUM DIOXIDE MONOHYDRATE USP ..75 MCG
EXCIPIENTS ………………………………………….Q.S.</t>
  </si>
  <si>
    <t>LYCOPENE USP  5000 MCG + 
MIX CAROTENE 10%  10.33 MG + 
REFINED WHEAT GERM OIL BP  25 MG + 
ZINC SULFATE MONOHYDRATE IP  27.45 MG + 
SELENIUM DIOXIDE MONOHYDRATE USP 75 MCG</t>
  </si>
  <si>
    <t>LYCOSTAR SUSP</t>
  </si>
  <si>
    <t>EACH 10 ML CONTAINS :
LYCOPENE USP……………………………2000 MCG
NIACINAMIDE IP ………………………. 25 MG
PYRIDOXINE HYDROCHLORIDE IP ….1.5 MG
CYANOCOBALAMIN IP ………………..1 MCG
FOLIC ACID IP ………………………… 100 MCG
SELENIUM (AS SODIUM SELINATE) …35 MCG
ZINC (AS ZINC GLUCONATE USP) ……. 3 MG
MANGANESE (AS MANGANESE 
GLUCONATE USP ANHYDROUS……………… 2 MG
IODINE (AS POTASSIUM IODIDE IP) ..100 MCG
COPPER (AS CUPRIC SULFATE USP) ….500 MCG
IN A FLAVOURED SYRUPY BASE 
OVERAGES OF VITAMINS ADDED TO 
COMPENSATE LOSS ON STORAGE</t>
  </si>
  <si>
    <t>LYCOPENE USP 2000 MCG + 
NIACINAMIDE IP  25 MG + 
PYRIDOXINE HYDROCHLORIDE IP  1.5 MG + 
CYANOCOBALAMIN IP  1 MCG + 
FOLIC ACID IP 100 MCG + 
SELENIUM (AS SODIUM SELINATE)  35 MCG + 
ZINC (AS ZINC GLUCONATE USP)   3 MG + 
MANGANESE (AS MANGANESE GLUCONATE USP ANHYDROUS) 2 MG + 
IODINE (AS POTASSIUM IODIDE IP)  100 MCG + 
COPPER (AS CUPRIC SULFATE USP)  500 MCG</t>
  </si>
  <si>
    <t>M/s Unicure India Ltd.(Unit-II), 46(B)/49/B Village Raipur, Bhagwanpur, Roorkee-247661 Uttarakhand</t>
  </si>
  <si>
    <t>MOXIFORCE-CV 375</t>
  </si>
  <si>
    <t>EACH FILM COATED TABLET CONTAINS :
AMOXYCILLIN TRIHYDRATE IP
EQUIVALENT TO AMOXYCILLIN ………..250 MG
POTASSIUM CLAVULANATE DILUTED IP
EQUIVALENT TO CLAVULANIC ACID …..125 MG
EXCIPIENTS ………………………………Q.S.</t>
  </si>
  <si>
    <t>AMOXYCILLIN  250 MG + 
POTASSIUM CLAVULANATE DILUTED IP EQUIVALENT TO CLAVULANIC ACID  125 MG</t>
  </si>
  <si>
    <t>MOXIFORCE-CV 625</t>
  </si>
  <si>
    <t>EACH FILM COATED TABLET CONTAINS :
AMOXYCILLIN TRIHYDRATE IP
EQUIVALENT TO AMOXYCILLIN ………..500 MG
POTASSIUM CLAVULANATE DILUTED IP
EQUIVALENT TO CLAVULANIC ACID …..125 MG
EXCIPIENTS ………………………………Q.S.</t>
  </si>
  <si>
    <t>AMOXYCILLIN  500 MG + 
POTASSIUM CLAVULANATE DILUTED IP EQUIVALENT TO CLAVULANIC ACID  125 MG</t>
  </si>
  <si>
    <t>MOXIFORCE-CV KID</t>
  </si>
  <si>
    <t>EACH DISPERSIBLE TABLET CONTAINS :
AMOXYCILLIN TRIHYDRATE IP
EQUIVALENT TO AMOXYCILLIN ………..200 MG
POTASSIUM CLAVULANATE DILUTED IP
EQUIVALENT TO CLAVULANIC ACID …..28.5 MG
EXCIPIENTS ………………………………Q.S.</t>
  </si>
  <si>
    <t>AMOXYCILLIN  200 MG + 
POTASSIUM CLAVULANATE DILUTED IP EQUIVALENT TO CLAVULANIC ACID  28.5 MG</t>
  </si>
  <si>
    <t>MOXIFORCE-CV DRY SYRUP</t>
  </si>
  <si>
    <t>EACH 5 ML OF SUSPENSION (AFTER 
RECONSTITUTION) CONTAINS :
AMOXYCILLIN TRIHYDRATE I.P.
EQ. TO AMOXYCILLIN …………… 200 MG
POTASSIUM CLAVULANATE DILUTED I.P.
EQ. TO CLAVULANIC ACID …….. 28.5 MG</t>
  </si>
  <si>
    <t>MOXIFORCE-CV FORTE DRY SYRUP</t>
  </si>
  <si>
    <t>EACH 5 ML CONSTITUTED SUSPENSION CONTAINS:
AMOXYCILLIN TRIHYDRATE IP
EQ. TO AMOXYCILLIN…..400 MG
POTASSIUM CLAVUANATE DILUTED IP 
EQ. TO CLAVUFANIC ACID…57 MG
EXCIPIENTS………Q.S.</t>
  </si>
  <si>
    <t>AMOXYCILLIN  400 MG + 
POTASSIUM CLAVULANATE DILUTED IP EQUIVALENT TO CLAVULANIC ACID  57 MG</t>
  </si>
  <si>
    <t>NUROKIND-GOLD RF</t>
  </si>
  <si>
    <t>EACH SOFT GELATIN CAPSULE CONTAINS :
GINSENG EXTRACT USP ………………43.5 MG
(HIGHLY CONCENTRATED &amp; STANDARDIZED, 
GINSENG EXTRACT CORRESPONDING TO 
217.5 MG OF ROOT OF PANAX GINSENG)
NIACINAMIDE IP ………………………25 MG
VITAMIN B6 IP …………………………1 MG
MECOBALAMIN ………………………500 MCG
VITAMIN D3 IP ………………………..200 IU
FOLIC ACID IP …………………………0.15 MG
DIBESIC CALCIUM PHOSPHATE IP 
EQ. TO ELEMENTAL CALCIUM …….75 MG
&amp; ELEMENTAL PHOSPHOROUS ……58 MG
FERROUS FUMARATE IP ……………30 MG
ZINC SULFATE MONOHYDRATE IP ..10 MG
MAGNESIUM SULPHATE IP 
EQ. TO ELEMENTAL MAGNESIUM …..3 MG
MANGANESE SULPHATE BP 
EQ. TO ELEMENTAL MANGANESE ….0.5 MG
COPPER SULPHATE PENTAHYDRATE BP 
EQ. TO ELEMENTAL COPPER ……….0.5 MG
POTASSIUM IODIDE IP 
EQ. TO ELEMENTAL IODINE …………0.1 MG
POTASSIUM SULPHATE BP
EQ. TO ELEMENTAL POTASSIUM ……2 MG
APPROPRIATE OVERAGES OF VITAMINS ARE ADDED</t>
  </si>
  <si>
    <t>GINSENG EXTRACT CORRESPONDING TO 
217.5 MG OF ROOT OF PANAX GINSENG) + 
NIACINAMIDE IP  25 MG + 
VITAMIN B6 IP  1 MG + 
MECOBALAMIN  500 MCG + 
VITAMIN D3 IP  200 IU + 
FOLIC ACID IP 0.15 MG + 
DIBESIC CALCIUM PHOSPHATE IP EQ. TO ELEMENTAL CALCIUM 75 MG &amp; ELEMENTAL PHOSPHOROUS  58 MG + 
FERROUS FUMARATE IP  30 MG + 
ZINC SULFATE MONOHYDRATE IP  10 MG +
MAGNESIUM SULPHATE IP  EQ. TO ELEMENTAL MAGNESIUM 3 MG +
MANGANESE SULPHATE BP EQ. TO ELEMENTAL MANGANESE 0.5 MG + 
COPPER SULPHATE PENTAHYDRATE BP EQ. TO ELEMENTAL COPPER  0.5 MG + 
POTASSIUM IODIDE IP EQ. TO ELEMENTAL IODINE 0.1 MG
POTASSIUM SULPHATE BP EQ. TO ELEMENTAL POTASSIUM 2 MG</t>
  </si>
  <si>
    <t>NUROKIND-GOLD INJ</t>
  </si>
  <si>
    <t>EACH 2 ML AMPOULE CONTAINS :
METHYLCOBALAMIN ……………….1500 MCG
PYRIDOXINE HYDROCHLORIDE IP ……100 MG
NICOTINAMIDE IP …………………….100 MG
BENZYL ALCOHOL IP …………………..2% V/V
(AS PRESERVATIVE)
WATER FOR INJECTION IP ……………..Q.S.</t>
  </si>
  <si>
    <t>METHYLCOBALAMIN 1500 MCG + 
PYRIDOXINE HYDROCHLORIDE IP  100 MG + 
NICOTINAMIDE IP  100 MG</t>
  </si>
  <si>
    <t>NUROKIND GOLD SACHET</t>
  </si>
  <si>
    <t>EACH 5 G SACHET CONTAINS :
LYCOPENE USP…………………..5000 MCG
(10% POWDER FORM)
METHYLCOBALAMIN IP ……………….1500 MCG
UBIDECARENONE USP
( COENZYME Q-10)…………………………30 MG
L-ARGININE IP………………………………..100 MG
ZINC SULPHATE IP
EQ. TO ELEMENTAL ZINC……………10 MG
SELENOMETHIONINE USP
EQ. TO SELENIUM…………………………..50 MCG
FOLIC ACID IP …………………………….1.5 MG
FRUCTOSE IP………………………………1 G
L-CARNITINE FUMARATE
EQ. TO L-CARNITINE…………………1 G
CITRIC ACID IP………………………….50 MG
EXCIPIENTS ………………………………………….Q.S.
APPROPRIATE OVERAGES OF VITAMINS ARE ADDED</t>
  </si>
  <si>
    <t>LYCOPENE USP 5000 MCG (10% POWDER FORM) + 
METHYLCOBALAMIN IP 1500 MCG +
UBIDECARENONE USP (COENZYME Q-10) 30 MG + 
L-ARGININE IP 100 MG + 
ZINC 10 MG + 
SELENOMETHIONINE USP EQ. TO SELENIUM 50 MCG + 
FOLIC ACID IP  1.5 MG + 
FRUCTOSE IP 1 G + 
L-CARNITINE FUMARATE EQ. TO L-CARNITINE 1 G + 
CITRIC ACID IP 50 MG</t>
  </si>
  <si>
    <t>OLMETIME-20</t>
  </si>
  <si>
    <t>EACH FILM COATED TABLET CONTAINS :
OLMESARTAN MEDOXOMIL IP …………….20 MG
EXCIPIENTS …………Q.S.</t>
  </si>
  <si>
    <t>OLMESARTAN MEDOXOMIL IP 20 MG</t>
  </si>
  <si>
    <t>OLMETIME-40</t>
  </si>
  <si>
    <t>EACH FILM COATED TABLET CONTAINS :
OLMESARTAN MEDOXOMIL …………….40 MG
EXCIPIENTS …………………………………Q.S.</t>
  </si>
  <si>
    <t>OLMESARTAN MEDOXOMIL IP 40 MG</t>
  </si>
  <si>
    <t>OLMETIME-AM 20</t>
  </si>
  <si>
    <t>EACH FILM COATED TABLET CONTAINS :
OLMESARTAN MEDOXOMIL …………….20 MG
AMLODIPINE BESILATE IP
EQUIVALENT TO AMLODIPINE …………..5 MG</t>
  </si>
  <si>
    <t>OLMESARTAN MEDOXOMIL  20 MG + AMLODIPINE 5 MG</t>
  </si>
  <si>
    <t>M/s Hetero Labs Limited, At. Village Saini Majra, Tehsil Nalagarh, Distt Solan (H.P.)-174101</t>
  </si>
  <si>
    <t>OLMETIME-AM 40</t>
  </si>
  <si>
    <t>EACH FILM COATED TABLET CONTAINS :
OLMESARTAN MEDOXOMIL …………….40 MG
AMLODIPINE BESILATE IP
EQUIVALENT TO AMLODIPINE …………..5 MG</t>
  </si>
  <si>
    <t>OLMESARTAN MEDOXOMIL  40 MG + AMLODIPINE 5 MG</t>
  </si>
  <si>
    <t>OLMETIME-AMH 20</t>
  </si>
  <si>
    <t>EACH FILM COATED TABLET CONTAINS :
OLMESARTAN MEDOXOMIL …………….20 MG
AMLODIPINE BESILATE IP
EQUIVALENT TO AMLODIPINE …………..5 MG
HYDROCHLOROTHIAZIDE IP …………..12.5 MG
EXCIPIENTS ………………………………Q.S.</t>
  </si>
  <si>
    <t>OLMESARTAN MEDOXOMIL 20 MG + AMLODIPINE 5 MG + HYDROCHLOROTHIAZIDE IP  12.5 MG</t>
  </si>
  <si>
    <t>OLMETIME-AMH 40</t>
  </si>
  <si>
    <t>EACH FILM COATED TABLET CONTAINS :
OLMESARTAN MEDOXOMIL …………….40 MG
AMLODIPINE BESILATE IP
EQUIVALENT TO AMLODIPINE …………..5 MG
HYDROCHLOROTHIAZIDE IP …………..12.5 MG
EXCIPIENTS ………………………………Q.S.</t>
  </si>
  <si>
    <t>OLMESARTAN MEDOXOMIL 40 MG + AMLODIPINE 5 MG + HYDROCHLOROTHIAZIDE IP  12.5 MG</t>
  </si>
  <si>
    <t>OLMETIME-CT 20</t>
  </si>
  <si>
    <t>EACH FILM COATED TABLET CONTAINS :
OLMESARTAN MEDOXOMIL …………….20 MG
CHLORTHALIDONE IP ……………………..12.5 MG
EXCIPIENTS ………………………………Q.S.</t>
  </si>
  <si>
    <t>OLMESARTAN MEDOXOMIL 20 MG + CHLORTHALIDONE IP 12.5 MG</t>
  </si>
  <si>
    <t>OLMETIME-CT 40</t>
  </si>
  <si>
    <t>EACH FILM COATED TABLET CONTAINS :
OLMESARTAN MEDOXOMIL …………….40 MG
CHLORTHALIDONE IP ……………………..12.5 MG
EXCIPIENTS ………………………………Q.S.</t>
  </si>
  <si>
    <t>OLMESARTAN MEDOXOMIL 40 MG + CHLORTHALIDONE IP 12.5 MG</t>
  </si>
  <si>
    <t>OLMETIME-H 20</t>
  </si>
  <si>
    <t>EACH FILM COATED TABLET CONTAINS :
OLMESARTAN MEDOXOMIL ………………20 MG
HYDROCHLOROTHIAZIDE IP …………..12.5 MG
EXCIPIENTS …………………………………Q.S.</t>
  </si>
  <si>
    <t>OLMESARTAN MEDOXOMIL 20 MG + HYDROCHLOROTHIAZIDE IP 12.5 MG</t>
  </si>
  <si>
    <t>OLMETIME-H 40</t>
  </si>
  <si>
    <t>EACH FILM COATED TABLET CONTAINS :
OLMESARTAN MEDOXOMIL ………………40 MG
HYDROCHLOROTHIAZIDE IP …………..12.5 MG
EXCIPIENTS …………………………………Q.S.</t>
  </si>
  <si>
    <t>OLMESARTAN MEDOXOMIL 40 MG + HYDROCHLOROTHIAZIDE IP 12.5 MG</t>
  </si>
  <si>
    <t>ORAHELP GEL</t>
  </si>
  <si>
    <t>CHOLINE SALICYLATE SOLUTION BP 
EQ. TO CHOLINE SALICYLATE ………….8.7% W/W
LIGNOCAINE HYDROCHLORIDE IP …….2% W/W
BENZYLKONIUM CHLORIDE 
SOLUTION IP ……………………………….0.01% W/W
(AS PRESERVATIVE)
IN A FLAVOURED JELLY BASE ……………..Q.S.</t>
  </si>
  <si>
    <t>CHOLINE SALICYLATE  8.7% W/W +  
LIGNOCAINE HYDROCHLORIDE IP  2% W/W + 
BENZYLKONIUM CHLORIDE SOLUTION IP 0.01% W/W (AS PRESERVATIVE)</t>
  </si>
  <si>
    <t>ORNIGREAT GEL</t>
  </si>
  <si>
    <t>ORNIDAZOLE IP……………………………1.0%W/W
CHLOROHEXIDINE GLUCONATE SOLUTION  IP…0.25%W/W
(AS PRESERVATIVE)
GEL BASE………………………………………Q.S.</t>
  </si>
  <si>
    <t>ORNIDAZOLE IP 1.0%W/W + 
CHLOROHEXIDINE GLUCONATE SOLUTION  IP 0.25%W/W (AS PRESERVATIVE)</t>
  </si>
  <si>
    <t>M/s Vardhman Remedies Pvt. Ltd., Plot No. J-101 &amp; J-102, MIDC, Tarapur Industrial Area, Boisar-401506, Distt Thane</t>
  </si>
  <si>
    <t>PANTADOM-SR</t>
  </si>
  <si>
    <t>EACH CAPSULE CONTAINS :
PANTOPRAZOLE SODIUM IP
EQ. TO PANTOPRAZOLE …………………..40 MG
(AS ENTERIC COATED PELLETS)
DOMPERIDONE IP …………………………..30 MG
(AS SUSTAINED RELEASE PELLETS)</t>
  </si>
  <si>
    <t>PANTOPRAZOLE 40 MG (AS ENTERIC COATED PELLETS) + 
DOMPERIDONE IP  30 MG (AS SUSTAINED RELEASE PELLETS)</t>
  </si>
  <si>
    <t>PILORUTE CREAM</t>
  </si>
  <si>
    <t>TROXERUTIN BP …………………………2% W/W
CALCIUM DOBESILATE MONOHYDRATE BP
(EQ. TO ANHYDROUS CALCIUM DOBESILATE) …0.25% W/W
LIGNOCAINE HYDROCHLORIDE IP ……………3% W/W
HYDROCORTISONE ACETATE IP ………………0.25% W/W
ZINC OXIDE IP ……………………………..5% W/W
PHENYLEPHRINE HYDROCHLORIDE IP ………0.1% W/W</t>
  </si>
  <si>
    <t>TROXERUTIN BP  2% W/W + 
CALCIUM DOBESILATE)  0.25% W/W + 
LIGNOCAINE HYDROCHLORIDE IP  3% W/W + 
HYDROCORTISONE ACETATE IP  0.25% W/W + 
ZINC OXIDE IP 5% W/W + 
PHENYLEPHRINE HYDROCHLORIDE IP 0.1% W/W</t>
  </si>
  <si>
    <t>PILORUTE-EP CREAM</t>
  </si>
  <si>
    <t>EACH G CONTAINS :
EUPHORBIA PROSTRATA DRY EXTRACT ETHANOLIC 80% (V/V) [(35-70):1]…….…10MG
(CONTAINING 0.315-0.825MG TOTAL FLAVONOIDS CALCULATED AS APIGENIN-7-GLUCOSIDE AND 1.26-4.40MG TOTAL PHENOLICS CALCULATED AS GALLIC ACID)
CREAM BASE……Q.S.</t>
  </si>
  <si>
    <t>EUPHORBIA PROSTRATA DRY EXTRACT ETHANOLIC 80% (V/V) [(35-70):1] 10MG
(CONTAINING 0.315-0.825MG TOTAL FLAVONOIDS CALCULATED AS APIGENIN-7-GLUCOSIDE AND 1.26-4.40MG TOTAL PHENOLICS CALCULATED AS GALLIC ACID)</t>
  </si>
  <si>
    <t>10MG</t>
  </si>
  <si>
    <t>PILORUTE- EP</t>
  </si>
  <si>
    <t xml:space="preserve">EACH FILM COATED TABLET CONTAINS:
EUPHORBIA PROSTRATA EXTRACT……………100 MG
(CONTAINING 3.15-8.25 MG TOTAL FLAVONOID CALCULATED AS APIGENIN-7-GLUCOSIDE AND 12.6-44.0 MG TOTAL PHENOLICS CALCULATED AS GALLIC ACID) </t>
  </si>
  <si>
    <t xml:space="preserve">EUPHORBIA PROSTRATA EXTRACT 100 MG
(CONTAINING 3.15-8.25 MG TOTAL FLAVONOID CALCULATED AS APIGENIN-7-GLUCOSIDE AND 12.6-44.0 MG TOTAL PHENOLICS CALCULATED AS GALLIC ACID) </t>
  </si>
  <si>
    <t>RAMIHART-2.5</t>
  </si>
  <si>
    <t>EACH CAPSULE CONTAINS :
RAMIPRIL I.P. ………………………..2.5 MG</t>
  </si>
  <si>
    <t>RAMIPRIL I.P.  2.5 MG</t>
  </si>
  <si>
    <t>RAMIHART-5</t>
  </si>
  <si>
    <t>EACH HARD GELATIN CAPSULE CONTAINS :
RAMIPRIL I.P. ……………..5 MG</t>
  </si>
  <si>
    <t>RAMIPRIL I.P.  5 MG</t>
  </si>
  <si>
    <t>RAMIHART-H 2.5</t>
  </si>
  <si>
    <t>EACH FILM COATED TABLET CONTAINS :
RAMIPRIL IP ……………………………2.5 MG
HYDROCHLOROTHIAZIDE IP …………..12.5 MG</t>
  </si>
  <si>
    <t>RAMIPRIL IP  2.5 MG + 
HYDROCHLOROTHIAZIDE IP  12.5 MG</t>
  </si>
  <si>
    <t>RAMIHART-H 5</t>
  </si>
  <si>
    <t>EACH FILM COATED TABLET CONTAINS :
RAMIPRIL IP ………………5 MG
HYDROCHLOROTHIAZIDE IP …………..12.5 MG</t>
  </si>
  <si>
    <t>RAMIPRIL IP  5 MG + 
HYDROCHLOROTHIAZIDE IP  12.5 MG</t>
  </si>
  <si>
    <t>RANIDOM-MPS SUSPENSION</t>
  </si>
  <si>
    <t>MAGALDRATE  400 MG + 
SIMETHICONE I.P. 60 MG</t>
  </si>
  <si>
    <t>RANIDOM-O SUSP (RF)</t>
  </si>
  <si>
    <t>EACH 5 ML CONTAINS :
MAGALDRATE IP
EQ. TO ANHYDROUS MAGALDRATE...…. 540 MG
SIMETHICONE I.P. ……………………………20 MG
OXETACAINE B.P. ………………………….. 10 MG</t>
  </si>
  <si>
    <t>ANHYDROUS MAGALDRATE 540 MG + 
SIMETHICONE I.P. 20 MG + 
OXETACAINE B.P.  10 MG</t>
  </si>
  <si>
    <t>RANIDOM RAFT ORAL SUSPENSION</t>
  </si>
  <si>
    <t>EACH 5 ML CONTAINS:
SODIUM ALGINATE IP……………....250 MG
SODIUM BICARBONATE IP………..133.5 MG
CALCIUM CARBONATE IP…………..80 MG
FLAVOURED BASE……………………..Q.S.</t>
  </si>
  <si>
    <t>SODIUM ALGINATE IP 250 MG + 
SODIUM BICARBONATE IP 133.5 MG + 
CALCIUM CARBONATE IP 80 MG</t>
  </si>
  <si>
    <t xml:space="preserve">REHEPTIN </t>
  </si>
  <si>
    <t>EACH FILM COATED TABLET CONTAINS :
METADOXINE …………………………….500 MG
SILYMARIN  ………………………….140 MG
L-ORNITHINE L-ASPARTATE …………..150 MG
PYRIDOXINE HYDROCHLORIDE IP …… 3 MG
FOLIC ACID IP …………………………….1.5 MG
EXCIPIENTS ………………………………………….Q.S.
APPROPRIATE OVERAGES OF VITAMINS ARE ADDED</t>
  </si>
  <si>
    <t>METADOXINE 500 MG + 
SILYMARIN  140 MG + 
L-ORNITHINE L-ASPARTATE  150 MG + 
PYRIDOXINE HYDROCHLORIDE IP 3 MG + 
FOLIC ACID IP 1.5 MG</t>
  </si>
  <si>
    <t>REHEPTIN RF SUSPENSION</t>
  </si>
  <si>
    <t>EACH SERVING PER 10ML CONTAINS (APPROX)
ENERGY ............................20.16 KCAL
PROTIN.............................0.20 G
CARBOHYDRATE..............4.84 G
SUGAR.............................3.52 G
FAT...................................0.00 G
L-ORNITHINE L-ASPARTATE* ………………….150 MG
SILYMARIN* …………………………….35 MG
L-GLUTATHIONE* …………………………10 MG
* % RDA NOT ESTABLISHED
INGREDIENTS : PURIFIED WATER, SUCROSE, 
THICKENER (INS 422), STABILIZER (INS 420), L-ORNITHINE
L-ASPARTATE, SILYBUM MARIANUM EXTRACT,
THICKENER (INS 415), ANTI-CAKING AGENT (INS 551),
L-GLUTATHIONE,
SEQUESTRANT (INS 386)</t>
  </si>
  <si>
    <t>ENERGY  20.16 KCAL + 
PROTEIN 0.20 G + 
CARBOHYDRATE 4.84 G + 
SUGAR 3.52 G + 
FAT 0.00 G + 
L-ORNITHINE L-ASPARTATE*  150 MG + 
SILYMARIN*  35 MG + 
L-GLUTATHIONE* 10 MG + 
* % RDA NOT ESTABLISHED
INGREDIENTS : PURIFIED WATER, SUCROSE, 
THICKENER (INS 422), STABILIZER (INS 420), L-ORNITHINE
L-ASPARTATE, SILYBUM MARIANUM EXTRACT,
THICKENER (INS 415), ANTI-CAKING AGENT (INS 551),
L-GLUTATHIONE,
SEQUESTRANT (INS 386)</t>
  </si>
  <si>
    <t>SAMLOKIND-AT</t>
  </si>
  <si>
    <t>EACH UNCOATED TABLET CONTAINS:
S (-) AMLODIPINE BESILATE IP 
E.Q. TO S (-) AMLODIPINE ………………2.5 mg
ATENOLOL  I.P …………..50 mg</t>
  </si>
  <si>
    <t>S (-) AMLODIPINE  2.5 mg + 
ATENOLOL  I.P 50 mg</t>
  </si>
  <si>
    <t>TRAMASURE-PLUS RF</t>
  </si>
  <si>
    <t>EACH UNCOATED TABLET CONTAINS :
TRAMADOL HYDROCHLORIDE IP ……….37.5 MG
ACETAMINOPHEN IP .…325 MG
EXCIPIENTS ………………………..Q.S.</t>
  </si>
  <si>
    <t>TRAMADOL HYDROCHLORIDE IP  37.5 MG + 
ACETAMINOPHEN IP  325 MG</t>
  </si>
  <si>
    <t>TRAMASURE-100 INJ</t>
  </si>
  <si>
    <t>EACH 2 ML AMPOULE CONTAINS :
TRAMADOL HYDROCHLORIDE BP …….100 MG
WATER FOR INJECTION IP ……………….Q.S.</t>
  </si>
  <si>
    <t>TRAMADOL HYDROCHLORIDE BP  100 MG</t>
  </si>
  <si>
    <t>100 MG/2ML</t>
  </si>
  <si>
    <t>THERMOKIND-F GEL</t>
  </si>
  <si>
    <t>POTASSIUM NITRATE B.P. ……..5% W/W
SODIUM MONOFLUOROPHOSPHATE USP ….0.7% W/W
TRICLOSAN USP ……………….0.3% W/W
IN A PLEASENTLY FLAVOURED BASE AVAILABLE 
FLUORIDE CONTENT 917 ppm WHEN PACKED</t>
  </si>
  <si>
    <t>SODIUM MONOFLUOROPHOSPHATE USP 0.7% W/W + 
TRICLOSAN USP 3% W/W</t>
  </si>
  <si>
    <t>SODIUM MONOFLUOROPHOSPHATE USP  0.7% W/W + 
TRICLOSAN USP  0.3% W/W</t>
  </si>
  <si>
    <t>THERMOKIND MOUTH WASH</t>
  </si>
  <si>
    <t>CHLORHEXIDINE GLUCONATE SOLUTION IP
EQ. TO CHLORHEXIDINE GLUCONATE …0.20% W/V
SODIUM FLUORIDE IP …………….0.05% W/V
ZINC CHLORIDE IP ………………..0.09% W/V
IN PLEASANTLY FLAVOURED BASE</t>
  </si>
  <si>
    <t>CHLORHEXIDINE GLUCONATE 0.20% W/V + 
SODIUM FLUORIDE IP 0.05% W/V + 
ZINC CHLORIDE IP  0.09% W/V</t>
  </si>
  <si>
    <t>URIKIND</t>
  </si>
  <si>
    <t>EACH FILM COATED TABLET CONTAINS :
FLAVOXATE HYDROCHLORIDE IP ……….200 MG</t>
  </si>
  <si>
    <t>FLAVOXATE HYDROCHLORIDE IP 200 MG</t>
  </si>
  <si>
    <t>VITAGREAT</t>
  </si>
  <si>
    <t>EACH FILM COATED TABLET CONTAINS :
MECOBALAMIN JP…………..…1500 MCG
L-METHYLFOLATE CALCIUM……….1 MG
PYRIDOXAL-5-PHOSPHATE………..0.5 MG
EXCIPIENTS ………………………… Q.S.</t>
  </si>
  <si>
    <t>MECOBALAMIN JP 1500 MCG + 
L-METHYLFOLATE CALCIUM 1 MG + 
PYRIDOXAL-5-PHOSPHATE 0.5 MG</t>
  </si>
  <si>
    <t>ZADY-100</t>
  </si>
  <si>
    <t>EACH UNCOATED DISPERSIBLE TABLET CONTAINS :
AZITHROMYCIN (ANHYDROUS)………..………………100 MG
(AS AZITHROMYCIN DIHYDRATE IP)</t>
  </si>
  <si>
    <t>AZITHROMYCIN 100 MG</t>
  </si>
  <si>
    <t>ZADY-250</t>
  </si>
  <si>
    <t>EACH FILM COATED TABLET CONTAINS :
AZITHROMYCIN (ANHYDROUS)………..…250 MG
(AS AZITHROMYCIN DIHYDRATE IP)</t>
  </si>
  <si>
    <t>AZITHROMYCIN 250 MG</t>
  </si>
  <si>
    <t>ZADY-500</t>
  </si>
  <si>
    <t>EACH FILM COATED TABLET CONTAINS :
AZITHROMYCIN (ANHYDROUS)………..…500 MG
(AS AZITHROMYCIN DIHYDRATE IP)</t>
  </si>
  <si>
    <t>AZITHROMYCIN 500 MG</t>
  </si>
  <si>
    <t>ZADY READYMIX</t>
  </si>
  <si>
    <t>EACH 5 ML CONTAINS :
AZITHROMYCIN DIHYDRATE I.P 
EQ. TO AZITHROMYCIN ANHYDROUS .………..…100 MG 
IN A FLAVOURED SYRYP BASE</t>
  </si>
  <si>
    <t xml:space="preserve">ZADY-200 READYMIX </t>
  </si>
  <si>
    <t>EACH 5 ML CONTAINS :
AZITHROMYCIN DIHYDRATE I.P 
EQ. TO AZITHROMYCIN ANHYDROUS .………..…200 MG 
FLAVOURED SYRYP BASE …………..Q.S</t>
  </si>
  <si>
    <t>AZITHROMYCIN 200 MG</t>
  </si>
  <si>
    <t>ZEROGRAIN-10</t>
  </si>
  <si>
    <t>EACH UNCOATED TABLET CONTAINS :
FLUNARIZINE DIHYDROCHLORIDE BP
EQ. TO FLUNARIZINE …………………10 MG
EXCIPIENTS ………………………..Q.S.</t>
  </si>
  <si>
    <t>FLUNARIZINE 10 MG</t>
  </si>
  <si>
    <t>ZEROGRAIN-PLUS NEW</t>
  </si>
  <si>
    <t xml:space="preserve">EACH FILM COATED TALBET CONTAINS :   
NAPROXEN IP ……………….250 MG
DOMEPERIDONE MALEATE IP ……….10 MG </t>
  </si>
  <si>
    <t xml:space="preserve">NAPROXEN IP  250 MG + 
DOMEPERIDONE MALEATE IP 10 MG </t>
  </si>
  <si>
    <t>ZINCOLIFE SYRUP</t>
  </si>
  <si>
    <t>EACH 5 ML CONTAINS :
ZINC ACETATE USP
(AS DIHYDRATE)
EQUIVALENT TO ELEMENTAL ZINC …...…20 MG
IN A MENTHOLATED SYRUP BASE</t>
  </si>
  <si>
    <t>ZINC 20 MG</t>
  </si>
  <si>
    <t>20 MG/5ML</t>
  </si>
  <si>
    <t>ALOGRACE CREAM</t>
  </si>
  <si>
    <t>INGREDIENTS :
ALOE VERA EXTRACT ………………………10.0% 
WHEATGERM OIL (NATURAL VITAMIN E) ….0.6%
HONEY EXTRACT …………………………..1.0%
TEA TREE OIL  ……………………………..0.1% 
MOISTURISING CREAM BASE………………..Q.S.
OTHER INGREDIENTS :
AQUA, LIGHT LIQUID PARAFFIN, GLYCERYL MONOSTEARATE, 
GLYCERIN, COMPOUND ALOE EXTRACT, CETYL ALCOHOL, 
DIMETHICONE, STEARIC ACID, METHYL PARABEN, PROPYL 
PARABEN, ISOPROPYL PALMITATE, LANOLIN ANHYDROUS, 
TRIETHANOLAMINE, DISODIUM EDTA, POTASSIUM HYDROXIDE,
PROPYLENE GLYCOL, PHENOXYETHANOL, BHT, FRAGRANCE</t>
  </si>
  <si>
    <t>ALOE VERA EXTRACT 10.0% +  WHEATGERM OIL (NATURAL VITAMIN E) 0.6% + HONEY EXTRACT 1.0% + TEA TREE OIL 0.1%</t>
  </si>
  <si>
    <t>Life Mankind (A Division of Mankind Pharma Ltd.)</t>
  </si>
  <si>
    <t>M/s RSH Global Pvt Ltd (Formerly Ratnasagar Herbals Pvt Ltd.), Plot No.3C , Industrial Area, Katha, Baddi-173205</t>
  </si>
  <si>
    <t>ALOGRACE BATHING BAR</t>
  </si>
  <si>
    <t>INGREDIENTS
SYNDET BASE*, PERFUME: COLOGNE,  PENTAERYTHRITYL
TETRA-DL-T-BUTYL HYDROXYHYDROCINNAMATE, 
SHEA BUTTER BLEMD, ALOE BUTTER AND 4,4-DISTYRYL
BIPHENYL DERIVATIVE.
* SYNDET BASE CONSISTS POTASSIUM CHLORIDE,
SODIUM COCO SULPHATE, PHOSPHORIC ACID, DISODIUM
LAURYL SULFOSUCCINATE, POTASSIUM LAURYL SULPHATE
SODIUM COCOYL GLYCINATE, CETOSTEARYL ALCOHOL, MALTODEXTRIN,
GLYCERIN, POLYQUATERNIUM-7, SODIUM CHLORIDE
DIOCTYLDODECYL FLUOROHEPTYL CITRATE, TITANIUM
DIOXIDE.</t>
  </si>
  <si>
    <t>ARGIPREG SACHET</t>
  </si>
  <si>
    <t>EACH SACHET (6.5 GM) CONTAINS :
L-ARGININE I.P. ………………………………….3 GM
PROANTHOCYANIDIN …………………………..75 MG</t>
  </si>
  <si>
    <t>L-ARGININE 3 GM + PROANTHOCYANIDIN 75 MG</t>
  </si>
  <si>
    <t>ASTHAKIND</t>
  </si>
  <si>
    <t>EACH UNCOATED TABLET CONTAINS :
TERBUTALINE SULPHATE IP ………………..2.5 MG
BROMHEXINE HYDROCHLORIDE IP …………..4 MG
GUAIPHENESIN IP ……………………………..100 MG</t>
  </si>
  <si>
    <t>TERBUTALINE SULPHATE 2.5 MG + BROMHEXINE HYDROCHLORIDE 4 MG</t>
  </si>
  <si>
    <t>ASTHAKIND EXPECTORANT</t>
  </si>
  <si>
    <t xml:space="preserve">EACH 5 ML CONTAINS :
TERBUTALINE SULPHATE I.P. ………….1.25 MG
BROMHEXINE HYDROCHLORIDE I.P. ….. 2 MG
GUAIPHENESIN I.P. ……………………… 50 MG
IN A FLAVOURED SYRUPY BASE </t>
  </si>
  <si>
    <t>TERBUTALINE SULPHATE 1.25 MG + BROMHEXINE HYDROCHLORIDE 2 MG + GUAIPHENESIN I.P.50 MG</t>
  </si>
  <si>
    <t>TERBUTALINE SULPHATE 1.25 MG + BROMHEXINE HYDROCHLORIDE 2 MG + GUAIPHENESIN 50 MG</t>
  </si>
  <si>
    <t>ASTHAKIND-DX SYRUP</t>
  </si>
  <si>
    <t>EACH 5 ML CONTAINS :
DEXTROMETHORPHAN HYDROBROMIDE IP …15 MG
CHLORPHENIRAMINE MELEATE IP ………….2 MG
PHENYLEPHRINE HYDROCHLORIDE IP ………5 MG
IN A PALATABLE SUGAR FREE BASE ………..Q.S.</t>
  </si>
  <si>
    <t>DEXTROMETHORPHAN HYDROBROMIDE 15 MG + CHLORPHENIRAMINE MELEATE 2 MG + PHENYLEPHRINE HYDROCHLORIDE 5 MG</t>
  </si>
  <si>
    <t>EACH 5 ML CONTAINS :
DEXTROMETHORPHAN HYDROBROMIDE IP 15 MG
CHLORPHENIRAMINE MALEATE IP ….2 MG
PHENYLEPHRINE HYDROCHLORIDE IP …. 5 MG
IN A PALATABLE SUGAR FREE BASE ………..Q.S.</t>
  </si>
  <si>
    <t>DEXTROMETHORPHAN HYDROBROMIDE 15 MG + CHLORPHENIRAMINE MALEATE 2 MG + PHENYLEPHRINE HYDROCHLORIDE 5 MG</t>
  </si>
  <si>
    <t>ASTHAKIND-DX JUNIOR SYRUP</t>
  </si>
  <si>
    <t>EACH 5ML CONTAINS:
DEXTROMETHORPHAN HYDROBROMIDE IP…..5MG
PHENYLEPHRINE HYDROCHLORIDE IP………..2.5MG
CHLORPHENIRAMINE MALEATE IP……………..1MG</t>
  </si>
  <si>
    <t>DEXTROMETHORPHAN HYDROBROMIDE 5MG + PHENYLEPHRINE HYDROCHLORIDE 2.5MG + CHLORPHENIRAMINE MALEATE 1MG</t>
  </si>
  <si>
    <t>ASTHAKIND-P DROPS</t>
  </si>
  <si>
    <t>EACH ML (APPROX 20 DROPS) CONTAINS :
AMBROXOL HYDROCHLORIDE IP ……………7.5 MG
TERBUTALINE SULPHATE IP …………….0.25 MG
GUAIPHENESIN IP ……………………………12.5 MG
FLAVOURED SYRUPY BASE ……………………Q.S.</t>
  </si>
  <si>
    <t>ASTHAKIND PRO SUSPENSION</t>
  </si>
  <si>
    <t xml:space="preserve">EACH 5 ML OF SUSPENSION CONTAINS :
LEVOCLOPERASTINE FENDIZOATE....35.4 MG
(EQ. TO 20 MG OF LEVOCLOPERASTINE HYDROCHLORIDE) IN A FLOVOURED SUGER FREE BASE </t>
  </si>
  <si>
    <t>LEVOCLOPERASTINE FENDIZOATE 35.4 MG</t>
  </si>
  <si>
    <t>35.4 MG</t>
  </si>
  <si>
    <t>BACTAFUZ CREAM</t>
  </si>
  <si>
    <t>EACH G CONTAINS :
FUSIDIC ACID IP ……………………………20 MG
PRESERVATIVE 
POTASSIUM SORBATE BP ………………..2.7 MG
IN A WATER-MISCIBLE CREAM BASE.</t>
  </si>
  <si>
    <t>FUSIDIC ACID 20 MG + PRESERVATIVE POTASSIUM SORBATE 2.7 MG</t>
  </si>
  <si>
    <t>BIOPREG-F</t>
  </si>
  <si>
    <t>EACH FILM COATED TABLET CONTAINS :
BIOTIN USP ………………………..5 MG
FOLIC ACID IP ……………………..5 MG
APPROPRIATE OVERAGES OF VITAMINS ADDED TO 
COMPENSATE LOSS ON STORAGE</t>
  </si>
  <si>
    <t>BIOTIN 5 MG + FOLIC ACID 5 MG</t>
  </si>
  <si>
    <t xml:space="preserve">CALAPURE-A LOTION </t>
  </si>
  <si>
    <t>KEY INGREDIENTS :
ALOE VERA GEL ………………………10.0% W/W 
LIGHT LIQUID PARAFFIN ….10.0% W/W
CALAMINE………………………….8.0% W/W
 INGREDIENTS :
PURIFIED WATER, ALOE VERA GEL, LIGHT LIQUID PARAFFIN, 
CALAMINE, GLYCERIN, SILICONE OIL 350 cs , STEARETH-2, 
STEARETH-21, DIMETHICONE (AND) DIMETHICONOL, BENTONITE, 
 MAGNESIUM ALUMINIUM SILICATE,  METHYL PARABEN,
 PERFUME, PROPYL PARABEN, CITRIC ACID MONOHYDRATE</t>
  </si>
  <si>
    <t>ALOE VERA GEL 10.0% W/W +  LIGHT LIQUID PARAFFIN 10.0% W/W + CALAMINE 8.0% W/W</t>
  </si>
  <si>
    <t>CLOSTAR-GM CREAM (NF)</t>
  </si>
  <si>
    <t>CLOBETASOL PROPIONATE USP …..0.05% W/W
NEOMYCIN SULPHATE IP ……………. 0.05% W/W
CLOTRIMAZOLE IP ……………………… 1.0% W/W
PRESERVATIVE
CHLOROCRESOL I.P. ………………….0.1% W/W
CREAM BASE ………………………………..Q.S.</t>
  </si>
  <si>
    <t>DOLOJUST</t>
  </si>
  <si>
    <t>EACH UNCOATED TABLET CONTAINS :
DICLOFENAC POTASSIUM BP ……………50 MG
ACETAMINOPHEN IP ……………………..325 MG</t>
  </si>
  <si>
    <t>DICLOFENAC POTASSIUM 50 MG + ACETAMINOPHEN 325 MG</t>
  </si>
  <si>
    <t>DYDROBOON</t>
  </si>
  <si>
    <t>EACH FILM COATED TABLET CONTAINS :
DYDROGESTERONE IP.......10 MG
EXCIPIENTS …………………………………….Q.S.</t>
  </si>
  <si>
    <t>DYDROGESTERONE 10 MG</t>
  </si>
  <si>
    <t>DYDROBOON-30 SR</t>
  </si>
  <si>
    <t>EACH FILM COATED TABLET CONTAINS:
DYDROGESTERONE IP……………… 30 MG
(AS SUSTAINED RELEASE)
EXCIPIENTS…………………………….Q.S.</t>
  </si>
  <si>
    <t>DYDROGESTERONE 30 MG
(AS SUSTAINED RELEASE)</t>
  </si>
  <si>
    <t>GESTAKIND-10</t>
  </si>
  <si>
    <t>ISOXUPRINE HYDROCHLORIDE 10 MG</t>
  </si>
  <si>
    <t>GESTAKIND-SR</t>
  </si>
  <si>
    <t>EACH UNCOATED SUSTAINED RELEASE TABLET CONTAINS :
ISOXSUPRINE HYDROCHLORIDE IP ………40 MG</t>
  </si>
  <si>
    <t>ISOXSUPRINE HYDROCHLORIDE 40 MG</t>
  </si>
  <si>
    <t>GUDCEF-50</t>
  </si>
  <si>
    <t>EACH UNCOATED DISPERSIBLE TABLET CONTAINS :
CEFPODOXIME PROXETIL IP
EQUIVALENT TO ANHYDROUS CEFPODOXIME ……….. 50 MG
EXCIPIENTS ………………………………………Q.S.</t>
  </si>
  <si>
    <t>ANHYDROUS CEFPODOXIME 50 MG</t>
  </si>
  <si>
    <t>GUDCEF-100</t>
  </si>
  <si>
    <t>EACH UNCOTED DISPERSIBLE TABLET CONTAINS:
CEFPODOXIME PROXETIL IP
EQ. TO ANHYDROUS CEFPODOXIME………100 mg.
EXCIPIENTS ………………………………………Q.S.</t>
  </si>
  <si>
    <t>GUDCEF-200</t>
  </si>
  <si>
    <t>EACH FILM COATED TABLET CONTAINS:
CEFPODOXIME PROXETIL IP
EQUIVALENT TO ANHYDROUS CEFPODOXIME…….200 MG
EXCIPIENTS …………………………………………Q.S.</t>
  </si>
  <si>
    <t>ANHYDROUS CEFPODOXIME 200 MG</t>
  </si>
  <si>
    <t>GUDCEF-CV 100</t>
  </si>
  <si>
    <t>EACH UNCOATED DISPERSIBLE TABLET CONTAINS :
CEFPODOXIME PROXETIL IP
EQUIVALENT TO ANHYDROUS CEFPODOXIME ……….100 MG
POTASSIUM CLAVULANATE DILUTED IP
EQUIVALENT TO CLAVULANIC ACID …………62.5 MG
EXCIPIENTS ……………………………………….Q.S.</t>
  </si>
  <si>
    <t>ANHYDROUS CEFPODOXIME 100 MG + CLAVULANIC ACID 62.5 MG</t>
  </si>
  <si>
    <t>GUDCEF-CV 200</t>
  </si>
  <si>
    <t>EACH FILM COATED TABLET CONTAINS :
CEFPODOXIME PROXETIL IP
EQUIVALENT TO CEFPODOXIME …….200 MG
POTASSIUM CLAVULANATE DILUTED IP
EQUIVALENT TO CLAVULANIC ACID ….125 MG
EXCIPIENTS ………………………………………….Q.S.</t>
  </si>
  <si>
    <t>CEFPODOXIME 200 MG + CLAVULANIC ACID 125 MG</t>
  </si>
  <si>
    <t>GUDCEF-CV DRY SYRUP</t>
  </si>
  <si>
    <t>EACH 5 ML OF CONSTITUTED SUSPENSION CONTAINS :
CEFPODOXIME PROXETIL IP
EQUIVALENT TO ANHYDROUS CEFPODOXIME ……50 MG
POTASSIUM CLAVULANATE DILUTED IP
EQUIVALENT TO CLAVULANIC ACID …..31.25 MG</t>
  </si>
  <si>
    <t>ANHYDROUS CEFPODOXIME 50 MG + CLAVULANIC ACID 31.25 MG</t>
  </si>
  <si>
    <t>GUDCEF-CV 100 DRY SYRUP</t>
  </si>
  <si>
    <t>EACH 5 ML OF CONSTITUTED SUSPENSION CONTAINS :
CEFPODOXIME PROXETIL IP
EQUIVALENT TO CEFPODOXIME ……100 MG
POTASSIUM CLAVULANATE DILUTED IP
EQUIVALENT TO CLAVULANIC ACID …..62.50 MG
EXCIPIENTS ……………………………….Q.S.</t>
  </si>
  <si>
    <t>CEFPODOXIME 100 MG + CLAVULANIC ACID 62.50 MG</t>
  </si>
  <si>
    <t xml:space="preserve">GUDCEF DROPS </t>
  </si>
  <si>
    <t>EACH ML OF CONSTITUTED SUSPENSION CONTAINS :
CEFPODOXIME PROXETIL IP
EQUIVALENT TO ANHYDROUS CEFPODOXIME …25 MG
EXCIPIENTS ……………………………….Q.S.</t>
  </si>
  <si>
    <t>ANHYDROUS CEFPODOXIME 25 MG</t>
  </si>
  <si>
    <t>GUDCEF DRY SYRUP</t>
  </si>
  <si>
    <t>EACH 5 ML OF CONSTITUTED SUSPENSION CONTAINS :
CEFPODOXIME PROXETIL IP
EQUIVALENT TO ANHYDROUS CEFPODOXIME …….. 50 MG</t>
  </si>
  <si>
    <t>HERPIKIND-200</t>
  </si>
  <si>
    <t>EACH UNCOATED DISPERSIBLE TABLET CONTAINS
ACICLOVIR IP ……………………………… 200 MG</t>
  </si>
  <si>
    <t>ACICLOVIR 200 MG</t>
  </si>
  <si>
    <t>HERPIKIND-400</t>
  </si>
  <si>
    <t>EACH UNCOATED DISPERSIBLE TABLET CONTAINS
ACICLOVIR IP ……………………………… 400 MG</t>
  </si>
  <si>
    <t>ACICLOVIR 400 MG</t>
  </si>
  <si>
    <t>HERPIKIND-800</t>
  </si>
  <si>
    <t>EACH UNCOATED DISPERSIBLE TABLET CONTAINS :
ACICLOVIR IP ……………………………… 800 MG</t>
  </si>
  <si>
    <t>ACICLOVIR 800 MG</t>
  </si>
  <si>
    <t>800 MG</t>
  </si>
  <si>
    <t>HERPIKIND OINTMENT</t>
  </si>
  <si>
    <t>EACH GM CONTAINS :
ACICLOVIR BP …………………………….. 50 MG
WATER MISCIBLE OINTMENT BASE ……….Q.S.</t>
  </si>
  <si>
    <t>ACICLOVIR 50 MG</t>
  </si>
  <si>
    <t>HICOPE DROPS</t>
  </si>
  <si>
    <t xml:space="preserve">EACH ML (APPROX 30 DROPS) CONTAINS :
HYDROXYZINE HYDROCHLORIDE IP …… 6 MG
IN A FLAVOURED SYRUPY BASE </t>
  </si>
  <si>
    <t>HYDROXYZINE HYDROCHLORIDE 6 MG</t>
  </si>
  <si>
    <t>HICOPE-10</t>
  </si>
  <si>
    <t>EACH FILM COATED TABLET CONTAINS :
HYDROXYZINE HYDROCHLORIDE IP ……..10 MG
EXCIPIENTS …………………………………….Q.S.</t>
  </si>
  <si>
    <t>HYDROXYZINE HYDROCHLORIDE 10 MG</t>
  </si>
  <si>
    <t>HICOPE-25</t>
  </si>
  <si>
    <t>EACH FILM COATED TABLET CONTAINS :
HYDROXYZINE HYDROCHLORIDE IP. …25 MG
EXCIPIENTS ………………. Q.S.</t>
  </si>
  <si>
    <t>HYDROXYZINE HYDROCHLORIDE 25 MG</t>
  </si>
  <si>
    <t xml:space="preserve">HICOPE SYRUP </t>
  </si>
  <si>
    <t>EACH 5 ML CONTAINS :
HYDROXYZINE HYDROCHLORIDE IP ……10 MG
IN A FLAVOURED SYRUPY BASE.....Q.S.</t>
  </si>
  <si>
    <t>10 MG/5ML</t>
  </si>
  <si>
    <t>IBUKIND PLUS SUSP</t>
  </si>
  <si>
    <t>EACH 5 ML CONTAINS :
IBUPROFEN IP ……………………………..100 MG
PARACETAMOL IP …………………….162.5 MG
FLAVOURED SYRUP BASE………..Q.S.</t>
  </si>
  <si>
    <t>IBUPROFEN 100 MG + PARACETAMOL 162.5 MG</t>
  </si>
  <si>
    <t>KETOSTAR ANTI-DANDRUFF LOTION</t>
  </si>
  <si>
    <t>KETOCONAZOLE IP  ………………  2% w/v
ZINC PYRITHIONE  (ZPTO) ...…    1 % w/v</t>
  </si>
  <si>
    <t>KETOCONAZOLE 2% w/v + ZINC PYRITHIONE 1 % w/v</t>
  </si>
  <si>
    <t>KETOSTAR CREAM</t>
  </si>
  <si>
    <t>KETOCONAZOLE IP  ………………  2% w/w
CREAM BASE …………………….Q.S.
PRESERVATIVES:
METHYLPARABEN IP ……………..0.15% w/w
PROPYLPARABEN IP ……………..0.05% w/w</t>
  </si>
  <si>
    <t>METHYLPARABEN 0.15% w/w + PROPYLPARABEN 0.05% w/w</t>
  </si>
  <si>
    <t>KETOSTAR MEDICATED SOAP</t>
  </si>
  <si>
    <t>KETOCONAZOLE IP …………………..2.0% W/W
CETRIMIDE IP ………………………0.5% W/W
SOAP NOODLE BASE …………………..Q.S.
PERFUME …………………………………Q.S.</t>
  </si>
  <si>
    <t>KETOCONAZOLE 2.0% W/W + CETRIMIDE 0.5% W/W</t>
  </si>
  <si>
    <t>MATCH INJ</t>
  </si>
  <si>
    <t>EACH 2 ml CONTAINS:
a-b ARTEETHER IP…………………150 mg
ETHYL OLEATE  IP………..q.s</t>
  </si>
  <si>
    <t>MEFKIND-DS SUSPENSION</t>
  </si>
  <si>
    <t>EACH 5 ML CONTAINS :
PARACETAMOL IP ………………………250 MG
MEFENAMIC ACID IP ………………………100 MG
FLAVOURED SYRUPY BASE ……………..Q.S.</t>
  </si>
  <si>
    <t>PARACETAMOL 250 MG + MEFENAMIC ACID 100 MG</t>
  </si>
  <si>
    <t xml:space="preserve">MEFKIND FORTE </t>
  </si>
  <si>
    <t>EACH UNCOATED TABLET CONTAINS :
MEFENAMIC ACID IP ………………….500 MG
PARACETAMOL IP ………………………325 MG
EXCIPIENTS ……………………………Q.S.</t>
  </si>
  <si>
    <t>MEFENAMIC ACID 500 MG + PARACETAMOL 325 MG</t>
  </si>
  <si>
    <t>MEFKIND FORTE SUSP</t>
  </si>
  <si>
    <t>EACH 5 ML CONTAINS :
PARACETAMOL IP ………………………125 MG
MEFENAMIC ACID IP ………………………50 MG
FLAVOURED SYRUPY BASE ……………..Q.S.</t>
  </si>
  <si>
    <t>PARACETAMOL 125 MG + MEFENAMIC ACID 50 MG</t>
  </si>
  <si>
    <t>MEFKIND SPAS</t>
  </si>
  <si>
    <t>EACH UNCOATED TABLET CONTAINS :
MEFENAMIC ACID IP ………….250 MG
DICYCLOMINE HYDROCHLORIDE IP ..10 MG
EXCIPIENTS ……………………………..Q.S.</t>
  </si>
  <si>
    <t>MEFENAMIC ACID 250 MG + DICYCLOMINE HYDROCHLORIDE 10 MG</t>
  </si>
  <si>
    <t>MELABEST CREAM</t>
  </si>
  <si>
    <t>HYDROQUINONE USP ………………..2% W/W
TRETINOIN USP …………………………0.025% W/W
MOMETASONE FUROATE IP …………0.1% W/W
CREAM BASE ……………………………Q.S.</t>
  </si>
  <si>
    <t>HYDROQUINONE 2% W/W + TRETINOIN 0.025% W/W + MOMETASONE FUROATE 0.1% W/W</t>
  </si>
  <si>
    <t>NUCORT-M4</t>
  </si>
  <si>
    <t>EACH UNCOATED DISPERSIBLE TABLET CONTAINS :
METHYLPREDNISOLONE IP ……………..4 MG</t>
  </si>
  <si>
    <t>METHYLPREDNISOLONE 4 MG</t>
  </si>
  <si>
    <t>NUCORT-M8</t>
  </si>
  <si>
    <t>EACH UNCOATED DISPERSIBLE TABLET CONTAINS :
METHYLPREDNISOLONE IP ……………..8 MG</t>
  </si>
  <si>
    <t>METHYLPREDNISOLONE 8 MG</t>
  </si>
  <si>
    <t>NUCORT-M16</t>
  </si>
  <si>
    <t>EACH UNCOATED DISPERSIBLE TABLET CONTAINS :
METHYLPREDNISOLONE IP ……………..16 MG</t>
  </si>
  <si>
    <t>METHYLPREDNISOLONE 16 MG</t>
  </si>
  <si>
    <t>NUCORT-M 40 INJECTION</t>
  </si>
  <si>
    <t xml:space="preserve">EACH VIAL CONTAINS:
METHYLPREDNISOLONE 
SODIUM SUCCINATE USP
EQ TO METHYLPREDNISOLONE……40 MG
</t>
  </si>
  <si>
    <t>METHYLPREDNISOLONE 40 MG</t>
  </si>
  <si>
    <t>NUFORCE DUSTING POWDER</t>
  </si>
  <si>
    <t>CLOTRIMAZOLE IP ……………………….1% W/W
TALC &amp; STARCH BASE …………………………Q.S.</t>
  </si>
  <si>
    <t>SCABELICE LOTION</t>
  </si>
  <si>
    <t>GAMMA BENZENE 
HEXACHLORIDE IP ……………………1% W/V
CETRIMIDE IP ……………………………0.1% W/V
WATER DISPERSIBLE BASE …………Q.S.</t>
  </si>
  <si>
    <t>HEXACHLORIDE 1% W/V + CETRIMIDE 0.1% W/V</t>
  </si>
  <si>
    <t xml:space="preserve">SCABELICE-NEW MEDICATED SOAP </t>
  </si>
  <si>
    <t>MONOSULFIRAM …………………………5% W/W
SOAP NOODLE BASE ………………….Q.S.
PERFUME ……………………………….Q.S.</t>
  </si>
  <si>
    <t>MONOSULFIRAM 5% W/W</t>
  </si>
  <si>
    <t>5% W/W</t>
  </si>
  <si>
    <t xml:space="preserve">TERBINAFORCE </t>
  </si>
  <si>
    <t>EACH UNCOATED TABLET CONTAINS :
TERBINAFINE HYDROCHLORIDE BP 
EQUIVALENT TO TERBINAFINE ………250 MG
(IN BETACYCLODEXTRIN)</t>
  </si>
  <si>
    <t>TERBINAFINE 250 MG</t>
  </si>
  <si>
    <t>TERBINAFORCE-500</t>
  </si>
  <si>
    <t>EACH UNCOATED TABLET CONTAINS :
TERBINAFINE HYDROCHLORIDE BP 
EQUIVALENT TO TERBINAFINE ………500 MG
EXCIPIENTS …………………………………….Q.S.</t>
  </si>
  <si>
    <t>TERBINAFINE 500 MG</t>
  </si>
  <si>
    <t>TERBINAFORCE DUSTING POWDER</t>
  </si>
  <si>
    <t>TERBINAFINE HYDROCHLORIDE BP
EQUIVALENT TO TERBINAFINE …………1% W/W</t>
  </si>
  <si>
    <t>TERBINAFINE 1% W/W</t>
  </si>
  <si>
    <t>TERBINAFORCE CREAM</t>
  </si>
  <si>
    <t>TERBINAFINE HYDROCHLORIDE BP …………1% W/W
BENZYL ALCOHOL IP (AS PRESERVATIVE) …….1% W/W
IN A CREAM BASE …………………………….Q.S.</t>
  </si>
  <si>
    <t>TERBINAFINE HYDROCHLORIDE 1% W/W + BENZYL ALCOHOL IP (AS PRESERVATIVE) 1% W/W</t>
  </si>
  <si>
    <t>TERBINAFORCE-M CREAM</t>
  </si>
  <si>
    <t>TERBINAFINE HYDROCHLORIDE BP……1% W/W
MOMETASONE FUROATE     IP………..0.1%W/W
CREAM BASE………………….Q.S.</t>
  </si>
  <si>
    <t>TERBINAFINE HYDROCHLORIDE 1% W/W + MOMETASONE FUROATE 0.1%W/W</t>
  </si>
  <si>
    <t>TEROZESTA TABLETS</t>
  </si>
  <si>
    <t>EACH FILM COATED TABLET CONTAINS:
DIENOGEST IP ……………………2 MG
EXCIPIENTS …………………………………….Q.S.</t>
  </si>
  <si>
    <t>DIENOGEST 2 MG</t>
  </si>
  <si>
    <t>URIKIND-K SUSP</t>
  </si>
  <si>
    <t>EACH 5 ML CONTAINS :
POTASSIUM CITRATE MONOHYDRATE IP ...1100 MG
CITRIC ACID MONOHYDRATE IP ……………334 MG
FLAVOURED SORBITOL BASE ………………Q.S.
(EACH ML CONTAINS 2 mEq OF POTASSIUM IONS)</t>
  </si>
  <si>
    <t>POTASSIUM CITRATE MONOHYDRATE 1100 MG + CITRIC ACID MONOHYDRATE 334 MG</t>
  </si>
  <si>
    <t>VENTIDOX-BRO</t>
  </si>
  <si>
    <t>EACH UNCOATED TABLET CONTAINS:
DOXOFYLLINE IP……………………..400 MG
AMBROXOL HYDROCHLORIDE IP………..30 MG
EXCIPIENTS …………………………………….Q.S.</t>
  </si>
  <si>
    <t xml:space="preserve">
DOXOFYLLINE 400 MG + AMBROXOL HYDROCHLORIDE 30 MG</t>
  </si>
  <si>
    <t>VENTIDOX-M</t>
  </si>
  <si>
    <t>EACH UNCOATED BILAYERED TABLET CONTAINS :
DOXOFYLLINE ……………………………..400 MG
(AS SUSTAINED RELEASE FORM)
MONTELUKAST SODIUM IP
EQUIVALENT TO MONTELUKAST …………10 MG
EXCIPIENTS ………………………………….Q.S.</t>
  </si>
  <si>
    <t>DOXOFYLLINE 400 MG + (AS SUSTAINED RELEASE FORM) + MONTELUKAST 10 MG</t>
  </si>
  <si>
    <t xml:space="preserve">VERMACT-3 </t>
  </si>
  <si>
    <t>EACH UNCOATED DISPERSIBLE TABLET CONTAINS :
IVERMECTIN BP …………………………….3 MG
EXCIPIENTS ……………………………………..Q.S.</t>
  </si>
  <si>
    <t>IVERMECTIN 3 MG</t>
  </si>
  <si>
    <t>VERMACT-6</t>
  </si>
  <si>
    <t>EACH UNCOATED DISPERSIBLE TABLET CONTAINS :
IVERMECTIN IP ……………………………….6 MG
EXCIPIENTS ……………………………………..Q.S.</t>
  </si>
  <si>
    <t>IVERMECTIN 6 MG</t>
  </si>
  <si>
    <t>VERMACT-12</t>
  </si>
  <si>
    <t>EACH UNCOATED DISPERSIBLE TABLET CONTAINS:
IVERMECTIN IP…………….12 MG
EXCIPIENTS…………………Q.S.
COLOUR: TARTRAZINE</t>
  </si>
  <si>
    <t>IVERMECTIN 12 MG</t>
  </si>
  <si>
    <t>12 MG</t>
  </si>
  <si>
    <t>OVABLESS</t>
  </si>
  <si>
    <t xml:space="preserve">EACH FILM COATED TABLET CONTAINS :
L-ARGININE …………………………………100 MG
GREEN TEA EXTRACT ………………100 MG
INOSITOL  ……………………………………..100 MG
MAGNESIUM……………………………50 MG
CHASTEBERRY EXTRACT………40 MG
VITAMIN C………………………………..40 MG
NIACIN………………………………………14 MG
ZINC…………………………………………..10 MG
VITAMIN E…………………………………..10 MG
IRON ……………………………………………8 MG
MANGANESE……………………………..3 MG
VITAMIN B6 …………...……………….2 MG
VITAMIN B2 …………...……………….1.3 MG
VITAMIN B1 …………...……………….1 .1 MG
COPPER…………………………………700 MCG
VITAMIN A………………………………600 MCG
MECOBALAMIN…………………….500 MCG
FOLIC ACID ……………………………200 MCG
IODINE…………………………………….100 MCG
SELENIUM………………………………..40 MCG
CHROMIUM……………………………….33 MCG
VITAMIN D………………………………….10 MCG
APPROPRIATE OVERAGES OF VITAMINS ARE ADDED </t>
  </si>
  <si>
    <t xml:space="preserve">L-ARGININE 100 MG + GREEN TEA EXTRACT 100 MG + INOSITOL 100 MG + MAGNESIUM 50 MG + 
CHASTEBERRY EXTRACT 40 MG + VITAMIN C 40 MG + NIACIN 14 MG + ZINC 10 MG + VITAMIN E 10 MG + IRON 8 MG + MANGANESE 3 MG + VITAMIN B6 2 MG + VITAMIN B2 1.3 MG + VITAMIN B1 1 .1 MG + COPPER 700 MCG + VITAMIN A 600 MCG + MECOBALAMIN 500 MCG + FOLIC ACID 200 MCG + IODINE 100 MCG + SELENIUM 40 MCG + CHROMIUM 33 MCG + VITAMIN D 10 MCG
APPROPRIATE OVERAGES OF VITAMINS ARE ADDED </t>
  </si>
  <si>
    <t>URIKIND-KM SACHET</t>
  </si>
  <si>
    <t>EACH SERVING 5G (ONE SACHET) CONTAINS 
APPROXIMATELY :
CRANBERRY EXTRACT…………..200 MG (4%W/W)
(STANDARDISE FOR 25% PROANTHOCYANIDIN)
D-MANNOSE……………………………….300 MG (6%W/W)
POTASSIUM MAGNESIUM CITRATE…978 MG (19.56%W/W)
(CONTAINING POTASSIUM CITRATE ANHYDROUS 714.9 MG
&amp; MAGNESIUM CITRATE ANHYDROUS 263.10 MG)
 INGREDIENTS : CRANBERRY EXTRACT, DEXTROSE ANHYDROUS,
PATASSIUM MAGNESIUM CITRATE, D-MANNOSE, ACIDITY
REGULATOR (INS 330), COLLOIDAL SILICON DIOXIDE,
SUCRALOSE (INS 955)</t>
  </si>
  <si>
    <t>CRANBERRY EXTRACT 200 MG (4%W/W)
(STANDARDISE FOR 25% PROANTHOCYANIDIN) + D-MANNOSE 300 MG (6%W/W) POTASSIUM MAGNESIUM CITRATE 978 MG (19.56%W/W)</t>
  </si>
  <si>
    <t>DROGYNA TABLETS</t>
  </si>
  <si>
    <t>EACH FILM COATED TABLET CONTAINS:
DYDROGESTERONE IP……………… 10MG
EXCIPIENTS…………………………….Q.S.</t>
  </si>
  <si>
    <t>DYDROGESTERONE IP 10MG</t>
  </si>
  <si>
    <t>Zesteva Mankind (A Division of Mankind Pharma Ltd.)</t>
  </si>
  <si>
    <t>EVAKIND SYRUP</t>
  </si>
  <si>
    <t xml:space="preserve">EACH 5ML CONTAINS EXTRACTS:
ASHOKA (SARACA ASOCA) STEM BARK …………… 60 MG
METHI (TRIGONELLA FOENUM GRAECUM) SEED…………… 30 MG
DAARUHALDI (BERBERIS ARISTATA) STEM…………… 20 MG
PUNARNAVA (BOERHAAVIA DIFFUSA) ROOT…………… 20 MG
GOKHRU (TRIBULUS TERRESTRIS) FRUIT…………… 17.5 MG
YASHTIMADHU (GLYCYRRHIZA GLABRA) ROOT…………… 12.5 MG
NIRGUNDI (VITEX NEGUNDO) LEAF…………… 10 MG
MUSTA (CYPERUS ROTUNDUS) RHIZOME…………… 10 MG
LODHRA (SYMPLOCOS RACEMOSA) STEM BARK…………… 10 MG
SATAVARI (ASPARAGUS RACEMOSUS) ROOT…………… 10 MG
DALCHINI (CINNAMOMUM ZEYLANICUM) BARK…………… 10 MG
MANJISTHA (RUBIA CORDIFOLIA) STEM…………… 10 MG
AMLA (EMBLICA OFFICINALIS) FRUIT…………… 10 MG
MAJUPHAL (QUERCUS INFECTORIA) GALL…………… 10 MG
NAGAKESAR (MESUA FERREA) STAMEN…………… 8 MG
JIRA (CUMINUM CYMINUM) FRUIT…………… 8 MG
GHRITAKUMAARI (ALOE BARBADENSIS) LEAF…………… 8 MG
VASA (ADHATODA VASICA) LEAF…………… 8 MG
SALMALI (BOMBAX CEIBA) SEMUL GUM…………… 8 MG
JATAMANSI (NARDOSTACHYS JATAMANSI) RHIZOME…… 5 MG
POWDER: 
MANDURA BHASMA…………… 10 MG
OIL :
GODHUMA (TRITICUM AESTIVUM) OIL…………… 10 MG
FLAVOURED SYRUPY BASE …………… Q.S.
</t>
  </si>
  <si>
    <t>ASHOKA (SARACA ASOCA) STEM BARK 60 MG + 
METHI (TRIGONELLA FOENUM GRAECUM) SEED 30 MG + 
DAARUHALDI (BERBERIS ARISTATA) STEM  20 MG + 
PUNARNAVA (BOERHAAVIA DIFFUSA) ROOT  20 MG + 
GOKHRU (TRIBULUS TERRESTRIS) FRUIT 17.5 MG + 
YASHTIMADHU (GLYCYRRHIZA GLABRA) ROOT  12.5 MG + 
NIRGUNDI (VITEX NEGUNDO) LEAF  10 MG + 
MUSTA (CYPERUS ROTUNDUS) RHIZOME  10 MG + 
LODHRA (SYMPLOCOS RACEMOSA) STEM BARK  10 MG + 
SATAVARI (ASPARAGUS RACEMOSUS) ROOT 10 MG + 
DALCHINI (CINNAMOMUM ZEYLANICUM) BARK 10 MG + 
MANJISTHA (RUBIA CORDIFOLIA) STEM  10 MG + 
AMLA (EMBLICA OFFICINALIS) FRUIT  10 MG + 
MAJUPHAL (QUERCUS INFECTORIA) GALL  10 MG + 
NAGAKESAR (MESUA FERREA) STAMEN 8 MG + 
JIRA (CUMINUM CYMINUM) FRUIT  8 MG + 
GHRITAKUMAARI (ALOE BARBADENSIS) LEAF  8 MG + 
VASA (ADHATODA VASICA) LEAF  8 MG + 
SALMALI (BOMBAX CEIBA) SEMUL GUM 8 MG + 
JATAMANSI (NARDOSTACHYS JATAMANSI) RHIZOME 5 MG
POWDER :
MANDURA BHASMA  10 MG
OIL :
GODHUMA (TRITICUM AESTIVUM) OIL 10 MG</t>
  </si>
  <si>
    <t>EVAKIND TABLETS</t>
  </si>
  <si>
    <t xml:space="preserve">EACH FILM COATED TABLET CONTAINS EXTRACTS:
ASHOKA (SARACA ASOCA) STEM BARK …………………… 60 MG
METHI (TRIGONELLA FOENUM GRAECUM) SEED ………… 35 MG
PUNARNAVA (BOERHAAVIA DIFFUSA) ROOT …………………… 20 MG
DAARUHALDI (BERBERIS ARISTATA) STEM …………………… 20 MG
AMLA (EMBLICA OFFICINALIS) FRUIT……………………      20 MG
GOKHRU (TRIBULUS TERRESTRIS) FRUIT …………………… 17.5 MG
YASHTIMADHU (GLYCYRRHIZA GLABRA) ROOT……………… 12.5 MG
LODHRA (SYMPLOCOS RACEMOSA) STEM BARK…………… 10 MG
SATAVARI (ASPARAGUS RACEMOSUS) ROOT…………………… 10 MG
MANJISTHA (RUBIA CORDIFOLIA) STEM …………………… 10 MG
DALCHINI (CINNAMOMUM ZEYLANICUM) BARK…………… 10 MG
GHRITAKUMAARI (ALOE BARBADENSIS) LEAF……………… 8 MG
JATAMANSI (NARDOSTACHYS JATAMANSI) RHIZOME…… 5 MG
NIRGUNDI ( VITEX NEGUNDO) LEAF…………………… 2.5 MG
MUSTA (CYPERUS ROTUNDUS) RHIZOME…………………… 2.5 MG
NAGAKESAR (MESUA FERREA) STAMEN …………………… 2 MG
JIRA (CUMINUM CYMINUM) FRUIT…………………… 2 MG
POWDERS :
MANDURA BHASMA…………………… 10 MG
KASISA  BHASMA…………………… 10 MG
OIL :
GODHUMA (TRITICUM AESTIVUM) OIL. …………………… 10 MG
EXCIPIENTS…………………… Q.S.
</t>
  </si>
  <si>
    <t>ASHOKA (SARACA ASOCA) STEM BARK 60 MG + 
METHI (TRIGONELLA FOENUM GRAECUM) SEED 35 MG + 
PUNARNAVA (BOERHAAVIA DIFFUSA) ROOT  20 MG + 
DAARUHALDI (BERBERIS ARISTATA) STEM  20 MG + 
AMLA (EMBLICA OFFICINALIS) FRUIT 20 MG + 
GOKHRU (TRIBULUS TERRESTRIS) FRUIT  17.5 MG + 
YASHTIMADHU (GLYCYRRHIZA GLABRA) ROOT 12.5 MG + 
LODHRA (SYMPLOCOS RACEMOSA) STEM BARK 10 MG + 
SATAVARI (ASPARAGUS RACEMOSUS) ROOT 10 MG + 
MANJISTHA (RUBIA CORDIFOLIA) STEM  10 MG + 
DALCHINI (CINNAMOMUM ZEYLANICUM) BARK 10 MG + 
GHRITAKUMAARI (ALOE BARBADENSIS) LEAF 8 MG + 
JATAMANSI (NARDOSTACHYS JATAMANSI) RHIZOME 5 MG + 
NIRGUNDI ( VITEX NEGUNDO) LEAF 2.5 MG + 
MUSTA (CYPERUS ROTUNDUS) RHIZOME  2.5 MG + 
NAGAKESAR (MESUA FERREA) STAMEN  2 MG + 
JIRA (CUMINUM CYMINUM) FRUIT  2 MG + 
POWDERS :
MANDURA BHASMA 10 MG + 
KASISA  BHASMA 10 MG + 
OIL :
GODHUMA (TRITICUM AESTIVUM) OIL 10 MG</t>
  </si>
  <si>
    <t>FERIKIND</t>
  </si>
  <si>
    <t>EACH FILM COATED TABLET CONTAINS :
FERROUS ASCORBATE
EQUIVALENT TO ELEMENTAL IRON …….100 MG
FOLIC ACID IP ……………………………….1.5 MG
EXCIPIENTS ………………………………….. Q.S.
APPROPRIATE OVERAGES OF VITAMIN IS ADDED 
TO COMPENSATE THE LOSS ON STORAGE</t>
  </si>
  <si>
    <t>FERROUS ASCORBATE EQUIVALENT TO ELEMENTAL IRON 100 MG + 
FOLIC ACID IP  1.5 MG</t>
  </si>
  <si>
    <t>FERIKIND-CR 100 TABLETS</t>
  </si>
  <si>
    <t>EACH FILM COATED TABLET CONTAINS:
FERROUS ASCORBATE IP EQ. TO ELEMENTAL IRON…………..100 MG
(IN SUSTAINED RELEASE FORM)
CALCIUM L-5 METHYLTETRAHYDROFOLATE USP EQ. TO L-METHYLFOLATE…….0.5 MG
EXCIPIENTS…………………………..Q.S.</t>
  </si>
  <si>
    <t>FERROUS ASCORBATE IP EQ. TO ELEMENTAL IRON 100 MG
(IN SUSTAINED RELEASE FORM) + 
CALCIUM L-5 METHYLTETRAHYDROFOLATE USP EQ. TO L-METHYLFOLATE 0.5 MG</t>
  </si>
  <si>
    <t>FERIKIND-S 100 INJ</t>
  </si>
  <si>
    <t>EACH 5 ML AMPOULE CONTAINS :
FERRIC HYDROXIDE IN COMPLEX WITH SUCROSE
EQ. TO ELEMENTAL IRON  …..100 MG
WATER FOR INJECTION IP …………………..Q.S.</t>
  </si>
  <si>
    <t>FERRIC HYDROXIDE IN COMPLEX WITH SUCROSE EQ. TO ELEMENTAL IRON  100 MG</t>
  </si>
  <si>
    <t>GYNASET</t>
  </si>
  <si>
    <t>EACH UNCOATED TABLET CONTAINS :
NORETHISTERONE IP …………………..5 MG
EXCIPIENTS ………………………..Q.S.</t>
  </si>
  <si>
    <t>NORETHISTERONE IP  5 MG</t>
  </si>
  <si>
    <t>GYNASET-CR 10</t>
  </si>
  <si>
    <t>EACH FILM COATED CONTROLLED RELEASE TABLET CONTAINS:
NORETHISTERONE ACETATE BP……….10 MG
EXCIPIENTS…………..Q.S.</t>
  </si>
  <si>
    <t>NORETHISTERONE BP  10 MG</t>
  </si>
  <si>
    <t>GYNASET-CR 15</t>
  </si>
  <si>
    <t>EACH FILM COATED CONTROLLED RELEASE TABLET CONTAINS:
NORETHISTERONE ACETATE BP……….15 MG
EXCIPIENTS…………..Q.S.</t>
  </si>
  <si>
    <t>NORETHISTERONE BP  15 MG</t>
  </si>
  <si>
    <t>INTIWASH NEW</t>
  </si>
  <si>
    <t>INGREDIENTS : DEMINERALIZED WATER, DECYL GLUCOSIDE 
COCAMIDOPROPYL BETAINE, PEG-40, HYDROGENATED
CASTOR OIL, CETEARETH-60 MYRISTYL GLYCOL, 
SORBITOL 70%, LACTIC ACID, HYDROXYETHYL UREA,
COCO-GLUCOSIDE (AND) GLYCERYL OLEATE, SODIUM
CAPROYL / LAUROYL LACTYLATE (AND) TRIETHYLCITRATE
(AND) SAGE OIL (SALVIA OFFICINALIS), POLYQUATEMIUM
7, PHENOXYETHANOL, FRAGRANCE, SEA BUCKTHORN FRUIT
OIL (HIPPOPHAE RHAMNOIDES), WATER (AND) 
METHYLCHLOROISOTHIAZOLINONE (AND) METHYLISOTHIAZOLINONE ,
TEA TREE OIL (MELALEUCA ALTEMIFOLIA).</t>
  </si>
  <si>
    <t>LACTAWAYS GRANULES</t>
  </si>
  <si>
    <t>EACH 100 G CONTAINS EXTRACTS OF:
ASPARAGUS RACEMOSUS (SHATAVARI)(MOOL POWDER) ...15.0 G
ANETHUM SOWA (SOWA)(SEED) ……………………………..…1.0 G
IPOMOEA DIGITATA (KSHEER VIDARI)(ROOT TUBER) ……....1.0 G
GLYCYRRHIZA GLABRA (YASHTIMADHU)(ROOTS) …………..1.5 G
SPINACIA OLERACEA (PALAK)(SEED) ……………………….....2.5 G
CUMINUM CYMINUM (SAFED JEERA)(SEED) ……………….…0.5 G
ROOTS OF FIVE HERBS (PANCHATRINA MOOL) ……………...1.0 G
(ERAGROSTIS CYNOSUROIDES (KUSHA), SACCHARUM
SPONTANEUM (KASHA), SACCHARUM ARUNDINACEUM
(SARA), IMPERATA CYLINDRICA (DARBHA), SACCHARUM
OFFICINARUM (IKSHUMOOLA))
PRESERVATIVE: SODIUM BENZOATE IP,
                                    SODIUM METHYLPARABEN IP,
                                    SODIUM PROPYLPARABEN IP.
REF. BHAV PRAKASH</t>
  </si>
  <si>
    <t>ASPARAGUS RACEMOSUS (SHATAVARI)(MOOL POWDER) 15.0 G + 
ANETHUM SOWA (SOWA)(SEED)  1.0 G + 
IPOMOEA DIGITATA (KSHEER VIDARI)(ROOT TUBER) 1.0 G + 
GLYCYRRHIZA GLABRA (YASHTIMADHU)(ROOTS) 1.5 G + 
SPINACIA OLERACEA (PALAK)(SEED) 2.5 G + 
CUMINUM CYMINUM (SAFED JEERA)(SEED)  0.5 G + 
ROOTS OF FIVE HERBS (PANCHATRINA MOOL)  1.0 G + 
(ERAGROSTIS CYNOSUROIDES (KUSHA) + SACCHARUM
SPONTANEUM (KASHA) +  SACCHARUM ARUNDINACEUM
(SARA), IMPERATA CYLINDRICA (DARBHA) + SACCHARUM
OFFICINARUM (IKSHUMOOLA)) + 
PRESERVATIVE: SODIUM BENZOATE IP + 
SODIUM METHYLPARABEN IP + 
SODIUM PROPYLPARABEN IP + 
REF. BHAV PRAKASH</t>
  </si>
  <si>
    <t>LETROHOPE-2.5</t>
  </si>
  <si>
    <t>EACH FILM COATED TABLET CONTAINS :
LETROZOLE USP ………………….2.5 MG
EXCIPIENTS …………………………………………Q.S.</t>
  </si>
  <si>
    <t>LETROZOLE USP 2.5 MG</t>
  </si>
  <si>
    <t>M/s Unimarck Healthcare Ltd, Plot No.24,25,37, Sec-6A, SIDCUL, Haridwar-249403</t>
  </si>
  <si>
    <t>MAXICAL-500</t>
  </si>
  <si>
    <t>EACH UNCOATED CHEWABLE TAB. CONTAINS:
1250 MG CALCIUM CARBONATE I.P.
EQ. TO ELEMENTAL CALCIUM  ..........…. 500 MG
STABILISED VITAMIN D3    
EQ. TO VITAMIN D3  I.P...............……....… 250 I.U.
APPROPRIATE OVERAGES OF VITAMIN IS ADDED
TO COMPENSATE THE LOSS ON STORAGE</t>
  </si>
  <si>
    <t>1250 MG CALCIUM CARBONATE I.P. EQ. TO ELEMENTAL CALCIUM 500 MG + 
VITAMIN D3  I.P. 250 I.U.</t>
  </si>
  <si>
    <t>THANK OD CREAM</t>
  </si>
  <si>
    <t>EACH G CONTAINS:
Euphorbia prostrata dry extract ethanolic 80% (v/v) [(35-70):1] ............. 10mg
(Containing 0.315-0.825mg total flavonoids calculated as apigenin- 7-glucoside and 1.26-4.40mg total phenolics calculated as gallic acid)
Cream base ......</t>
  </si>
  <si>
    <t>THANK OD FORTE TABLET</t>
  </si>
  <si>
    <t>EACH FILM COATED TABLET CONTAINS:
EUPHORBIA PROSTRATA EXTRACT……………100 MG
(CONTAINING 3.15-8.25 MG TOTAL FLAVONOID CALCULATED AS APIGENIN-7-GLUCOSIDE AND 12.6-44.0 MG TOTAL PHENOLICS CALCULATED AS GALLIC ACID) 
CALCIUM DOBESILATE MONOHYDRATE IP….500 MG</t>
  </si>
  <si>
    <t>OVABLESS-MYO</t>
  </si>
  <si>
    <t>EACH SERVING PER UNCOATED CHEWABLE TABLET CONTAINS (APPROX.) :
MAYO INOSITOL……………………550 MG
D-CHIRO-INOSITOL…………….13.8 MG
CHROMIUM…………………………..33 MCG
(AS CHROMIUM PICOLINATE 266 MCG)
VITAMIN D3…………………………….400 IU (10 MCG)
INGREDIENTS : MYO INOSITOL, MANNITOL (INS 421),
HYDROXY PROPYL CELLULOSE (INS 463), POLYVINYLPYRROLIDONE (INS 1201), 
D-CHIRO-INOSITOL,  VITAMIN D3, MAGNESIUM STEARATE  (INS 470 (iii)),
SUCRALOSE (INS 955), CHROMIUM PICOLINATE</t>
  </si>
  <si>
    <t>MAYO INOSITOL 550 MG + 
D-CHIRO-INOSITOL 13.8 MG + 
CHROMIUM 33 MCG (AS CHROMIUM PICOLINATE 266 MCG) + 
VITAMIN D3 400 IU (10 MCG) + 
INGREDIENTS: MYO INOSITOL, MANNITOL (INS 421),
HYDROXY PROPYL CELLULOSE (INS 463), POLYVINYLPYRROLIDONE (INS 1201), 
D-CHIRO-INOSITOL,  VITAMIN D3, MAGNESIUM STEARATE  (INS 470 (iii)),
SUCRALOSE (INS 955), CHROMIUM PICOLINATE</t>
  </si>
  <si>
    <t>OVAFLO-Q10</t>
  </si>
  <si>
    <t>EACH FILM COATED TABLET CONTAINS:
DEHYDROEPIANDROSTERONE (DHEA)….75 MG
REDUCED COENZYME Q10…………………75 MG</t>
  </si>
  <si>
    <t>DEHYDROEPIANDROSTERONE (DHEA) 75 MG + 
REDUCED COENZYME Q10 75 MG</t>
  </si>
  <si>
    <t>VOMILAST-G</t>
  </si>
  <si>
    <t>EACH ENTERIC COATED TABLET CONTAINS:
DOXYLAMINE SUCCINATE USP………….10MG
PYRIDOXINE HYDROCHLORIDE IP……10MG</t>
  </si>
  <si>
    <t>DOXYLAMINE SUCCINATE USP 10MG + 
PYRIDOXINE HYDROCHLORIDE IP 10MG</t>
  </si>
  <si>
    <t>VOMILAST</t>
  </si>
  <si>
    <t>EACH GASTRO-RESISTANT TABLET CONTAINS
DOXYLAMINE SUCCINATE USP………..10 MG
PYRIDOXINE HYDROCHLORIDE IP….. 10 MG
FOLIC ACID IP…………………………………..2.5 MG</t>
  </si>
  <si>
    <t>DOXYLAMINE SUCCINATE USP 10 MG + 
PYRIDOXINE HYDROCHLORIDE IP  10 MG + 
FOLIC ACID IP 2.5 MG</t>
  </si>
  <si>
    <t>VOMILAST-OD</t>
  </si>
  <si>
    <t>EACH ENTERIC COATED TABLET CONTAINS
DOXYLAMINE SUCCINATE    USP …20 mg
PYRIDOXINE HYDROCHLORIDE IP……..20 mg
FOLIC ACID IP……………………...…….5 mg
APPROPRIATE OVERAGES OF VITAMINS ARE ADDED 
TO COMPENSATE LOSS ON STORAGE</t>
  </si>
  <si>
    <t>DOXYLAMINE SUCCINATE USP 20 MG + 
PYRIDOXINE HYDROCHLORIDE IP  20 MG + 
FOLIC ACID IP 5 MG</t>
  </si>
  <si>
    <t>BEPOFREE EYE DROPS</t>
  </si>
  <si>
    <t>EACH ML CONTAINS:
BEPOTASTINE BESILATE ………15 MG
EQ. TO BEPOTASTINE ………………………10.70 MG
BENZALKONIUM CHLORIDE SOLUTION IP
EQ. TO BENZALKONIUM CHLORIDE ……………..0.005% W/V
(AS PRESERVATIVE)</t>
  </si>
  <si>
    <t>BEPOTASTINE 10.70 MG</t>
  </si>
  <si>
    <t>Ocularis Mankind (A Division of Mankind Pharma Ltd.)</t>
  </si>
  <si>
    <t>M/s Lupin Ltd, Plot No.26 A-30 Sector-BA, IIE, SIDCUL, Ranipur, Haridwar- Uttarakhand-249403</t>
  </si>
  <si>
    <t>BRINZOLAST EYE DROPS</t>
  </si>
  <si>
    <t>EACH ML CONTAINS:
BRINZOLAMIDE IP………….10 MG
(STERILE &amp; MICRONIZED)
BRIMONIDINE TARTRATE IP…..2 MG
STERILE AQUEOUS VEHICLES….Q.S.</t>
  </si>
  <si>
    <t>BRINZOLAMIDE IP 10 MG + 
BRIMONIDINE TARTRATE IP 2 MG</t>
  </si>
  <si>
    <t>BROMOSTAR-T EYE DROPS</t>
  </si>
  <si>
    <t>BRIMONIDINE TARTRATE IP.........0.2%W/V
TIMOLOL MALEATE IP 
EQ. TO TIMOLOL........................0.5%W/V
BENZALKONIUM CHLORIDE SOLUTION IP..0.02%W/V
(AS PRESERVATIVE)
STERILE AQUEOUS BUFFERED VEHICLE …..Q.S.</t>
  </si>
  <si>
    <t>BRIMONIDINE TARTRATE IP 0.2%W/V + 
TIMOLOL 0.5%W/V</t>
  </si>
  <si>
    <t>GATIKIND EYE DROP</t>
  </si>
  <si>
    <t>EACH ML CONTAINS :
GATIFLOXACIN IP
EQUIVALENT TO ANHYDROUS GATIFLOXACIN ... 0.3% w/v
BENZALKONIUM CHLORIDE 
SOLUTION I.P. ………………………. 0.02% w/v
(AS PRESERVATIVE)
STERILE AQUEOUS VEHICLE …………….Q.S.</t>
  </si>
  <si>
    <t>GATIFLOXACIN 0.3% w/v</t>
  </si>
  <si>
    <t>HISTAFREE EYE DROPS</t>
  </si>
  <si>
    <t xml:space="preserve">OLOPATADINE HYDROCHLORIDE USP
EQ. TO OLOPATADINE ………………….0.1% W/V
BENZALKONIUM CHLORIDE 
SOLUTION IP ……………………………0.02% V/V
(AS PRESERVATIVE)
STERILE AQUEOUS VEHICLE …………Q.S. </t>
  </si>
  <si>
    <t>OLOPATADINE 0.1% W/V</t>
  </si>
  <si>
    <t>LUBIMOIST EYE DROPS</t>
  </si>
  <si>
    <t>COMPOSITION :
SODIUM HYALURONATE BP………….0.1% W/V
STABILIZED OXYCHLORO COMPLEX....0.005% W/V
(AS PRESERVATIVE) 
STERILE AQUEOUS VEHICLE ……………….Q.S.</t>
  </si>
  <si>
    <t>SODIUM HYALURONATE BP 0.1% W/V</t>
  </si>
  <si>
    <t>LUBIMOIST ULTRA EYE DROPS</t>
  </si>
  <si>
    <t>POLYETHYLENE GLYCOL 400 IP…..0.4% W/V
PROPYLENE GLYCOL IP……………0.3% W/V
SODIUM PERBORATE BP…………..0.005% W/V
(AS PRESERVATIVE)
STERILE AQUEOUS BUFFERED VEHICLE….Q.S.
CONTAINS SODIUM HYALURONATE BP,
MAGNESIUM CHLORIDE IP, POTASSIUM
CHLORIDE IP, SODIUM CHLORIDE IP,
SODIUM HYDROXIDE IP, HYDROCHLORIC
ACID IP, BORIC ACID IP, CALCIUM CHLORIDE IP</t>
  </si>
  <si>
    <t>POLYETHYLENE GLYCOL 400 IP 0.4% W/V + 
PROPYLENE GLYCOL IP 0.3% W/V</t>
  </si>
  <si>
    <t>LUBISTAR-0.5% EYE DROPS</t>
  </si>
  <si>
    <t>SODIUM CARBOXYMETHLCELLULOSE IP …0.5% W/V
STABILIZED OXYCHLORO COMPLEX ………0.005% W/V
(AS PRESERVATIVE)
STERILE AQUEOUS VEHICLE ……………….Q.S.</t>
  </si>
  <si>
    <t>SODIUM CARBOXYMETHLCELLULOSE IP  0.5% W/V</t>
  </si>
  <si>
    <t>LUBISTAR- 1% EYE DROPS</t>
  </si>
  <si>
    <t>SODIUM CARBOXYMETHYLCELLULOSE IP …1.0% W/V
STABILIZED OXYCHLORO COMPLEX ………0.0075% W/V
(AS PRESERVATIVE)
STERILE AQUEOUS VEHICLE ………………….Q.S.</t>
  </si>
  <si>
    <t>SODIUM CARBOXYMETHLCELLULOSE IP  1% W/V</t>
  </si>
  <si>
    <t>MAHAFLOX-D EYE DROPS</t>
  </si>
  <si>
    <t>MOXIFLOXACIN HYDROCHLORIDE IP
EQ. TO MOXIFLOXACIN …………….0.5% W/V
DEXAMETHASONE SODIUM PHOSPHATE IP
EQ. TO DEXAMETHASONE PHOSPHATE ……….0.1% W/V
BENZALKONIUM CHLORIDE SOLUTION IP ….0.01% V/V
(AS PRESERVATIVE)
STERILE AQUEOUS  VEHICLE ………..Q.S.</t>
  </si>
  <si>
    <t>MOXIFLOXACIN 0.5% W/V + 
DEXAMETHASONE PHOSPHATE  0.1% W/V</t>
  </si>
  <si>
    <t>MAHAFLOX EYE OINTMENT</t>
  </si>
  <si>
    <t>MOXIFLOXACIN HYDROCHLORIDE IP
EQ. TO MOXIFLOXACIN ……………0.5% W/W</t>
  </si>
  <si>
    <t>MOXIFLOXACIN 0.5% W/W</t>
  </si>
  <si>
    <t>0.5% W/W</t>
  </si>
  <si>
    <t>M/s Bharti Life Sciences, Unit No. 403/A-2, 'C' Wing, Morya House Premises Co. Op Sco. Ltd, Veera Industrial Estate, Oshiwara Link Road, Andheri (W) Mumbai-400053</t>
  </si>
  <si>
    <t>MAHAFLOX EYE DROPS</t>
  </si>
  <si>
    <t>MOXIFLOXACIN HYDROCHLORIDE BP
EQUIVALENT TO MOXIFLOXACIN ………0.5% W/V
STERILE AQUEOUS VEHICLE Q.S.</t>
  </si>
  <si>
    <t>0.5% W/V</t>
  </si>
  <si>
    <t>MAHAFLOX-KT EYE DROP</t>
  </si>
  <si>
    <t>MOXIFLOXACIN HYDROCHLORIDE BP
EQUIVALENT TO MOXIFLOXACIN …………….0.5% W/V
KETOROLAC TROMETHAMINE IP ……………0.4% W/V
BENZALKONIUM CHLORIDE SOLUTION IP ….0.01% V/V
(AS PRESERVATIVE)
STERILE AQUEOUS VEHICLE ………………..Q.S.</t>
  </si>
  <si>
    <t>MOXIFLOXACIN  0.5% W/V + 
KETOROLAC TROMETHAMINE IP 0.4% W/V</t>
  </si>
  <si>
    <t>MAHAFLOX-LP EYE DROPS</t>
  </si>
  <si>
    <t>MOXIFLOXACIN HYDROCHLORIDE BP
EQ. TO MOXIFLOXACIN …………….0.5% W/V
LOTEPREDNOL ETABONATE …………..0.5% W/V
BENZALKONIUM CHLORIDE SOLUTION IP ….0.02% V/V
(AS PRESERVATIVE)
STERILE AQUEOUS BUFFERED VEHICLE …..Q.S.</t>
  </si>
  <si>
    <t>MOXIFLOXACIN  0.5% W/V + 
LOTEPREDNOL ETABONATE 0.5% W/V</t>
  </si>
  <si>
    <t>NATAFORCE EYE DROPS</t>
  </si>
  <si>
    <t>NATAMYCIN U.S.P. …………………….5.0% W/V
BENZALKONIUM CHLORIDE
SOLUTION IP ……………………..…..0.02% V/V
(AS PRESERVATIVE)
STERILE AQUEOUS BUFFERED VEHICLE …..Q.S.</t>
  </si>
  <si>
    <t>NATAMYCIN U.S.P. 5.0% W/V</t>
  </si>
  <si>
    <t>NEPASTAR EYE DROPS</t>
  </si>
  <si>
    <t>NEPAFENAC …………………………………….0.1% W/V
BENZALKONIUM CHLORIDE
SOLUTION IP …………………………………..0.01% V/V
(AS PRESERVATIVE)
STERILE AQUEOUS VEHICLE …………………..Q.S.</t>
  </si>
  <si>
    <t>NEPAFENAC 0.1% W/V</t>
  </si>
  <si>
    <t>NEPASTAR OD EYE DROPS</t>
  </si>
  <si>
    <t>NEPAFENAC……..0.3% W/V
(STERILE &amp; MICRONISED)
BENZALKONIUM CHLORIDE
SOLUTION IP…….0.01% V/V
(AS PRESERVATIVE)
STERILE AQUEOUS VEHICLE………..Q.S.</t>
  </si>
  <si>
    <t>NEPAFENAC 0.3% W/V</t>
  </si>
  <si>
    <t>NEFACOOL EYE DROPS</t>
  </si>
  <si>
    <t>NAPHAZOLINE HYDROCHLORIDE USP ..0.1% W/V
CHLORPHENIRAMINE MALEATE IP …… 0.01% W/V
METHYLCELLULOSE IP (4000 CENTIPOISES) .....0.2% W/V
BENZALKONIUM CHLORIDE SOLUTION IP …0.02% V/V
(AS PRESERVATIVE)
STERILE AQUEOUS BASE ……………………….Q.S.</t>
  </si>
  <si>
    <t>OPTHOBLIS GEL</t>
  </si>
  <si>
    <t>EACH GRAM CONTAINS:
D-PANTHENOL IP……50MG
STERILE AQUEOUS GEL BASE…Q.S.</t>
  </si>
  <si>
    <t>D-PANTHENOL IP 50MG</t>
  </si>
  <si>
    <t>50MG</t>
  </si>
  <si>
    <t>TIMOSTAR EYE DROPS</t>
  </si>
  <si>
    <t>EACH ML CONTAINS:
TIMOLOL MALEATE IP
EQUIVALENT TO TIMOLOL………….5.0MG
STERILE AQUEOUS VEHICLES……Q.S.</t>
  </si>
  <si>
    <t>TIMOLOL 5.0MG</t>
  </si>
  <si>
    <t>5.0MG</t>
  </si>
  <si>
    <t>TRAVOPURE EYE DROPS</t>
  </si>
  <si>
    <t>TRAVOPROST IP ……………..0.004% W/V
STERILE AQUEOUS
BUFFERED VEHICLE …………..Q.S.
(PRESERVATIVE FREE)</t>
  </si>
  <si>
    <t>TRAVOPROST IP  0.004% W/V</t>
  </si>
  <si>
    <t>0.004% W/V</t>
  </si>
  <si>
    <t>TOBASTAR EYE DROPS</t>
  </si>
  <si>
    <t>TOBORAMYCIN SULFATE USP
EQUIVALENT TO 
TOBRAMYCIN ………………………….. 0.3% W/V
PHENYL MERCURIC 
NITRATE I.P. …. 0.001% W/V (AS PRESERVATIVE)
STERILE AQUEOUS VEHICLE …………………Q.S.</t>
  </si>
  <si>
    <t>TOBRAMYCIN 0.3% W/V</t>
  </si>
  <si>
    <t>TOBASTAR-F EYE DROPS</t>
  </si>
  <si>
    <t>EACH ML CONTAINS :
TOBORAMYCIN SULFATE USP
EQUIVALENT TO 
TOBRAMYCIN ………………………….. 0.3% W/V
FLUOROMETHOLONE USP ……………. 0.1% W/V
BENZALKONIUM CHLORIDE 
SODIUM IP ……………………………….0.02% W/V
(AS PRESERVATIVE)
AQUEOUS BUFFERED VEHICLE …………..Q.S.</t>
  </si>
  <si>
    <t>TOBRAMYCIN   0.3% W/V + 
FLUOROMETHOLONE USP 0.1% W/V</t>
  </si>
  <si>
    <t>VITAKIND GOLD</t>
  </si>
  <si>
    <t xml:space="preserve">DILUENTS [LACTOSE, INS 460(I) &amp; MAIZE STARCH], ASCORBIC ACID, PINUS LONGIFOLIA (PINE BARK) EXTRACT, VACCINIUMMYRTILLUS (BILBERRY) EXTRACT, DISINTEGRANTS [INS 466 &amp; SODIUM STRACH GLYCOLATE], VITAMIN E ACATATE (DL-ALPHA TOCOPHERYL ACETATE &amp; PRECIPITATED SILICA), ZINC OXIDE, LUTEIN (LUTEIN EXTRACT, INS 414, NATURAL VITAMIN E), COATING AGENTS [INS 464 &amp; INS 462], STABILIZER [INS 1202], VITAMIN A, ASTAXANTHIN (ASTAXANTHIN OLEORESIN, INS 460(I), INS 464, STARCH ESTER, TOCOPHEROL POWDER, TOCOPHEROL OIL, SILICON DIOXIDE), GLIDANT [INS 553 (III)], ANTICAKING AGENT (INS 551], ANTISTICKING AGENT [INS 470(III)], COLOURS [INS 172 (II) &amp; INS 171], CUPRIC OXIDE, ZEAXANTHIN (ZEAXANTHIN, TRANS LUTEIN FREE, LUTEIN ESTER, OTHER CAROTENOID, INS 414, NATURAL VITAMIN E), MALTODEXTRIN, VEHICLE [INS 1521] &amp; SODIUM SELENATE. </t>
  </si>
  <si>
    <t>VITAKIND-i</t>
  </si>
  <si>
    <t>EACH SOFT GELATIN CAPSULE CONTAINS :
FREE LUTEIN                        …………….. 4 MG
ZEAXANTHIN                  ………………….0.8 MG
LYCOPENE USP 6% ………………………10 MG
METHYLCOBALAMIN …………………….500 MCG
ZINC OXIDE IP
EQ. TO ELEMENTAL ZINC ………………..40 MG
CUPRIC OXIDE 
EQ. TO ELEMENTAL COPPER …………….2 MG
SODIUM SELENITE PENTAHYDRATE BP 
EQ. TO ELEMENTAL SELENIUM ………….40 MCG
APPROPRIATE OVERAGES OF VITAMINS ADDED TO
COMPENSATE THE LOSS ON STORAGE
METHYLPARABEN IP &amp; PROPYLPARABEN IP
USED AS PRESERVATIES</t>
  </si>
  <si>
    <t>FREE LUTEIN  4 MG + 
ZEAXANTHIN 0.8 MG + 
LYCOPENE USP 6% 10 MG + 
METHYLCOBALAMIN  500 MCG + 
ZINC 40 MG + 
COPPER  2 MG + 
SELENIUM 40 MCG</t>
  </si>
  <si>
    <t>VITAKIND-PLUS</t>
  </si>
  <si>
    <t>EACH SOFT GELATIN CAPSULE CONTAINS :
ZEAXANTHIN   ………………….1  MG
LUTEIN USP ………………..5 MG
OMEGA 3 FATTY ACID …………500 MG
PROVIDING:
EICOSAPENTAENOIC ACID ………………….325 MG
DOCOSAHEXAENOIC ACID ……………….175 MG
EXCIPIENTS............................................Q.S</t>
  </si>
  <si>
    <t>ABIWAYS</t>
  </si>
  <si>
    <t>EACH FILM COATED BILAYER TABLET CONTAINS:
ACEBROPHYLLINE............. 100 MG
ACETYLCYSTEINE BP……. 600 MG
COLOUR: QUINOLINE YELLOW WS</t>
  </si>
  <si>
    <t>ACEBROPHYLLINE 100 MG + ACETYLCYSTEINE  600 MG</t>
  </si>
  <si>
    <t>Star Mankind (A Division of Mankind Pharma Ltd.)</t>
  </si>
  <si>
    <t>ABIWAYS-M</t>
  </si>
  <si>
    <t>EACH UNCOATED BILAYERED TABLET CONTAINS:
MONTELUKAST SODIUM IP
EQ. TO MONTELUKAST......10 MG
ACEBROPHYLLINE............. 200 MG
(AS SUSTAINED RELEASE)
COLOUR: LAKE OF QUINOLINE YELLOW WS</t>
  </si>
  <si>
    <t>MONTELUKAST 10 MG + ACEBROPHYLLINE 200 MG (AS SUSTAINED RELEASE)</t>
  </si>
  <si>
    <t>ABIWAYS-200 SR</t>
  </si>
  <si>
    <t>ASTHAKIND-LS DROPS</t>
  </si>
  <si>
    <t xml:space="preserve">EACH ML CONTAINS : (APPROX 30 DROPS)
LEVOSALBUTAMOL SULPHATE IP
EQ. TO LEVOSALBUTAMOL……..0.25 MG
AMBROXOL HYDROCHLORIDE IP ……7.5 MG
GUAIPHENESIN IP ………………………12.5 MG
FLAVOURED SYRUPY BASE ………………..Q.S
</t>
  </si>
  <si>
    <t xml:space="preserve">LEVOSALBUTAMOL 0.25 MG + AMBROXOL HYDROCHLORIDE 7.5 MG + GUAIPHENESIN 12.5 MG
</t>
  </si>
  <si>
    <t>ASTHAKIND-LS EXPECTORANT</t>
  </si>
  <si>
    <t>EACH 5 ML CONTAINS :
LEVOSALBUTAMOL SULPHATE IP
EQ. TO LEVOSALBUTAMOL……..1 MG
AMBROXOL HYDROCHLORIDE IP ……30 MG
GUAIPHENESIN IP ………………………50 MG
IN A FLAVOURED BASE</t>
  </si>
  <si>
    <t>LEVOSALBUTAMOL 1 MG + AMBROXOL HYDROCHLORIDE 30 MG + GUAIPHENESIN 50 MG</t>
  </si>
  <si>
    <t>ASTHAKIND-LS JUNIOR EXPECTORANT</t>
  </si>
  <si>
    <t>EACH 5 ML CONTAINS :
LEVOSALBUTAMOL SULPHATE IP
EQ. TO LEVOSALBUTAMOL……..0.5 MG
AMBROXOL HYDROCHLORIDE IP ……15 MG
GUAIPHENESIN IP ………………………50 MG
IN A FLAVOURED BASE ……….Q.S</t>
  </si>
  <si>
    <t>LEVOSALBUTAMOL 0.5 MG + AMBROXOL HYDROCHLORIDE 15 MG + GUAIPHENESIN 50 MG</t>
  </si>
  <si>
    <t xml:space="preserve">BILACHEK </t>
  </si>
  <si>
    <t>EACH FILM COATED TABLET CONTAINS:
BILASTINE………………..20 MG
EXCIPIENTS………………Q.S.</t>
  </si>
  <si>
    <t>BILASTINE 20 MG</t>
  </si>
  <si>
    <t>BILACHEK-M</t>
  </si>
  <si>
    <t>EACH FILM COATED BILAYERED TABLET CONTAINS:
BILASTINE ……………………20 MG
MONTELUKAST SODIUM IP
EQV. TO MUNTELUKAST……………..10 MG
EXCIPIENTS…………………………Q.S.</t>
  </si>
  <si>
    <t>BILASTINE 20 MG + MONTELUKAST 10 MG</t>
  </si>
  <si>
    <t>BILACHEK SYRUP</t>
  </si>
  <si>
    <t>EACH ML CONTAINS:
BILASTINE…………….2.5 MG</t>
  </si>
  <si>
    <t>BILASTINE 2.5 MG</t>
  </si>
  <si>
    <t>BUDAWAYS-0.5 RESPULES</t>
  </si>
  <si>
    <t>EACH 2 ML RESPULE CONTAINS:
BUDESONIDE IP…….0.5 MG
STERILE AQUEOUS VEHICLE…..Q.S.</t>
  </si>
  <si>
    <t>BUDESONIDE 0.5 MG</t>
  </si>
  <si>
    <t>DIZIKIND-MD</t>
  </si>
  <si>
    <t>EACH UNCAOTED MOUTH DISSOLVING TABLET CONTAINS :
CINNARIZINE IP ………………………………25 MG</t>
  </si>
  <si>
    <t>CINNARIZINE 25 MG</t>
  </si>
  <si>
    <t>DROTIKIND-80</t>
  </si>
  <si>
    <t>EACH FILM COATED TABLET CONTAINS :
DROTAVERINE HYDROCHLORIDE …. 80 MG</t>
  </si>
  <si>
    <t>DROTAVERINE HYDROCHLORIDE 80 MG</t>
  </si>
  <si>
    <t>DROTIKIND-M</t>
  </si>
  <si>
    <t>EACH FILM COATED TABLET CONTAINS :
DROTAVERINE HYDROCHLORIDE …. 80 MG
MEFENAMIC ACID I.P. ………………. 250 MG</t>
  </si>
  <si>
    <t>DROTAVERINE HYDROCHLORIDE 80 MG + MEFENAMIC ACID 250 MG</t>
  </si>
  <si>
    <t>DROTIKIND INJ</t>
  </si>
  <si>
    <t>EACH ML CONTAINS :
DROTAVERINE HYDROCHLORIDE ……..20 MG
ABSOLUTE ALCOHOL IP ……………….8.0% V/V
WATER FOR INJECTION IP ………………..Q.S.</t>
  </si>
  <si>
    <t>DROTAVERINE HYDROCHLORIDE 20 MG/1 ML</t>
  </si>
  <si>
    <t>ENTROMAX SUSPENSION</t>
  </si>
  <si>
    <t>EACH  5ML ORAL SUSPENSION CONTAINS:
BACILLUS CLAUSII  SPORES……..2X10 9 SPORES
PURIFIED WATER IP…………………………….Q.S.</t>
  </si>
  <si>
    <t>BACILLUS CLAUSII  SPORES 2X10 9 SPORES</t>
  </si>
  <si>
    <t>2X10 9 SPORES/5 ML</t>
  </si>
  <si>
    <t>M/s Virchow Biotech Pvt Ltd, Survey No. 172 Part, Gagillapur, Qutubullapur, RR District, Telangana State-500043</t>
  </si>
  <si>
    <t>FERIKIND DROPS</t>
  </si>
  <si>
    <t xml:space="preserve">EACH ML (APPROXIMATELY 20 DROPS) CONTAINS :
FERROUS ASCORBATE EQUIVALENT 
TO ELEMENTAL IRON …………………..10 MG
FOLIC ACID IP …………………………100 MCG
EXCIPIENTS ……………………………………Q.S.
APPROPRIATE OVERAGES OF VITAMIN IS ADDED </t>
  </si>
  <si>
    <t>IRON 10 MG + FOLIC ACID 100 MCG</t>
  </si>
  <si>
    <t>FERIKIND-M</t>
  </si>
  <si>
    <t xml:space="preserve">EACH FILM COATED TABLET CONTAINS :
FERROUS ASCORBATE
EQUIVALENT TO ELEMENTAL IRON …….100 MG
FOLIC ACID IP ……………………………….1.1 MG
MECOBALAMIN JP ………................1500 MCG
ZINC SULPHATE MONOHYDRATE IP
EQ. TO ELEMENTAL ZINC ................22.5 MG
EXCIPIENTS ………………………………….. Q.S.
APPROPRIATE OVERAGES OF VITAMIN ARE ADDED 
</t>
  </si>
  <si>
    <t>IRON 100 MG + FOLIC ACID 1.1 MG + MECOBALAMIN 1500 MCG + ZINC 22.5 MG</t>
  </si>
  <si>
    <t>FERIKIND-M SUSP</t>
  </si>
  <si>
    <t>EACH 5 ML CONTAINS :
FERROUS ASCORBATE 
EQ. TO ELEMENTAL IRON ……………30 MG
FOLIC ACID IP …………………………….500 MCG
METHYLCOBALAMIN …………………..500 MCG
APPROPRIATE OVERAGES OF VITAMINS ARE ADDED</t>
  </si>
  <si>
    <t>IRON 30 MG + FOLIC ACID 500 MCG + METHYLCOBALAMIN 500 MCG</t>
  </si>
  <si>
    <t>FERIKIND-PLUS RF INJ</t>
  </si>
  <si>
    <t>EACH 1.5 ML CONTAINS :
IRON SORBITOL CITRIC ACID COMPLEX
CORRESPONDING TO FE (TOTAL) ………..75 MG
FOLIC ACID IP ………………………….750 MCG
WATER FOR INJECTION IP ……………Q.S.</t>
  </si>
  <si>
    <t>IRON SORBITOL CITRIC ACID COMPLEX
CORRESPONDING TO FE (TOTAL) 75 MG + FOLIC ACID 750 MCG</t>
  </si>
  <si>
    <t>GUDCEF-100 DRY SYRUP</t>
  </si>
  <si>
    <t>EACH 5 ML OF CONSTITUTED SUSPENSION CONTAINS :
CEFPODOXIME PROXETIL IP
EQUIVALENT TO CEFPODOXIME …….. 100 MG
EXCIPIENTS …………………………………….Q.S.</t>
  </si>
  <si>
    <t>CEFPODOXIME  100 MG</t>
  </si>
  <si>
    <t>100 MG / 5 ML</t>
  </si>
  <si>
    <t>GUDCEF-DS DROPS</t>
  </si>
  <si>
    <t>EACH ML OF CONSTITUTED SUSPENSION CONTAINS:
CEFPODOXIME PROXETIL IP
EQ. TO ANHYDROUS CEFPODOXIME ……50 MG
EXCIPIENTS …………………………………..Q.S.</t>
  </si>
  <si>
    <t>CEFPODOXIME 50 MG</t>
  </si>
  <si>
    <t>GUDCEF PLUS</t>
  </si>
  <si>
    <t>EACH FILM COATED TABLET CONTAINS :
CEFPODOXIME PROXETIL IP
EQUIVALENT TO ANHYDROUS CEFPODOXIME ….200 MG
OFLOXACIN IP ………………………………….200 MG</t>
  </si>
  <si>
    <t>CEFPODOXIME 200 MG + OFLOXACIN 200 MG</t>
  </si>
  <si>
    <t>GUDCEF-XL 200 NEW</t>
  </si>
  <si>
    <t>EACH FILM COATED TABLET CONTAINS:
CEFPODOXIME PROXETIL IP
EQ. TO CEFPODOXIME…….200 MG
DICLOXACILLIN SODIUM IP 
EQ. TO DICLOXACILLIN ……………500 MG
(EXTENDED RELESE)
EXCIPIENTS …………………………………………Q.S.</t>
  </si>
  <si>
    <t>CEFPODOXIME 200 MG + DICLOXACILLIN 500 MG (EXTENDED RELESE)</t>
  </si>
  <si>
    <t>M/s Vapi Care Pharma Pvt. Ltd., Village Belikhot Baddi, Nalagarh Road, Distt. Solan-174101 (HP)</t>
  </si>
  <si>
    <t>HEPANEED TABLETS</t>
  </si>
  <si>
    <t xml:space="preserve">EACH FILM COATED TABLET CONTAINS EXTRACTS :
KALMEGH  (ANDROGRAPHIS PANICULATA) ……………. 50 MG
KUTKI  (PICRORHIZA KURROA) ……………. 50 MG
PUNARNAVA  (BOERHAAVIA DIFFUSA) ……………. 40 MG
GUDUCHI  (TINOSPORA CORDIFOLIA) ……………. 40 MG
HIMSRA  (CAPPARIS SPINOSA) ……………. 25 MG
KAKAMACHI  (SOLANUM NIGRUM) ……………. 25 MG
BHRINGRAJA  (ECLIPTA ALBA) ……………. 25 MG
YASTHIMADHU  (GLYCYRRHIZA GLABRA) ……………. 25 MG
BHUI AMALA  (PHYLLANTHUS FRATERNUS) ……………. 25 MG
KAASAMARDA  (CASSIA OCCIDENTALIS) ……………. 25 MG
ROHITAK  (TECOMELLA UNDULATE) ……………. 20 MG
TULSI  (OCIMUM SANCTUM) ……………. 20 MG
MUSTA  (CYPERUS ROTUNDUS) ……………. 10 MG
VASA  (ADHATODA VASICA) ……………. 10 MG
DAARUHALDI  (BERBERIS ARISTATA) ……………. 10 MG
PARPATA  (FUMARIA PARVIFLORA) ……………. 8 MG
EXCIPIENTS …………….……………. Q.S.
</t>
  </si>
  <si>
    <t>KALMEGH  (ANDROGRAPHIS PANICULATA) 50 MG + KUTKI  (PICRORHIZA KURROA) 50 MG + PUNARNAVA  (BOERHAAVIA DIFFUSA) 40 MG +  GUDUCHI  (TINOSPORA CORDIFOLIA) 40 MG + HIMSRA  (CAPPARIS SPINOSA)  25 MG + KAKAMACHI  (SOLANUM NIGRUM) 25 MG + BHRINGRAJA  (ECLIPTA ALBA) 25 MG + YASTHIMADHU  (GLYCYRRHIZA GLABRA) 25 MG + BHUI AMALA  (PHYLLANTHUS FRATERNUS) 25 MG + KAASAMARDA  (CASSIA OCCIDENTALIS) 25 MG + ROHITAK  (TECOMELLA UNDULATE) 20 MG + TULSI  (OCIMUM SANCTUM) 20 MG + MUSTA  (CYPERUS ROTUNDUS) 10 MG + VASA  (ADHATODA VASICA) 10 MG + DAARUHALDI  (BERBERIS ARISTATA)10 MG + PARPATA  (FUMARIA PARVIFLORA) 8 MG</t>
  </si>
  <si>
    <t>HEPANEED SYRUP</t>
  </si>
  <si>
    <t xml:space="preserve">EACH 5 ML CONTAINS EXTRACTS:
BHUI AMALA  (PHYLLANTHUS FRATERNUS) ..............  30 MG
YASHTIMADHU  (GLYCYRRHIZA GLABRA) ..............  20 MG
KALMEGH  (ANDROGRAPHIS PANICULATA) .............  20 MG
PUNARNAVA  (BOERHAAVIA DIFFUSA)...........  20 MG
ROHITAK  (TECOMELLA UNDULATA) .................20 MG
TULSI  (OCIMUM SANCTUM) ................. 20 MG
KUTKI  (PICRORHIZA KURROA) .................... 10 MG
GUDUCHI  (TINOSPORA CORDIFOLIA) ...................... 10 MG
HIMSRA  (CAPPARIS SPINOSA) ............... 10 MG
KAKAMACHI  (SOLANUM NIGRUM) .............  10 MG
KAASAMARDA  (CASSIA OCCIDENTALIS) ..............  10 MG
MUSTA (CYPERUS ROTUNDUS) .........................  10 MG
VASA  (ADHATODA VASICA) ...................  10 MG
BHRINGRAJA  (ECLIPTA ALBA) ...............  10 MG
DAARUHALDI  (BERBERIS ARISTATA) ............. 10 MG
PARPATA  (FUMARIA PARVIFLORA) .................. 10 MG
FLAVOURED SYRUPY BASE .................................  Q.S.
</t>
  </si>
  <si>
    <t>BHUI AMALA  (PHYLLANTHUS FRATERNUS)  30 MG + YASHTIMADHU  (GLYCYRRHIZA GLABRA) 20 MG + KALMEGH  (ANDROGRAPHIS PANICULATA) 20 MG + PUNARNAVA  (BOERHAAVIA DIFFUSA)  20 MG + ROHITAK  (TECOMELLA UNDULATA) 20 MG + TULSI  (OCIMUM SANCTUM) 20 MG + KUTKI  (PICRORHIZA KURROA) 10 MG + GUDUCHI  (TINOSPORA CORDIFOLIA) 10 MG + HIMSRA  (CAPPARIS SPINOSA) 10 MG + KAKAMACHI  (SOLANUM NIGRUM) 10 MG +  KAASAMARDA  (CASSIA OCCIDENTALIS) 10 MG + MUSTA (CYPERUS ROTUNDUS) 10 MG + VASA  (ADHATODA VASICA) 10 MG + BHRINGRAJA  (ECLIPTA ALBA) 10 MG + DAARUHALDI  (BERBERIS ARISTATA) 10 MG + PARPATA  (FUMARIA PARVIFLORA) 10 MG</t>
  </si>
  <si>
    <t>IPRALUNGS RESPULES</t>
  </si>
  <si>
    <t>EACH 2.5 ML CONTAINS:
LEVOSALBUTAMOL SULPHATE IP EQ. TO LEVOSALBUTAMOL………..……...1.25 MG
IPRATROPIUM BROMIDE IP EQ. TO IPRATROPIUM (ANHYDROUS)……500 MCG
IN ISOTONIC SOLUTION…………..Q.S.</t>
  </si>
  <si>
    <t>LEVOSALBUTAMOL 1.25 MG + IPRATROPIUM 500 MCG</t>
  </si>
  <si>
    <t>MAXICAL ACTIVE-NF</t>
  </si>
  <si>
    <t xml:space="preserve">EACH FILM COATED TABLET CONTAINS:
CALCIUM CARBONATE IP….1250 MG
EQ. TO ELEMENTAL CALCIUM….500 MG
VITAMIN D3 IP………2000 IU
L-METHYLFOLATE CALCIUM….1 MG
PYRIDOXAL-5-PHOSPHATE……20 MG
EXCIPIENTS…….Q.S.
</t>
  </si>
  <si>
    <t>CALCIUM 500 MG + VITAMIN D3 2000 IU + L-METHYLFOLATE CALCIUM 1 MG + PYRIDOXAL-5-PHOSPHATE 20 MG</t>
  </si>
  <si>
    <t>MEFKIND-P SUSP</t>
  </si>
  <si>
    <t>EACH 5 ML CONTAINS :
MEFENAMIC ACID IP ………….100 MG
IN A FLAVOURED SYRUPY BASE ……….Q.S.</t>
  </si>
  <si>
    <t>MEFENAMIC ACID 100 MG</t>
  </si>
  <si>
    <t>100 MG/ 5 ML</t>
  </si>
  <si>
    <t>MUPIWAYS OINTMENT</t>
  </si>
  <si>
    <t>MUPIROCIN IP ………………………...……2% W/W
IN A NON-GREASY BASE ………………………Q.S.</t>
  </si>
  <si>
    <t>NOBLOK-AF DROPS</t>
  </si>
  <si>
    <t>EACH ML (APPROXIMATELY 36 DROPS) CONTAINS:
PHENYLEPHRINE HYDROCHLORIDE IP ……5 MG
CHLORPHENIRAMINE MALEATE IP ………2 MG
IN A FLAVOURED SYRUPY BASE …………..Q.S.</t>
  </si>
  <si>
    <t>PHENYLEPHRINE HYDROCHLORIDE 5 MG + CHLORPHENIRAMINE MALEATE 2 MG</t>
  </si>
  <si>
    <t>NOBLOK-AF SYRUP</t>
  </si>
  <si>
    <t>EACH 5 ML CONTAINS:
PHENYLEPHRINE HYDROCHLORIDE IP ……5 MG
CHLORPHENIRAMINE MALEATE IP ………2 MG
IN A FLAVOURED SYRUPY BASE …………..Q.S.</t>
  </si>
  <si>
    <t>NOBLOK DROPS</t>
  </si>
  <si>
    <t>EACH ML (APPROXIMATELY 20 DROPS) CONTAINS:
PARACETAMOL IP ……………………………….125 MG
PHENYLEPHRINE HYDROCHLORIDE IP ……2.5 MG
CHLORPHENIRAMINE MALEATE IP ………1 MG
IN A FLAVOURED SYRUPY BASE …………..Q.S.</t>
  </si>
  <si>
    <t>PARACETAMOL 125 MG + PHENYLEPHRINE HYDROCHLORIDE 2.5 MG + CHLORPHENIRAMINE MALEATE 1 MG</t>
  </si>
  <si>
    <t>NOBLOK-NEW TAB</t>
  </si>
  <si>
    <t>EACH  FILM COATED TABLET CONTAINS :
PARACETAMOL IP ……………………..500 MG
PHENYLEPHRINE HYDROCHLORIDE IP …………5 MG
CAFFEINE (ANHYDROUS) IP ………………..30 MG
DIPHENHYDRAMINE HYDROCHLORIDE IP …………..25 MG
EXCIPIENTS ……………………………..Q.S.</t>
  </si>
  <si>
    <t>PARACETAMOL 500 MG + PHENYLEPHRINE HYDROCHLORIDE 5 MG + CAFFEINE (ANHYDROUS) 30 MG + DIPHENHYDRAMINE HYDROCHLORIDE 25 MG</t>
  </si>
  <si>
    <t>NOBLOK SALINE NASAL SPRAY</t>
  </si>
  <si>
    <t>SODIUM CHLORIDE IP ………………….0.65% W/V
IN PURIFIED WATER MADE
ISOTONIC &amp; BUFFERED
BENZALKONIUM CHLORIDE SOLUTION IP
EQUIVALENT TO BENZALKONIUM CHLORIDE …………0.03% W/V
(AS PRESERVATIVE)</t>
  </si>
  <si>
    <t>SODIUM CHLORIDE 0.65% W/V</t>
  </si>
  <si>
    <t>NOBLOK SYRUP</t>
  </si>
  <si>
    <t>EACH 5 ML CONTAINS :
PARACETAMOL IP …………….125 MG
PHENYLEPHRINE HYDROCHLORIDE IP …. 5 MG
CHLORPHENIRAMINE MALEATE IP …. 1 MG
SODIUM CITRATE IP …………………60 MG
FLAVOURED SYRUPY BASE …………………Q.S.</t>
  </si>
  <si>
    <t>PARACETAMOL 125 MG + PHENYLEPHRINE HYDROCHLORIDE 5 MG + CHLORPHENIRAMINE MALEATE 1 MG + SODIUM CITRATE 60 MG</t>
  </si>
  <si>
    <t>NUFORCE ANTI-DANDRUFF LOTION</t>
  </si>
  <si>
    <t>KETOCONAZOLE 2% w/v + ZINC PYRITHIONE  (ZPTO) 1 % w/v</t>
  </si>
  <si>
    <t>CLOTRIMAZOLE 200 MG + CLINDAMYCIN 100 MG</t>
  </si>
  <si>
    <t>M/s Bliss GVS Pharma Ltd., Plot No. 11, Dewan Udyog Nagar, Aliyali, Palghar, Maharashtra-401404</t>
  </si>
  <si>
    <t>PARAGREAT-250 SUSPENSION</t>
  </si>
  <si>
    <t>EACH 5 ML CONTAINS :
PARACETAMOL IP ……………………..250 MG
IN A FLAVOURED SYRUPY BASE ……….Q.S</t>
  </si>
  <si>
    <t>PARAGREAT-650</t>
  </si>
  <si>
    <t>EACH UNCOATED TABLET CONTAINS :
PARACETAMOL IP ……………………..650 MG
EXCIPIENTS …………………………………Q.S.</t>
  </si>
  <si>
    <t>TOFF-DC SYRUP</t>
  </si>
  <si>
    <t xml:space="preserve">Each 5ml contains: 
Dextromethorphan Hydrobromide IP…. 10mg
Phenylephrine Hydrochloride IP…. 5mg
Chlorpheniramine Maleate IP….. 2mg
In a flavoured syrupy base </t>
  </si>
  <si>
    <t>Dextromethorphan Hydrobromide 10mg + Phenylephrine Hydrochloride 5mg + Chlorpheniramine Maleate 2mg</t>
  </si>
  <si>
    <t>TOFF-DC TABLETS</t>
  </si>
  <si>
    <t>Each uncoated flavoured dispersible tablet contains: Dextromethorphan Hydrobromide IP……….10mg
Chlorpheniramine Maleate IP………...2mg
Phenylephrine Hydrochloride IP……..5mg
Colour: Sunset Yellow</t>
  </si>
  <si>
    <t>URIKIND-KM SUSP.</t>
  </si>
  <si>
    <t>EACH SERVING 15 ML CONTAINS (APPROX.) :
POTASSIUM MAGNESIUM CITRATE * …………………978 MG
(CONTAINING POTASSIUM CITRATE ANHYDROUS 714.9 MG &amp;  MAGNESIUM CITRATE ANHYDROUS 263.10 MG) 
D-MANNOSE *…………………………300 MG 
CRANBERRY EXTRACT*.......200 MG
(STANDARDISE FOR 25%PROANTHOCYANIDIN)
*%RDA NOT ESTABLISHED</t>
  </si>
  <si>
    <t>POTASSIUM MAGNESIUM CITRATE 978 MG + D-MANNOSE 300 MG + CRANBERRY EXTRACT 200 MG</t>
  </si>
  <si>
    <t>URIKIND-KM6 SOLUTION</t>
  </si>
  <si>
    <t>EACH 5 ML CONTAINS :
POTASSIUM CITRATE IP …………………1100 MG
MAGNESIUM CITRATE USP …………….375 MG
PYRIDOXINE HYDROCHLORIDE IP ………20 MG
(EACH ML CONTAINS APPROX. 1 M
EQ. TO MAGNESIUM ION, 2 M EQ. POTASSIUM 
ION, 3 M EQ. TO CITRATE ION 
&amp; 4 MG PYRIDOXINE HYDROCHLORIDE)</t>
  </si>
  <si>
    <t>POTASSIUM CITRATE 1100 MG + MAGNESIUM CITRATE 375 MG + PYRIDOXINE HYDROCHLORIDE 20 MG</t>
  </si>
  <si>
    <t>ZYMOGREAT DROPS</t>
  </si>
  <si>
    <t>EACH ML CONTAINS:
FUNGAL DIASTASE (1:800) IP..20 MG
CARAWAY OIL IP………...…400 MCG
CINNAMON OIL IP…………..200 MCG
CARDAMOM OIL IP………….400 MCG
SIMETHICONE IP…………….40 MG
PAPAIN IP…………………….10 MG
FLAVOURED SYRUPY BASE..Q.S.</t>
  </si>
  <si>
    <t>FUNGAL DIASTASE (1:800) 20 MG + CARAWAY OIL 400 MCG + CINNAMON OIL 200 MCG + CARDAMOM OIL 400 MCG + SIMETHICONE 40 MG + PAPAIN 10 MG</t>
  </si>
  <si>
    <t>AMROBRUT CREAM</t>
  </si>
  <si>
    <t>AMOROLFINE HYDROCHLORIDE IP
EQ. TO AMOROLFIN....................0.25% W/W
PHENOXYETHANOL IP..............1% W/W
(AS PRESERVATIVE)
CREAM BASE ..........Q.S.</t>
  </si>
  <si>
    <t>AMOROLFIN 0.25% W/W</t>
  </si>
  <si>
    <t>3D Mankind (A Division of Mankind Pharma Ltd.)</t>
  </si>
  <si>
    <t>CHEKFALL TABLETS</t>
  </si>
  <si>
    <t>EACH UNCOATED TABLET CONTAINS:
MINOXIDIL IP……….2.5 MG
EXCIPIENTS…………Q.S.</t>
  </si>
  <si>
    <t>MINOXIDIL IP 2.5 MG</t>
  </si>
  <si>
    <t>CHEKFALL-10% SPRAY/SOLUTION</t>
  </si>
  <si>
    <t>MINOXIDIL IP ………………10.0% W/V
ALCOHOL (95%) IP …………….40% V/V</t>
  </si>
  <si>
    <t>MINOXIDIL IP 10.0% W/V + ALCOHOL (95%) IP  40% V/V</t>
  </si>
  <si>
    <t>CHEKFALL-F 10% SPRAY/SOLUTION</t>
  </si>
  <si>
    <t>MINOXIDIL IP…….10 % W/V
FINASTERIDE IP…..0.1 % W/V
EXCIPIENTS:
PROCAPIL® ( BUTYLENE GLYCOL, WATER (AQUA),
PPG-26 BULETH-26, PEG-40 HYDROGENATED CASTOR OIL, 
APIGENIN, OLEANOLIC ACID &amp; BIOTINOYL TRIPEPTIDE-1),
ETHYL ALCOHOL IP &amp; PROPYLENE GLYCOL IP</t>
  </si>
  <si>
    <t>MINOXIDIL IP 10% W/V + 
FINASTERIDE IP 0.1 % W/V</t>
  </si>
  <si>
    <t>CHEKFALL-F TOPICAL SOLUTION</t>
  </si>
  <si>
    <t>MINOXIDIL IP ………………5% W/V
FINASTERIDE IP ……………0.1% W/V
ISOPROPYL ALCOHOL IP ………Q.S. TO 1 ML</t>
  </si>
  <si>
    <t>MINOXIDIL IP 5% W/V + 
FINASTERIDE IP 0.1 % W/V</t>
  </si>
  <si>
    <t>CHEKFALL TOPICAL SOLUTION</t>
  </si>
  <si>
    <t>MINOXIDIL IP ………………5.0% W/V
ABSOLUTE ALCOHOL IP …………….40% V/V
IN ADHESIVE BASE …….Q.S.</t>
  </si>
  <si>
    <t>MINOXIDIL IP  5.0% W/V + 
ABSOLUTE ALCOHOL IP 40% V/V</t>
  </si>
  <si>
    <t xml:space="preserve">HAIRBLESS </t>
  </si>
  <si>
    <t>EACH SERVING PER FILM COATED TABLET CONTAINS :
L-ARGININE …………………………………50 MG
L-CYSTEINE ……………………………….50 MG
DL-METHIONINE …………………………. 40 MG
L-LYSINE HYDROCHLORIDE ……………..20 MG
NIACINAMIDE ..........................16 MG
ZINC …………………………………………. 12 MG
BIOTIN …………………………………………10 MG
INOSITOL  ……………………………………..10 MG
IRON ……………………………………………10 MG
CALCIUM PANTOTHENATE ..............5 MG
COPPER ………………………………………..2 MG
SELENIUM …………………………………….40 MCG</t>
  </si>
  <si>
    <t>L-ARGININE  50 MG + 
L-CYSTEINE 50 MG + 
DL-METHIONINE  40 MG + 
L-LYSINE HYDROCHLORIDE  20 MG + 
NIACINAMIDE  16 MG + 
ZINC 12 MG + 
BIOTIN  10 MG + 
INOSITOL   10 MG + 
IRON  10 MG + 
CALCIUM PANTOTHENATE  5 MG + 
COPPER 2 MG + 
SELENIUM  40 MCG</t>
  </si>
  <si>
    <t>HICOPE LOTION</t>
  </si>
  <si>
    <t>HICOPE LOTION CONTAINS:
PRAMOXINE HYDROCHLORIDE
AND ALOE VERA GEL, WHICH PROVIDES RELIEF FROM ITCHY AND DRY SKIN</t>
  </si>
  <si>
    <t>PRAMOXINE HYDROCHLORIDE + ALOE VERA GEL</t>
  </si>
  <si>
    <t>ITRAGREAT-100</t>
  </si>
  <si>
    <t>EACH HPMC CAPSULE CONTAINS :
ITRACONAZOLE PELLETS
EQUIVALENT TO ITRACONAZOLE PH. EUR. ………………100 MG
EXCIPIENTS ……………………………………………..Q.S.</t>
  </si>
  <si>
    <t>ITRACONAZOLE PH. EUR. 100 MG</t>
  </si>
  <si>
    <t>ITRAGREAT-200</t>
  </si>
  <si>
    <t>EACH HPMC CAPSULE CONTAINS :
ITRACONAZOLE PELLETS
EQUIVALENT TO ITRACONAZOLE PH. EUR. ………………200 MG
EXCIPIENTS ……………………………………………..Q.S.</t>
  </si>
  <si>
    <t>ITRACONAZOLE PH. EUR. 200 MG</t>
  </si>
  <si>
    <t>ITRAGREAT-SB 65</t>
  </si>
  <si>
    <t>EACH HARD GELATIN CAPSULE CONTAINS:
ITRACONAZOLE BP……..65 MG
EXCIPIENTS………………..Q.S.</t>
  </si>
  <si>
    <t>ITRACONAZOLE BP 65 MG</t>
  </si>
  <si>
    <t>65 MG</t>
  </si>
  <si>
    <t>ITRAGREAT-SB 130</t>
  </si>
  <si>
    <t>ITRACONAZOLE BP 130 MG</t>
  </si>
  <si>
    <t>LULIBRUT CREAM</t>
  </si>
  <si>
    <t>LULICONAZOLE………….1% W/W
PRESERVATIVE:
BENZYL ALCOHOL IP……….1% W/W
IN CREAM BASE………………Q.S.</t>
  </si>
  <si>
    <t>LULICONAZOLE 1% W/W</t>
  </si>
  <si>
    <t>LULICONAZOLE ………………………1% W/W
PRESERVATIVE :
BENZYL ALCOHOL IP ………………………1% W/W
CREAM BASE ……………………………..Q.S.</t>
  </si>
  <si>
    <t>LULIBRUT LOTION</t>
  </si>
  <si>
    <t>LULICONAZOLE IP…….1% W/V
NON AQUEOUS BASE…Q.S.
CONTAINS APPROXIMATELY….46 % V/V OF ETHANOL IP AS A SOLVENT</t>
  </si>
  <si>
    <t>MOISAWAVE MOISTURIZING CREAM</t>
  </si>
  <si>
    <t>DEMINERALIZED WATER, GLYCERIN, CAPRYLIC/CAPRIC, TRIGLYCERIDE, ISOPROPYL MYRISTATE, PEG-100 STEARATE (AND) GLYCERYL STEARATE, ALUMINIUM STARCH OCTENYLSUCCINATE, ACRYLAMIDE/SODIUM ACRYLATE COPOLYMER, MINERAL OIL (PARAFFINUM LIQUIDUM), TRIDECETH-6,   CYCLOPENTASILOXANE (AND) PHENYL TRIMETHICONE (AND) DIMETHICONOL (AND) C-12-15 ALKYL BENZOATE (AND) DIMETHICONE CROSSPOLYMER, XYLITYLGLUCOSIDE (AND) ANHYDROXYLITOL (AND) XYLITOL, CETYL ALCOHOL,DIMETHICONE,GLYCERYL MONOSTEARATE-SE, PHENOXYETHANOL,TRIETHYLENE GLYCOL, AQUA (AND), GLYCERIN (AND), PANCRATIUM MARITIMUMM EXTRACT, HYDROXYETHYLCELLULOSE, SACCHARIDE ISOMERATE, SODIUM HYALURONATE, BUTYLATED HYDROXY TOLUENE, DISODIUM EDTA, CAMEL MILK POWDER, OLIVE OIL PEG-7 ESTERS, CERAMIDEIII,FRAGANCE.</t>
  </si>
  <si>
    <t>M/s Mankind Specialities, Vill &amp; PO Nihalgarh, Khasra No.161/96, 162/96 The. Paonta Sahib, Distt. Sirmour (HP)-173025</t>
  </si>
  <si>
    <t>MOISAWAVE MOISTURIZING LOTION</t>
  </si>
  <si>
    <t>DEMINERALIZED WATER, LIGHT LIQUID PARAFFIN, PROPYLENE GLYCOL, GLYCERIN, ISOPROPYL MYRISTATE, CETYL PALMITATE, CYCLOPENTASILOXANE (AND) DIMETHICONOL, CETYL ALCOHOL, CYCLOPENTASILOXANE (AND) C30-45 ALKYL CETEARYL DIMETHICONE CROSS POLYMER, GLYCERYL MONOSTEARATE-SE, PROPANEDIOL, STEARETH-21, C12-15 ALKYL BENZOATE, PHENOXYETHANOL, TRIETHYLENE GLYCOL, PEG-100 STEARATE (AND) GLYCERYL STEARATE, CARBOMER, WATER (AND) HYDROLYZED ALGIN (AND) PHENOXYETHANOL, ACRYAMIDE/SODIUM ACRYLATE COPOLYMER, MINERAL OIL ( PARAFFINUM LIQUIDUM) TRIDECETH-B, TRIETHANOLAMINE, BUTYLATED HYDROXY TOLUENE, ALOE BARBADENSIS LEAF JUICE, HONEY, FRAGANCE, TRITICUM VULGARE (WHEAT) GERM OIL, SODIUM HYALURONATE.</t>
  </si>
  <si>
    <t>MOMSTAR CREAM</t>
  </si>
  <si>
    <t>MOMETASONE FUROATE  IP…..0.1%W/W
IN A CREAM BASE …………...…..q.s
PRESERVATIVE:
METHYL PARABEN IP……...……..0.2% W/W
PROPYL PARABEN IP…………….0.02% W/W</t>
  </si>
  <si>
    <t>MOMETASONE FUROATE  IP 0.1%W/W</t>
  </si>
  <si>
    <t>SCAREND GEL (15GM)</t>
  </si>
  <si>
    <t>EACH G CONTAINS :
ALLIUM CEPA EXTRACT……………….0.1 G
HEPARIN SODIUM IP ……………………50 I.U.
ALLANTOIN IP …………………..0.01 G
GEL BASE …………………………………….Q.S.</t>
  </si>
  <si>
    <t>ALLIUM CEPA EXTRACT 0.1 G + 
HEPARIN SODIUM IP  50 I.U. + 
ALLANTOIN IP  0.01 G</t>
  </si>
  <si>
    <t>SCAREND SILICONE GEL</t>
  </si>
  <si>
    <t>INGREDIENTS :  SILICONE Q7 9120-12500CS 
(POLYDIMETHYL SILOXANE), CYCLOMETHICONE NF-5, 
ELASTOMER-10,  UTMF CERAMIDE III, DERMAXYL (C12-15 
ALKYL BENZOATE) &amp; SILLICON DIOXIDE</t>
  </si>
  <si>
    <t>SKINBLESS CREAM (20 GM)</t>
  </si>
  <si>
    <t>INGREDIENTS :  DEMINERALIZED WATER, NIACINAMIDE, CAPRYLIC/CAPRIC TRIGLYCERIDE, ASCORBIC ACID 2 GLUCOSIDE, AUREALIS, DRAGON FRUIT EXTRACT, OCTYL METHOXYCINNAMATE, CYCLOPENTASILOXANE,
DIMETHICONE (AND) DIMETHICONE / VINYL DIMETHICONE CROSSPOLYMER,
HEXADECAN-1-ol, ISO PROPYL MYRISTATE, GLYCERIN, CETEARYL OLIVATE,
SORBITAN OLIVATE, PEG-100 STEARATE (AND) GLYCERYL STEARATE,
TRIETHANOLAMINE, PROPANEDIOL, TAPLOCA STARCH (AND) 
POLYMETHYLSILSESQUIOXANE, ACRYLAMIDE/SODIUM ACRYLATE COPOLYMER &amp; MINERAL OIL &amp; TRIDECETH-6, TITANIUM DIOXIDE, 2-PHENOXYETHANOL, CARBOMER, LIQUORICE EXTRACT, DISODIUM ETHYLENEDIAMINETETRAACETATE, METHYLISOTHIAZOLINONE (AND) ETHYLHEXYLGLYCERIN (AND) AQUA, BUTYLATED HYDROXY TOLUENE</t>
  </si>
  <si>
    <t>UVSMART SUNSCREEN GEL</t>
  </si>
  <si>
    <t>KEY INGREDIENTS: 
ETHYLHEXYL METHOXYCINNAMATE , METHYLENE BIS-BENZOTRIAZOLYL
TETRAMETHYLBUTYLPHENOL (AND) AQUA (AND) DECYL GLUCOSIDE (AND) PROPYLENE GLYCOL (AND)
XANTHAN GUM , DIETHYLAMINO HYDROXYBENZOYL HEXYL BENZOATE , ETHYLHEXYL TRIAZONE , BIS-
ETHYLHEXYLOXYPHENOL METHOXYPHENYL TRIAZINE.
OTHER INGREDIENTS: 
CYCLOPENTASILOXANE, CETEARYL ALCOHOL (AND) DICETYL PHOSPHATE (AND)
CETETH-10 PHOSPHATE, ISOPROPYL MYRISTATE, CAPRYLIC/CAPRIC TRIGLYCERIDE, GLYCERYL MONOSTEARATE-
SE, CYCLOPENTASILOXANE (AND) DIMETHICONE CROSSPOLYMER, VP/EICOSENE COPOLYMER, 2-
PHENOXYETHANOL, TITANIUM DIOXIDE, TRIETHANOL AMINE, PROPANEDIOL, METHYLISOTHIAZOLINONE (AND)
ETHYLHEXYLGLYCERIN (AND) WATER, TOCOPHERYL ACETATE, BUTYLATED HYDROXY TOLUENE, DISODIUM
EDTA, NIACINAMIDE, DEMINERALISED WATER, SODIUM CITRATE, CITRIC ACID.</t>
  </si>
  <si>
    <t>UVSMART-MATT SUNSCREEN GEL</t>
  </si>
  <si>
    <t>C-12-15 ALKYL BENZOATE, CAPRYLYL METHICONE AND PEG-12 DIMETHICONE/ PPG-20 CROSSPOLYMER, OCTYL METHOXYCINNAMATE, DIETHYLHEXYL BUTAMIDO TRIAZONE, DIETHYLAMINO HYDROXYBENZOYL HEXYL BENZOATE, ZINC OXIDE, TITANIUM DIOXIDE, CAPRYLYL METHICONE, TETRAHEXYLDECYL ASCORBATE (VITAMIN C ESTER), DIETHYLHEXYL SYRINGYLIDENEMALONATE (AND) CAPRYLIC/CAPRIC TRIGLYCERIDE, TOCOPHEROL (VITAMIN E), HELIANTHUS ANNUUS SEED OIL, BERNOTRIZINOL, PERFUME, CYCLOPENTASILOZANE &amp; DIMETHICONE CROSSPOLYMER</t>
  </si>
  <si>
    <t>VALANEXT-500 TABLETS</t>
  </si>
  <si>
    <t>EACH FILM COATED TABLET CONTAINS :
VALACYCLOVIR HYDROCHLORIDE USP
EQUIVALENT TO VALACYCLOVIR ………..500 MG
EXCIPIENTS …………………………………….Q.S.</t>
  </si>
  <si>
    <t>VALACYCLOVIR  500 MG</t>
  </si>
  <si>
    <t>M/s Rivpra Formulation Pvt Ltd. Plot No 8, Sector-6A, IIE, SIDCUL, Haridwar-249403</t>
  </si>
  <si>
    <t>VALANEXT-1000 TABLETS</t>
  </si>
  <si>
    <t>EACH FILM COATED TABLET CONTAINS :
VALACYCLOVIR HYDROCHLORIDE USP
EQUIVALENT TO VALACYCLOVIR ………..1000 MG
EXCIPIENTS …………………………………….Q.S.</t>
  </si>
  <si>
    <t>VALACYCLOVIR  1000 MG</t>
  </si>
  <si>
    <t>VITAKIND-ZIT</t>
  </si>
  <si>
    <t>EACH FILM COATED TABLET CONTAINS :
SILYMARIN………………………………70 MG
VITAMIN C…………………………………40 MG
DUNALIELLA-SALINA EXTRACT (7.5%)…..20 MG
METHIONINE BOUN ZINC COMPLEX EQ. TO ZINC….10 MG
VITAMIN E…………………………………..10 MG
CHROMIUM (AS CHROMIUM PICOLINATE)……70 MCG
SELENIUM (AS SODIUM 
SELENITE PENTAHYDRATE)………………………………65 MCG
EXCIPIENTS …………………………………Q.S.</t>
  </si>
  <si>
    <t>SILYMARIN 70 MG + 
VITAMIN C 40 MG + 
DUNALIELLA-SALINA EXTRACT (7.5%) 20 MG + 
METHIONINE BOUN ZINC COMPLEX EQ. TO ZINC 10 MG + 
VITAMIN E 10 MG + 
CHROMIUM (AS CHROMIUM PICOLINATE) 70 MCG + 
SELENIUM (AS SODIUM  SELENITE PENTAHYDRATE) 65 MCG</t>
  </si>
  <si>
    <t>XAMPU KZ SHAMPOO</t>
  </si>
  <si>
    <t>KETOCONAZOLE IP………..2 % W/V
CONDITIONING SHAMPOO BASE Q.S.</t>
  </si>
  <si>
    <t>KETOCONAZOLE IP 2 % W/V</t>
  </si>
  <si>
    <t>2 % W/V</t>
  </si>
  <si>
    <t>ZITBLOW-10 CAPSULES</t>
  </si>
  <si>
    <t>EACH SOFT GELATIN CAPSULE CONTAINS:
ISOTRETINOIN IP……………..10 MG
APPROVED COLOURS USED IN CAPSULE SHELL
{FERRIC OXIDE RED USP-NF &amp; TITANIUM DIOXIDE IP}</t>
  </si>
  <si>
    <t>ISOTRETINOIN IP 10 MG</t>
  </si>
  <si>
    <t>M/s Softesule Pvt Ltd, Plot No86/A, LBS Marg, Nr. Nirmal Lifestyle, Mulund(W), Mumbai-400080</t>
  </si>
  <si>
    <t>ZITBLOW-20 CAPSULES</t>
  </si>
  <si>
    <t>EACH SOFT GELATIN CAPSULE CONTAINS:
ISOTRETINOIN IP……………..20 MG
APPROVED COLOURS USED IN CAPSULE SHELL
{FERRIC OXIDE RED USP-NF &amp; TITANIUM DIOXIDE IP}</t>
  </si>
  <si>
    <t>ISOTRETINOIN IP 20 MG</t>
  </si>
  <si>
    <t>MANFORCE LUBE</t>
  </si>
  <si>
    <t>DEMINERALISED WATER…..Q.S. 100%
GLYCERIN……..8%
PROPYLENEGLYCOL…..3%
XYLITYLGLUCOSIDE (AND) ANHYDROXYLITOL (AND)XYLITOL…..1%
ETHYL BUTYRATE, AMYL ACETATE, STRAWBERRY ALDEHYDE, ETHYL CINNAMATE, ETHYL ACETATE, VANILINE, TRIACETIN, PROPYLENE GLYCOL…..1%
POLYSORBATE 20..........1%
HYDROXYETHYL CELLULOSE............0.9%
SODIUM CARBOXYMETHYL CELLULOSE......0.6%
BENZOIC ACID....................0.2%
SUCRALOSE................0.1%
DISODIUM ETHYLENEDIAMINETETRAACETATE.........0.05%
CANANGA ODORATA..............0.015%</t>
  </si>
  <si>
    <t>MANFORCE EPIC CONDOMS (PASSION) 3S</t>
  </si>
  <si>
    <t>Each Condom Contains: 
Natural Rubber Latex 
Silicone Oil  
Texture- Dotted Square  
Flavour- Fruit Punch</t>
  </si>
  <si>
    <t>MANFORCE EPIC CONDOMS (PASSION) 10S</t>
  </si>
  <si>
    <t>Each Condom Contains:
Natural Rubber Latex
Silicone Oil
Flavour- Belgian Chocolate
Texture- Hotdots</t>
  </si>
  <si>
    <t>MANFORCE EPIC CONDOMS (HOT DOTS) 10S</t>
  </si>
  <si>
    <t>MANKIND'S HEALTH OK</t>
  </si>
  <si>
    <t>EACH FILM COATED TABLET CONTAINS :
TAURINE ………………………….500 MG
SOYA PROTEIN HYDROLYSATE 136.5MG  
CONTAINS APPROXIMATE AMINO ACIDS
L-LEUCINE………………………………..13.45 MG
L-ARGININE HYDROCHLORIDE…….13.28 MG
L-LYSINE HYDROCHLORIDE……….11.07 MG
L-PHENYLALANINE……………………..9.04 MG
L-ISOLEUCINE…………………………….8.25 MG
L-VALINE………………………………….7.91 MG
L-THREONINE…………………………6.38 MG
L-HISTIDINE HYDROCHLORIDE H2O..4.35 MG
DL-METHIONINE………………2.2 MG
L-TRYPTOPHAN…………….2.03 MG
GINSENG EXTRACT POWDER …………42.5 MG
(HIGHLY CONCENTRATED &amp; STANDARDIZED, 
GINSENG EXTRACT CORRESPONDING TO 
212.5 MG OF ROOT OF PANAX GINSENG)
VITAMIN C (ASCORBIC ACID)……40 MG
VITAMIN B3 (NIACIN)………………….12 MG
VITAMIN E…………………………………….8 MG
IRON………………………………………….7.5 MG
MAGNESIUM……………………………7.43 MG
ZINC………………………………………….5 MG
VITAMIN B6 …………...……………….1.5 MG
VITAMIN B2 …………...……………….1.4 MG
MANGANESE………………………….1.4 MG
VITAMIN B1 …………...……………….1 MG
COPPER…………………………………0.5 MG
CALCIUM PANTOTHENATE…….0.4 MG
FOLIC ACID……………………………0.15 MG
IODINE……………………………………0.1 MG
VITAMIN A (RETINOL)…………..600 MCG
METHYLCOBALAMIN……………500 MCG
CHROMIUM…………………………….33 MCG
BIOTIN……………………………………..30 MCG
SELENIUM………………………………10 MCG
VITAMIN D………………………………..5 MCG
APPROPRIATE OVERAGES OF VITAMINS ARE
ADDED TO COMPENSATE LOSS ON STORAGE.</t>
  </si>
  <si>
    <t>SAFEKIND-N 95 FACT MASK(3B+2W)</t>
  </si>
  <si>
    <t xml:space="preserve">ANTI-BACTERIAL, ANTI-VIRUS, ANTI-DUST,ANTI-DROPLET
ANTI-POLLUTION
LATEX FREE
SOFT ELASTIC EAR LOOP
MINIMAL EYEWEAR FOGGING 
PACKED WITH DEODORIZED ACTIVATED CARBON
FOLDABLE SHAPE
HERMETICALLY SEALED </t>
  </si>
  <si>
    <t>SAFEKIND TOILET SEAT DISINFECTANT SPRAY</t>
  </si>
  <si>
    <t>ETHANOL ENA…………………….95% V/V
EQUIVALENT TO ………………..78.0% V/V
DIETHYLPHTHALATE
CYCLOPENTASILOXANE
PROPYLENEGLYCOL
FRAGRANCE - LAVENDER
5- CHLORO-2-(2,4-DICHLOROPHENOXY) PHENOL
DEODORIZED LIQUID PETROLEUM GAS</t>
  </si>
  <si>
    <t>SAFEKIND HAND SANITIZER</t>
  </si>
  <si>
    <t>ETHANOL IP ………….70 % V/V
WITH EMOLLIENT, MOISTURIZER &amp; FRAGRANCE</t>
  </si>
  <si>
    <t>PREGA NEWS</t>
  </si>
  <si>
    <t>AGGLUTINATING SERA REAGENT
FOR DETECTION OF HCG
FOR IN VITRO DIAGNOSTIC USE
CONTENTS:-
ONE TEST DEVICE (CARD), ONE DISPOSABLE DROPPER</t>
  </si>
  <si>
    <t>PREGA NEWS HANGER PACK</t>
  </si>
  <si>
    <t>ALFA-MAXICAL RF</t>
  </si>
  <si>
    <t>EACH SOFT GELATIN CAPSULE CONTAINS:
ALFACALCIDOL BP...................................0.25 MCG
CALCIUM CARBONATE IP.........................500 MG
EQ. TO ELEMENTAL CALCIUM.................200 MG
METHYLCOBALAMIN...............................1500 MCG
OMEGA-3-MARINE TRIGLYCERIDES BP PROVIDING
EICOSAPENTAENOIC ACID......................90 MG &amp;
DOCOSAHEXAENOIC ACID.....................60 MG
FOLIC ACID IP..........................................400MCG
DISODIUM TETRABORATE BP
EQ.TO ELEMENTAL BORON ..................1.5 MG</t>
  </si>
  <si>
    <t>ALFACALCIDOL 0.25 MCG + CALCIUM CARBONATE 500 MG + CALCIUM 200 MG + METHYLCOBALAMIN 1500 MCG + OMEGA-3 MARINE TRIGLYCERIDES + EICOSAPENTAENOIC ACID 90 MG &amp; DOCOSAHEXAENOIC ACID 60 MG + FOLIC ACID 400MCG + ELEMENTAL BORON 1.5 MG</t>
  </si>
  <si>
    <t>Neo Mankind (A Division of Mankind Pharma Ltd.)</t>
  </si>
  <si>
    <t xml:space="preserve">BETAKIND NASAL SPRAY </t>
  </si>
  <si>
    <t>POVIDONE-LODINE IP…………….0.5% W/V
IN A BUFFERED AQUEOUS BASE</t>
  </si>
  <si>
    <t>BRUTACEF-O</t>
  </si>
  <si>
    <t>EACH FILM COATED TABLET CONTAINS:
CEFIXIME IP AS TRIHYDRATE
EQUIVALENT TO ANHYDROUS CEFIXIME.....200 MG
OFLOXACIN IP.....................................200 MG</t>
  </si>
  <si>
    <t>ANHYDROUS CEFIXIME 200 MG + OFLOXACIN 200 MG</t>
  </si>
  <si>
    <t>BRUTACEF-200 DT</t>
  </si>
  <si>
    <t>EACH UNCOATED DISPERSIBLE TABLET CONTAINS:
CEFIXIME IP
EQ. TO ANHYDROUS CEFIXIME..................200 MG
EXCIPIENTS .................................................QS.</t>
  </si>
  <si>
    <t>ANHYDROUS CEFIXIME 200 MG</t>
  </si>
  <si>
    <t>BRUTACEF DRY SYRUP</t>
  </si>
  <si>
    <t>EACH 5 ML OF RECONSTITUTED SUSPENSION CONTAINS:
CEFIXIME IP
EQ. TO ANHYDROUS CEFIXIME .................50 MG
EXCIPIENTS ...................................................QS.</t>
  </si>
  <si>
    <t xml:space="preserve"> ANHYDROUS CEFIXIME 50 MG</t>
  </si>
  <si>
    <t>50 MG/ 5 ML</t>
  </si>
  <si>
    <t>BRUTACEF-DS DRY SYRUP</t>
  </si>
  <si>
    <t>EACH 5 ML CONSTITUTED SUSPENSION CONTAINS:
CEFIXIME IP AS TRIHYDRATE
EQ. TO ANHYDROUS CEFIXIME...............100 MG
EXCIPIENTS...................................................Q.S</t>
  </si>
  <si>
    <t>ANHYDROUS CEFIXIME 100 MG</t>
  </si>
  <si>
    <t>BRUTAFLAM-MR 4</t>
  </si>
  <si>
    <t>EACH FILM COATED TABLET CONTAINS:
ETORICOXIB...............................................60 MG
THIOCOLCHICOSIDE IP.................................4 MG
EXCIPIENTS..................................................Q.S</t>
  </si>
  <si>
    <t>ETORICOXIB 60 MG + THIOCOLCHICOSIDE 4 MG</t>
  </si>
  <si>
    <t>BRUTAFLAM PLUS</t>
  </si>
  <si>
    <t>EACH FILM COATED  TABLET CONTAINS:
ETORICOXIB IP.........................................60 MG
PARACETAMOL IP.....................................325 MG
EXCIPIENTS................................................Q.S</t>
  </si>
  <si>
    <t>ETORICOXIB 60 MG + PARACETAMOL 325 MG</t>
  </si>
  <si>
    <t>BRUTAFLAM-PG TABLETS</t>
  </si>
  <si>
    <t>EACH FILM COATED BILAYERED TABLET CONTAINS:
PREGABALIN IP………..75 MG
(AS PROLONGED RELEASE)
ETORICOXIB IP………… 60 MG
EXCIPIENTS…………….. Q.S.</t>
  </si>
  <si>
    <t>PREGABALIN 75 MG (AS PROLONGED RELEASE) + ETORICOXIB 60 MG</t>
  </si>
  <si>
    <t>BRUTAFLAM-120</t>
  </si>
  <si>
    <t>EACH FILM COATED TABLET CONTAINS:
ETORICOXIB IP..........................................120 MG
EXCIPIENTS ...................................................QS.</t>
  </si>
  <si>
    <t>ETORICOXIB 120 MG</t>
  </si>
  <si>
    <t>BRUTAFLAM-90</t>
  </si>
  <si>
    <t>EACH FILM COATED TABLET CONTAINS:
ETORICOXIB IP..................................90 MG
EXCIPIENTS..................................................Q.S</t>
  </si>
  <si>
    <t>ETORICOXIB 90 MG</t>
  </si>
  <si>
    <t>90 MG</t>
  </si>
  <si>
    <t>BIGGABA-NT</t>
  </si>
  <si>
    <t>EACH FILM COATED BILAYERED TABLET CONTAINS:
NORTRIPTYLINE HYDROCHLORIDE IP
EQ. TO NORTRIPTYLINE..........................10 MG
PREGABALIN IP .........................75 MG</t>
  </si>
  <si>
    <t>NORTRIPTYLINE 10 MG + PREGABALIN 75 MG</t>
  </si>
  <si>
    <t>CARDIMOL PLUS 10</t>
  </si>
  <si>
    <t>EACH UNCOATED BILAYERED TABLET CONTAINS:
PROPRANOLOL HYDROCHLORIDE I.P..........40 MG
(IN SUSTAINED RELEASE FORM)
FLUNARIZINE DIHYDROCHLORIDE BP
EQUIVALENT TO FLUNARIZINE.....................10 MG</t>
  </si>
  <si>
    <t>HYDROCHLORIDE 40 MG (IN SUSTAINED RELEASE FORM) + FLUNARIZINE 10 MG</t>
  </si>
  <si>
    <t>COLIWIN-R</t>
  </si>
  <si>
    <t>EACH HARD GELATIN CAPSULE CONTAINS:
RABEPRAZOLE SODIUM IP.....................10 MG
(AS ENTERIC COATED TABLET).
CLIDINIUM BROMIDE USP...................2.5 MG
DICYCLOMINE HYDROCHLORIDE IP.............10 MG
CHLORDIAZEPOXIDE IP......................5 MG</t>
  </si>
  <si>
    <t>COLIWIN-R NEW TABLETS</t>
  </si>
  <si>
    <t>EACH FILM COATED TABLET CONTAINS:
CLIDINIUM BROMIDE USP……………...2.5 MG
CHLORDIAZEPOXIDE IP……………..….5 MG
DICYCLOMINE HYDROCHLORIDE IP….10 MG</t>
  </si>
  <si>
    <t>CLIDINIUM BROMIDE USP 2.5 MG +
CHLORDIAZEPOXIDE IP 5 MG + 
DICYCLOMINE HYDROCHLORIDE IP 10 MG</t>
  </si>
  <si>
    <t>DOBIMUST CAPSULE</t>
  </si>
  <si>
    <t>EACH HARD GELATIN CAPSULE CONTAINS:
CALCIUM DOBESILATE MONOHYDRATE IP
EQ. TO CALCIUM DOBESILATE ANHYDROUS..............500 MG
EXCIPIENTS......................................................Q.S</t>
  </si>
  <si>
    <t>CALCIUM DOBESILATE ANHYDROUS 500 MG</t>
  </si>
  <si>
    <t>DOMWAYS DROPS</t>
  </si>
  <si>
    <t>EACH ML (APPROX 19 DROPS) CONTAINS
DOMPERIDONE IP …………..10 MG
FLAVOURED SYRUPY BASE</t>
  </si>
  <si>
    <t>DOMPERIDONE 10 MG</t>
  </si>
  <si>
    <t>FEBUHELP-40</t>
  </si>
  <si>
    <t>EACH FILM COATED TABLET CONTAINS:
FEBUXOSTAT…………40 MG
COLOUR: TITANIUM DIOXIDE IP</t>
  </si>
  <si>
    <t>FEBUXOSTAT 40 MG</t>
  </si>
  <si>
    <t>FEBUHELP-80</t>
  </si>
  <si>
    <t>EACH FILM COATED TABLET CONTAINS:
FEBUXOSTAT…………80 MG
COLOUR: TITANIUM DIOXIDE IP</t>
  </si>
  <si>
    <t>FEBUXOSTAT 80 MG</t>
  </si>
  <si>
    <t>GUDGESIC-AQ INJECTION</t>
  </si>
  <si>
    <t>GUDGESIC PLUS</t>
  </si>
  <si>
    <t>EACH UNCOATED TABLET CONTAINS:
ACECLOFENAC IP......................................100 MG
PARACETAMOL IP......................................325MG
EXCIPIENTS.....................................................Q.S.</t>
  </si>
  <si>
    <t>GUDGESIC-NF LINIMENT</t>
  </si>
  <si>
    <t xml:space="preserve">Gandhapura Oil (Gaultheria fragrantissima) Leaf*…28% v/v 
Kapura (Cinnamomum camphora) Crystal*….………..11% w/v 
Pudina (Mentha arvensis) Crystal**………………………...…5% w/v
Pudina Oil (Mentha arvensis) Leaf**…………………………..6% v/v 
Nilgiri Oil (Eucalyptus globulus) Leaf*………………………… 6% v/v 
Cajuput Oil (Melaleuca leucadendron) Leaf**.………6% v/v 
Lavanga Oil (Syzygium aromaticum) Flower bud**….5% v/v 
Dalchini Oil (Cinnamomum zeylanicum) bark*……………5% v/v
Lavender Oil  (Lavandula stoechas) Flower**……….…5% v/v
Sallaki (Boswellia serrata) gum resin*………………….…3% v/v 
Mahanarayana Oil# ……………………………………..…………10% v/v 
Base…………………………………………..………………….….q.s
</t>
  </si>
  <si>
    <t xml:space="preserve">Gandhapura Oil (Gaultheria fragrantissima) Leaf 28% v/v + Kapura (Cinnamomum camphora) Crystal 11% w/v + Pudina (Mentha arvensis) Crystal 5% w/v + 
Pudina Oil (Mentha arvensis) Leaf 6% v/v +  Nilgiri Oil (Eucalyptus globulus) Leaf 6% v/v +  Cajuput Oil (Melaleuca leucadendron) Leaf 6% v/v +  Lavanga Oil (Syzygium aromaticum) Flower bud 5% v/v +  Dalchini Oil (Cinnamomum zeylanicum) bark 5% v/v + Lavender Oil  (Lavandula stoechas) Flower 5% v/v + Sallaki (Boswellia serrata) gum resin 3% v/v + Mahanarayana Oil10% v/v
</t>
  </si>
  <si>
    <t>GUDGESIC-TH 4 TABLETS</t>
  </si>
  <si>
    <t>EACH UNCOATED TABLET CONTAINS:
THIOCOLCHICOSIDE  IP………………..4 MG
ACECLOFENAC IP …………………100 MG
EXCIPIENTS.....................................................Q.S.</t>
  </si>
  <si>
    <t>THIOCOLCHICOSIDE 4 MG + ACECLOFENAC 100 MG</t>
  </si>
  <si>
    <t>M/s Acme Generics LLP, Plot No. 115, HPSIDC Industrial Area, Davni, PO Gurumajra, Tehsil Nalagarh, Distt. Solan (H.P.)-174101</t>
  </si>
  <si>
    <t>GUDGESIC-TH 8 TABLETS</t>
  </si>
  <si>
    <t>EACH UNCOATED TABLET CONTAINS:
THIOCOLCHICOSIDE  IP………………..8 MG
ACECLOFENAC IP …………………100 MG
EXCIPIENTS.....................................................Q.S.</t>
  </si>
  <si>
    <t>THIOCOLCHICOSIDE  8 MG + ACECLOFENAC 100 MG</t>
  </si>
  <si>
    <t>GUDGESIC-SP</t>
  </si>
  <si>
    <t>EACH FILM COATED TABLET CONTAINS:
ACECLOFENAC IP................100 MG
PARACETAMOL IP................325 MG
SERRATIOPEPTIDASE......... 15 MG
(30,000 UNIT OF SERRATIOPEPTIDASE)
(AS GASTRO-RESISTANT GRANULES)
EXCIPIENTS………………..…Q.S.</t>
  </si>
  <si>
    <t>ACECLOFENAC 100 MG + PARACETAMOL 325 MG + SERRATIOPEPTIDASE 15 MG
(30,000 UNIT OF SERRATIOPEPTIDASE)
(AS GASTRO-RESISTANT GRANULES)</t>
  </si>
  <si>
    <t>HEPAKIND-150</t>
  </si>
  <si>
    <t>EACH FILM COATED TABLET CONTAINS:
URSODEOXYCHOLIC ACID IP........................150 MG
EXCIPIENTS..................................................Q.S</t>
  </si>
  <si>
    <t>URSODEOXYCHOLIC ACID 150 MG</t>
  </si>
  <si>
    <t>HEPAKIND-300</t>
  </si>
  <si>
    <t>EACH FILM COATED TABLET CONTAINS:
URSODEOXYCHOLIC ACID IP.......................300 MG
EXCIPIENTS............................Q.S</t>
  </si>
  <si>
    <t>URSODEOXYCHOLIC ACID 300 MG</t>
  </si>
  <si>
    <t>HEPAKIND-450</t>
  </si>
  <si>
    <t>EACH FILM COATED SUSTAINED RELEASE TABLET CONTAINS:
URSODEOXYCHOLIC ACID IP………450 MG
EXCIPIENTS……………………………….Q.S.
COLOURS: SUNSET YELLOW FCF &amp; TITANIUM DIOXIDE IP</t>
  </si>
  <si>
    <t>URSODEOXYCHOLIC ACID 450 MG</t>
  </si>
  <si>
    <t>450 MG</t>
  </si>
  <si>
    <t>HISTAKIND SUSP</t>
  </si>
  <si>
    <t>EACH 5 ML CONTAINS:
FEXOFENADINE HYDROCHLORIDE IP.........30 MG
FLAVOURED SYRUP BASE............................Q.S</t>
  </si>
  <si>
    <t>FEXOFENADINE HYDROCHLORIDE 30 MG</t>
  </si>
  <si>
    <t>30 MG/ 5 ML</t>
  </si>
  <si>
    <t>HISTAKIND-M</t>
  </si>
  <si>
    <t>EACH FILM COATED TABLET CONTAINS:
FEXOFENADINE HYDROCHLORIDE IP........120 MG
MONTELUKAST SODIUM IP
EQUIVALENT TO MONTELUKAST.................10 MG
EXCIPIENTS................................................Q.S</t>
  </si>
  <si>
    <t>FEXOFENADINE HYDROCHLORIDE 120 MG + MONTELUKAST 10 MG</t>
  </si>
  <si>
    <t>MAGNATUSS-A COUGH SYRUP</t>
  </si>
  <si>
    <t>EACH 5 ML CONTAINS:
DESLORATADINE....................................2.5 MG
AMBROXOL HYDROCHLORIDE IP.............30 MG
GUAIPHENESIN IP ...................................50 MG
IN A FLAVOURED BASE.........................Q.S</t>
  </si>
  <si>
    <t>DESLORATADINE 2.5 MG + AMBROXOL HYDROCHLORIDE 30 MG + GUAIPHENESIN 50 MG</t>
  </si>
  <si>
    <t>MAGNATUSS-DX COUGH SYRUP</t>
  </si>
  <si>
    <t>EACH 5 ML CONTAINS:
DEXTROMETHORPHAN HYDROBROMIDE IP …………10 MG
CHLORPHENIRAMINE MALEATE IP ………………………..4 MG
IN A FLAVOURED BASE.........................Q.S</t>
  </si>
  <si>
    <t>DEXTROMETHORPHAN HYDROBROMIDE 10 MG + CHLORPHENIRAMINE MALEATE 4 MG</t>
  </si>
  <si>
    <t>MAGNATUSS DX LOZENGES</t>
  </si>
  <si>
    <t>EACH LOZENGE CONTAINS:
DEXTROMETHORPHAN HYDROBROMIDE I.P…….5 MG
SUGAR BASE……………………………………………………Q.S.
COLOUR: QUINOLINE YELLOW</t>
  </si>
  <si>
    <t>MAGNATUSS-T COUGH SYRUP</t>
  </si>
  <si>
    <t>CODEINE PHOSPHATE 10 MG + TRIPROLIDINE HYDROCHLORIDE 1.25 MG</t>
  </si>
  <si>
    <t>MANKIND'S GUT OK DRY SYRUP</t>
  </si>
  <si>
    <t>EACH 5 ML OF THE RECONSTITUTED
STREPTOCOCCUS FAECALIS T-110 JPC....30 million
CLOSTRIDIUM BUTYRICUM TO-A............... 2 million
BACILLUS MESENTERICUS TO-A JPC........1 million
LACTIC ACID BACILLUS.........................50 million
(LACTOBACILLUS SPOROGENES)
EXCIPIENTS..........................................Q.S</t>
  </si>
  <si>
    <t>STREPTOCOCCUS FAECALIS T-110 JPC 30 million + CLOSTRIDIUM BUTYRICUM TO-A 2 million + BACILLUS MESENTERICUS TO-A JPC 1 million + LACTIC ACID BACILLUS 50 million (LACTOBACILLUS SPOROGENES)</t>
  </si>
  <si>
    <t>MANKIND'S GUT OK NF</t>
  </si>
  <si>
    <t>EACH CAPSULE CONTAINS;
STREPTOCOCCUS FAECALIS T-110 JPC....30 million
CLOSTRIDIUM BUTYRICUM TO-A............... 2 million
BACILLUS MESENTERICUS TO-A JPC.........1 million
LACTIC ACID BACILLUS............................50 million
(LACTOBACILLUS SPOROGENES)</t>
  </si>
  <si>
    <t>M/s Allianz Biosciences Pvt Ltd., R.S. No.55/1,2 &amp; 3, Whirlpool Road, Thiruvandar Koil, Puducherry-605102</t>
  </si>
  <si>
    <t>MANKIND'S GUT OK HP CAPSULES</t>
  </si>
  <si>
    <t>EACH CAPSULE CONTAINS:
STREPTOCOCCUS FAECALIS T-110 JPC…..60 MILLION
CLOSTRIDIUM BUTYRICUM TO-A…………..4 MILLION
BACILLUS MESENTERICUS TO-A JPC……….2 MILLION
LACTIC ACID BACILLUS……100 MILLION
(LACTOBACILLUS SPOROGENES)
COLOURS USED IN CAPSULE SHELLS: CARMOISINE, PONCEAU 4R, TITANIUM DIOXIDE IP</t>
  </si>
  <si>
    <t>STREPTOCOCCUS FAECALIS T-110 JPC 60 MILLION + CLOSTRIDIUM BUTYRICUM TO-A 4 MILLION + BACILLUS MESENTERICUS TO-A JPC 2 MILLION + LACTIC ACID BACILLUS 100 MILLION (LACTOBACILLUS SPOROGENES)</t>
  </si>
  <si>
    <t>MAXICAL-PLUS NEW</t>
  </si>
  <si>
    <t>EACH SERVING PER FILM COATED TABLET CONTAINS (APPROX.):
CORAL CALCIUM  EQ. TO ELEMENTAL CALCIUM…..250 MG
VITAMIN B, …………..2 MG
CHROMIUM PICOLINATE.........200 MG
FOLIC ACID……………..................100 MCG
VITAMIN K2- …………………………..45 MCG
VITAMIN D……………………………..400 I.U.</t>
  </si>
  <si>
    <t>ELEMENTAL CALCIUM 250 MG + VITAMIN B, 2 MG + CHROMIUM PICOLINATE 200 MG + FOLIC ACID 100 MCG + VITAMIN K2- 45 MCG + VITAMIN D 400 I.U.</t>
  </si>
  <si>
    <t>MENOHELP SYRUP</t>
  </si>
  <si>
    <t>EACH 5 ML SYRUP CONTAINS AQUEOUS  EXTRACTS OF:
SARACA INDICA (ASHOKA ) (BARK).........1800 MG
HONEY (SAHAD)......................................500 MG
SYMPLOCOS RACEMOSA (LODHRA)(BARK)................250 MG
WOODFORDIA FRUTICOSA (DHATKI PUSHPA)(FLOWER).......140 MG
EMBLICA OFFICINALIS (AMLA) (FRUIT)............................20 MG
TERMINALIA BELERICA (VIBHEETAKI) (FRUIT)...............20 MG
ZINGIBER OFFICINALE(SUNTHI) (RHIZOME)...................20 MG
TERMINALIA CHEBULA (HARITAKI) (FRUIT)......................20 MG
MANGIFERA INDICA (AMRASTHI) (MAJJA).....................20 MG
CYPERUS ROTUNDUS (MUSTAKA) (ROOT)..................20 MG
PTEROCARPUS SANTALINUS (RAKT CHANDAN) (WOODS)......20 MG
CUMINUM CYMINUM(JEERA SAFED) (FRUITS).........................10 MG
BERBERIS ARISTATA (DARU HALDI) (ROOT/STEM)..................10 MG
ADHATODA VASICA (VASAKA ) (LEAVES)......................10 MG
PIPER LONGUM (PIPPALI) (FRUIT)............................10 MG
NYMPHAEA STELLATA (NEEL KAMAL) (PETAL )...............10 MG
SUGAR................................................Q.S
EXCIPIENTS...............................................Q.S
REF. BHAV PRAKASH</t>
  </si>
  <si>
    <t>SARACA INDICA (ASHOKA ) (BARK) 1800 MG + HONEY (SAHAD) 500 MG + SYMPLOCOS RACEMOSA (LODHRA)(BARK) 250 MG + WOODFORDIA FRUTICOSA (DHATKI PUSHPA)(FLOWER) 140 MG + EMBLICA OFFICINALIS (AMLA) (FRUIT) 20 MG + TERMINALIA BELERICA (VIBHEETAKI) (FRUIT) 20 MG + ZINGIBER OFFICINALE(SUNTHI) (RHIZOME) 20 MG + TERMINALIA CHEBULA (HARITAKI) (FRUIT) 20 MG + MANGIFERA INDICA (AMRASTHI) (MAJJA) 20 MG + CYPERUS ROTUNDUS (MUSTAKA) (ROOT) 20 MG + PTEROCARPUS SANTALINUS (RAKT CHANDAN) (WOODS) 20 MG + CUMINUM CYMINUM(JEERA SAFED) (FRUITS) 10 MG + BERBERIS ARISTATA (DARU HALDI) (ROOT/STEM) 10 MG + ADHATODA VASICA (VASAKA ) (LEAVES) 10 MG + PIPER LONGUM (PIPPALI) (FRUIT) 10 MG + NYMPHAEA STELLATA (NEEL KAMAL) (PETAL ) 10 MG</t>
  </si>
  <si>
    <t>MENOHELP PLUS SYRUP</t>
  </si>
  <si>
    <t>EACH 5 ML SYRUP CONTAINS AQUEOUS  EXTRACTS OF:
SARACA ASOCA (ASHOKA ) (STEM BARK).........1800 MG
BERBERIS ARISTATA (DARU HALDI) (STEM)................250 MG
TRIGONELLA FOENUM GRAECUM (METHI) (SEED)...........70 MG
TRIBULUS TERRESTRIS (GOKHRU) (FRUIT)...............62.5 MG
FOENICULUM VULGARE (SAUNG) (FRUIT)...............50 MG 
GLYCYRHIZA GLABRA (YASHTIMADHU) (ROOT).......25 MG
VITEX AGNUS-CASTUS (NIRGUNDI) (LEAF).............20 MG
SYMPLOCOS RACEMOSA (LODHRA)(STEM BARK).......20 MG
NARDOSTACHYS JATAMANSI (JATAMANSI) (RHIZOME).....10 MG
CYPERUS ROTUNDUS (MUSTA) (RHIZOME).........10 MG
BACOPA MONNIERI (BRAHMI) (WHOLE PLANT).....20 MG</t>
  </si>
  <si>
    <t>SARACA ASOCA (ASHOKA ) (STEM BARK) 1800 MG + BERBERIS ARISTATA (DARU HALDI) (STEM) 250 MG + TRIGONELLA FOENUM GRAECUM (METHI) (SEED) 70 MG + TRIBULUS TERRESTRIS (GOKHRU) (FRUIT) 62.5 MG + FOENICULUM VULGARE (SAUNG) (FRUIT) 50 MG + GLYCYRHIZA GLABRA (YASHTIMADHU) (ROOT) 25 MG + VITEX AGNUS-CASTUS (NIRGUNDI) (LEAF) 20 MG + SYMPLOCOS RACEMOSA (LODHRA)(STEM BARK) 20 MG + NARDOSTACHYS JATAMANSI (JATAMANSI) (RHIZOME) 10 MG + CYPERUS ROTUNDUS (MUSTA) (RHIZOME) 10 MG + BACOPA MONNIERI (BRAHMI) (WHOLE PLANT) 20 MG</t>
  </si>
  <si>
    <t>NOBEL COLD-NEW TABLET</t>
  </si>
  <si>
    <t>EACH FILM COATED TABLET CONTAINS:
PARACETAMOL IP......................................500 MG
PHENYLEPHRINE HYDROCHLORIDE IP.............5 MG
CAFFEINE(ANHYDROUS) IP...........................30 MG
DIPHENHYDRAMINE HYDROCHLORIDE IP .............25 MG
EXCIPIENTS...........................................Q.S</t>
  </si>
  <si>
    <t>PARACETAMOL 500 MG + PHENYLEPHRINE HYDROCHLORIDE 5 MG + CAFFEINE(ANHYDROUS) 30 MG + DIPHENHYDRAMINE HYDROCHLORIDE 25 MG</t>
  </si>
  <si>
    <t>NOBEL-COLD SUSP.</t>
  </si>
  <si>
    <t>EACH 5 ML CONTAINS :
PARACETAMOL IP …………….125 MG
PHENYLEPHRINE HYDROCHLORIDE IP …. 5 MG
CHLORPHENIRAMINE MALEATE IP …. 0.5 MG
SODIUM CITRATE IP …………………60 MG
MENTHOL IP................. 1 MG
FLAVOURED SYRUPY BASE …………………Q.S.</t>
  </si>
  <si>
    <t>PARACETAMOL 125 MG + PHENYLEPHRINE HYDROCHLORIDE 5 MG + CHLORPHENIRAMINE MALEATE 0.5 MG + SODIUM CITRATE 60 MG + MENTHOL 1 MG</t>
  </si>
  <si>
    <t>M/s Hema Laboratories Pvt. Ltd.,Plot No. : 29, Pharma City, Silaqui Indust. Area, Dehradun  -248011</t>
  </si>
  <si>
    <t>NOBEL-COLD RUB OINTMENT 20 GM</t>
  </si>
  <si>
    <t>EACH G CONTAINS:
NILGIRI TEL (EUCALYPTUS GLOBULUS-LEAVES OIL).................1.50% w/w
PUDINA SATVA (MENTHA PIPERITA- WHOLE PLANT)................1.00% w/w
KAPOOR (CINNAMOMUM CAMPHORA-WOOD EXTRACT)............6.00% w/w
WHITE SOFT PARAFFIN BASE.........................Q.S
PERMITTED EXCIPIENTS.................................Q.S</t>
  </si>
  <si>
    <t>NILGIRI TEL (EUCALYPTUS GLOBULUS-LEAVES OIL) 1.50% w/w + PUDINA SATVA (MENTHA PIPERITA- WHOLE PLANT) 1.00% w/w + KAPOOR (CINNAMOMUM CAMPHORA-WOOD EXTRACT) 6.00% w/w</t>
  </si>
  <si>
    <t>NOBEL-MD</t>
  </si>
  <si>
    <t>EACH UNCOATED DISPERSIBLE TABLET CONTAINS:
NIMESULIDE B.P......................................100 MG</t>
  </si>
  <si>
    <t>NIMESULIDE B.P 100 MG</t>
  </si>
  <si>
    <t>NORMATONE SYRUP (RF)</t>
  </si>
  <si>
    <t>EACH 5 ML CONTAINS:
CYPROHEPTADINE HYDROCHLORIDE  IP
EQ. TO ANHYDROUS CYPROHEPTADINE HCI.....2 MG
TRICHOLINE CITRATE...............................275 MG
SORBITOL SOLUTION (70%) IP......................2 GM
(NON CRYSTALLISING)
FLAVOURED SYRUPY BASE ....................Q.S</t>
  </si>
  <si>
    <t>ANHYDROUS CYPROHEPTADINE HCI 2 MG + TRICHOLINE CITRATE 275 MG + SORBITOL SOLUTION (70%) 2 GM (NON CRYSTALLISING)</t>
  </si>
  <si>
    <t>NUROKIND FORTE INJ</t>
  </si>
  <si>
    <t>EACH 2 ML AMPOULE CONTAINS:
MECOBALAMIN JP..........................1500 MCG
PYRIDOXINE HYDROCHLORIDE IP.........100 MG
NICOTINAMIDE IP..........................100 MG
BENZYL ALCOHOL IP.................2% V/V
(AS PRESERVATIVE)
WATER FOR INJECTION IP................Q.S</t>
  </si>
  <si>
    <t>MECOBALAMIN 1500 MCG + PYRIDOXINE HYDROCHLORIDE 100 MG + NICOTINAMIDE 100 MG + BENZYL ALCOHOL 2% V/V (AS PRESERVATIVE)</t>
  </si>
  <si>
    <t>NUROKIND FORTE Z TABLETS</t>
  </si>
  <si>
    <t>EACH FILM COATED TABLET CONTAINS:
ZINC SULPHATE MONOHYDRATE IP……61.8MG
MECOBALAMIN IP…….1500 MCG
PYRIDOXINE HYDROCHLORIDE IP……..3 MG
FOLIC ACID IP…………..1.5MG
NIACINAMIDE IP…………50MG
CHROMIUM…………50MCG
(AS CHROMIUM PICOLINATE USP)</t>
  </si>
  <si>
    <t>ZINC SULPHATE MONOHYDRATE  61.8MG + 
MECOBALAMIN 1500 MCG + PYRIDOXINE HYDROCHLORIDE 3 MG + FOLIC ACID 1.5MG + NIACINAMIDE 50MG + CHROMIUM 50MCG (AS CHROMIUM PICOLINATE USP)</t>
  </si>
  <si>
    <t>NUROKIND SYRUP</t>
  </si>
  <si>
    <t>EACH 15 ML (ONE TABLESPOONFUL) CONTAINS:
MECOBALAMIN.............................250MCG
VITAMIN B6 IP................................1.5 MG
NIACINAMIDE IP...........................45 MG
BIOTIN USP..............................300MCG
ZINC SULPHATE IP
EQ. TO ELEMENTAL ZINC.................7.5 MG
POTASSIUM LODIDE IP
EQ.TO ELEMENTAL LODINE.....................75 MCG
FERRIC AMMONIUM CITRATE IP
EQ. TO ELEMENTAL  IRON......................18MG
COPPER SULPHATE PENTAHYDRATE BP
EQ. TO ELEMENTAL COPPER...................0.45 MG
MANGANESE SULFATE MONOHYDRATE USP
EQ. TO ELEMENTAL MANGANESE .............1.0  MG
CHROMIC CHLORIDE USP
EQ. TO ELEMENTAL CHROMIUM.................25MCG
L-LYSINE MONOHYDROCHLORIDE USP........50MG
SODIUM SELENATE PENTAHYDRATE BP
EQ. TO ELEMENTAL SELENIUM.................40MCG
ABSOLUTE ALCOHOL IP......................5% V/V
FLAVOURED SYRUPY BASE......................Q.S.</t>
  </si>
  <si>
    <t>MECOBALAMIN 250MCG + VITAMIN B6 1.5 MG + NIACINAMIDE 45 MG + BIOTIN 300MCG + ELEMENTAL ZINC 7.5 MG + POTASSIUM LODIDE ELEMENTAL LODINE 75 MCG + ELEMENTAL IRON 18MG + ELEMENTAL COPPER 0.45 MG + ELEMENTAL MANGANESE 1.0  MG + CHROMIUM 25MCG + L-LYSINE MONOHYDROCHLORIDE 50MG + ELEMENTAL SELENIUM 40MCG + ABSOLUTE ALCOHOL 5% V/V</t>
  </si>
  <si>
    <t>RANIDOM-RD</t>
  </si>
  <si>
    <t>EACH ENTERIC COATED TABLET CONTAINS:
ESOMEPRAZOLE MAGNESIUM IP
EQ. TO ESOMEPRAZOLE............................20 MG
DOMPERIDONE BP.....................................15 MG</t>
  </si>
  <si>
    <t>ESOMEPRAZOLE 20 MG + DOMPERIDONE 15 MG</t>
  </si>
  <si>
    <t>RANIDOM-PD SYRUP</t>
  </si>
  <si>
    <t>EACH 5ML CONTAINS:
RANITIDINE HYDROCHLORIDE IP
EQUIVALENT TO RANITIDINE ..................75 MG
FLAVOURED SYRUPY BASE....................Q.S</t>
  </si>
  <si>
    <t>RANITIDINE 75 MG</t>
  </si>
  <si>
    <t>75 MG/ 5 ML</t>
  </si>
  <si>
    <t>RACIGYL-SB SACHET</t>
  </si>
  <si>
    <t>EACH SACHET (1G) CONTAINS:
RACECADOTRIL IP............................15 MG
SACCHAROMYCES BOULARDII
(LYOPHILIZED).......................................2.5 BILLION
EXCIPIENTS................................Q.S</t>
  </si>
  <si>
    <t>RACECADOTRIL 15 MG + SACCHAROMYCES BOULARDII
(LYOPHILIZED) 2.5 BILLION</t>
  </si>
  <si>
    <t>SOMIFIZ-L</t>
  </si>
  <si>
    <t>EACH HARD GELATIN CAPSULE CONTAINS:
ESOMEPRAZOLE MAGNESIUM TRIHYDRATE IP
EQUIVALENT TO ESOMEPRAZOLE...........40 MG
(AS ENTERIC COATED PELLETS)
LEVOSULPIRIDE............................75 MG
(AS SUSTAINED RELEASE TABLET)
EXCIPIENTS......................................................Q.S</t>
  </si>
  <si>
    <t>ESOMEPRAZOLE 40 MG (AS ENTERIC COATED PELLETS) + LEVOSULPIRIDE 75 MG (AS SUSTAINED RELEASE TABLET)</t>
  </si>
  <si>
    <t>SOMIFIZ</t>
  </si>
  <si>
    <t>EACH ENTERIC COATED TABLET CONTAINS:
ESOMEPRAZOLE MAGNESIUM TRIHYDRATE IP
EQ. TO ESOMEPRAZOLE....................40 MG
EXCIPIENTS.....................................Q.S</t>
  </si>
  <si>
    <t>ESOMEPRAZOLE 40 MG</t>
  </si>
  <si>
    <t>TEDYKOFF-LX COUGH LINCTUS</t>
  </si>
  <si>
    <t>EACH 5 ML CONTAINS:
PROMETHAZINE
HYDROCHLORIDE IP……………………….1.5 MG
PHOLCODINE IP……………………………….1.5 MG
FLAVOURED SYRUPY BASE……………..Q.S.</t>
  </si>
  <si>
    <t xml:space="preserve">TOTALAX NF SYRUP </t>
  </si>
  <si>
    <t>EACH 15 ML CONTAINS:
LACTITOL MONOHYDRATE USP.................10 G
BENZOIC ACID IP..........................0.0225 G
(AS PRESERVATIVE)
AQUEOUS BASE………….......................Q.S</t>
  </si>
  <si>
    <t>LACTITOL MONOHYDRATE 10 G + BENZOIC ACID 0.0225 G (AS PRESERVATIVE)</t>
  </si>
  <si>
    <t>TRAMADIN PLUS</t>
  </si>
  <si>
    <t>EACH UNCOATED TABLET CONTAINS:
TRAMADOL HYDROCHLORIDE I.P.............37.5 MG
ACETAMINOPHEN I.P...............................325 MG</t>
  </si>
  <si>
    <t>TRAMADOL HYDROCHLORIDE 37.5 MG + ACETAMINOPHEN 325 MG</t>
  </si>
  <si>
    <t>TRAMADIN-100 INJ</t>
  </si>
  <si>
    <t>EACH 2 ML AMPOULE CONTAINS :
TRAMADOL HYDROCHLORIDE BP..............100 MG
WATER FOR INJECTION IP.......................Q.S</t>
  </si>
  <si>
    <t>TRAMADOL HYDROCHLORIDE 100 MG</t>
  </si>
  <si>
    <t>100 MG/ 2 ML</t>
  </si>
  <si>
    <t>VOLAPRIDE-PLUS</t>
  </si>
  <si>
    <t>EACH HARD GELATIN CAPSULE CONTAINS:
PANTOPRAZOLE SODIUM IP
EQ. TO PANTOPRAZOLE......................40 MG
(AS TWO GASTRO-RESISTANT TABLET
EACH CONTAINING 
PANTOPRAZOLE............20 MG
COLOUR:TARTRAZINE AND TITANIUM DIOXIDE IP)
LEVOSULPIRIDE..................................75 MG
(AS TWO UNCOATED SUSTAINED RELEASE TABLET EACH
CONTAINING LEVOSULPIRIDE 37.5 MG)</t>
  </si>
  <si>
    <t>PANTOPRAZOLE 40 MG + (AS TWO GASTRO-RESISTANT TABLET PANTOPRAZOLE 20 MG + COLOUR:TARTRAZINE AND TITANIUM DIOXIDE IP) LEVOSULPIRIDE 75 MG
(AS TWO UNCOATED SUSTAINED RELEASE TABLET EACH
CONTAINING LEVOSULPIRIDE 37.5 MG)</t>
  </si>
  <si>
    <t>VOMIVERT</t>
  </si>
  <si>
    <t>EACH UNCOATED MOUTH DISSOLVING TABLET CONTAINS:
CINNARIZINE IP.........................20 MG
DIMENHYDRINATE BP..............40 MG</t>
  </si>
  <si>
    <t>CINNARIZINE 20 MG + DIMENHYDRINATE 40 MG</t>
  </si>
  <si>
    <t>NUROKIND-NF DROPS</t>
  </si>
  <si>
    <t>EACH SERVING PER ML CONTAINS (APPROX):
VITAMIN C …………………..40 MG
LYSINE ……………………….10 MG
VITAMIN B3 ……………………8.0 MG
VITAMIN E …………………………..6.0 MG
ZINC ………………………………….5.0 MG
FLAXSEED OIL ………………….3.0 MG
VITAMIN B5 ………………………………1.8 MG
VITAMIN B6 …………………………0.9 MG
VITAMIN B2 ..........................0.6 MG
VITAMIN B1 ......................0.5 MG
VITAMIN A ...........................0.4 MG
VITAMIN D .........................10 MCG
BIOTIN .................................8 MCG
VITAMIN B12 .......................1 MCG
INGREDIENTS :PURIFIED WATER, SUCROSE, STABILIZER {INS 420 (i)}, L-ASCORBIC ACID, THICKENER (INS 422), ZINC GLUCONATE, EMULSIFIER (INS 1503), CO-SOLVENT (INS 1520), L-LYSINE HYDROCHLORIDE, NICOTINAMIDE, DI-ALPHA TOCOPHERYL ACETATE, FLAXSEED OIL, PRESERVATIVE (INS 211), SWEETENER (INS 960), D-PANTHENOL, PYRIDOXINE HYDROXIDE, RIBOFLAVIN SODIUM PHOSPHATE, THIAMINE HYDROCHLORIDE, RETINYL PALMITATE, SEQUESTRANT (INS 386) ANTIOXIDANT (INS 320), ERGOCALCIFEROL, D-BIOTIN, CYANOCOBALAMIN</t>
  </si>
  <si>
    <t>VITAMIN C 40 MG + LYSINE 10 MG + VITAMIN B3 8.0 MG + VITAMIN E 6.0 MG + ZINC 5.0 MG + 
FLAXSEED OIL 3.0 MG + VITAMIN B5 1.8 MG + VITAMIN B6 0.9 MG + VITAMIN B2 0.6 MG + VITAMIN B1 0.5 MG + VITAMIN A 0.4 MG + VITAMIN D 10 MCG + BIOTIN 8 MCG + VITAMIN B12 1 MCG</t>
  </si>
  <si>
    <t>PROTIJUMP ADVANCE POWDER</t>
  </si>
  <si>
    <t xml:space="preserve">PER 100 G CONTAINS:
ENERGY..................................370.8 KCAL
PROTEIN.....................................20 G
CARBOHYDRATE...........................70 G
SUGAR...............................................36.97 G
FAT..........................................................1.2 G
VITAMIN C ......................................83 MG
VITAMIN B3 ...................................12 MG
VITAMIN B5 ..................................7 MG
VITAMIN B2 ................................3.66 MG
VITAMIN B1 .................................3.3 MG
VITAMIN B6 .................................2 MG
VITAMIN A ...................................1833 MCG
FOLIC ACID .....................................200 MCG
VITAMIN D ....................................10 MCG
VITAMIN B12 ................................1 MCG
CALCIUM .........................................1330 MG
IRON ................................................30 MG
COPPER ........................................2 MG
MANGANESE .................................2 MG
</t>
  </si>
  <si>
    <t xml:space="preserve">ENERGY 370.8 KCAL + PROTEIN 20 G + CARBOHYDRATE 70 G + SUGAR 36.97 G + FAT 1.2 G + VITAMIN C 83 MG + VITAMIN B3 12 MG + VITAMIN B5 7 MG + VITAMIN B2 3.66 MG + VITAMIN B1 3.3 MG + VITAMIN B6 2 MG + VITAMIN A 1833 MCG + FOLIC ACID 200 MCG + VITAMIN D 10 MCG + VITAMIN B12 1 MCG + CALCIUM 1330 MG + IRON 30 MG + COPPER 2 MG + MANGANESE 2 MG
</t>
  </si>
  <si>
    <t>UBINEXT LC TABLET</t>
  </si>
  <si>
    <t>EACH FILM COATED TABLET CONTAINS:
UBIDECARENONE
(COENZYME Q10 ) ....................................30 MG
L-CARNITINE L-TARTRATE
EQ. TO L-CARNITINE...............500 MG
CONTAINS PERMITTED SYNTHETIC FOODS COLOUR(104)
INGREDIENTS: UBIDECARENONE,L-CARNITINE L-TARTRATE,
HYDROXY PROPYL METHYL CELLULOSE,TALC,MICROCRYSTALLINE
CELLULOSE,POVIDONE,SODIUM STARCH GLYCOLATE,COLLOIDAL
SILICON DIOXIDE,MAGNESIUM STEARATE, TRIACETIN.</t>
  </si>
  <si>
    <t>UBIDECARENONE (COENZYME Q10 ) 30 MG + L-CARNITINE 500 MG</t>
  </si>
  <si>
    <t>UBINEXT PLUS SACHET</t>
  </si>
  <si>
    <t>BULKING AGENT (INS 421), L-CARNITINE  L-TARTRATE, CO-ENZYME Q10 ZINC SULPHATE MONOHYDRATE, SWEETENER (INS 955), LYCOPENE POWDER 10%, GLIDANT (INS 551), ASTAXANTHIN POWDER 2%, THICKNER (INS-462) &amp; FOLIC ACID (N-PTEROYL-I-GLUTAMIC ACID)</t>
  </si>
  <si>
    <t>COMFYPEN REUSABLE INSULIN PEN</t>
  </si>
  <si>
    <t>EACH PACK CONTAINS:
1 U COMFYPEN
1 U PEN CASE
1 U USER GUIDE
1 U WARRANTY CARD</t>
  </si>
  <si>
    <t>1 U COMFYPEN + 
1 U PEN CASE + 
1 U USER GUIDE +
1 U WARRANTY CARD</t>
  </si>
  <si>
    <t>Nobelis Mankind (A Division of Mankind Pharma Ltd.)</t>
  </si>
  <si>
    <t>D3 KIND CAPSULE</t>
  </si>
  <si>
    <t>EACH SOFT GELATIN CAPSULE CONTAINS :
CHOLECALCIFEROL IP ………………1500 MCG
(60000 IU)
(AS CHOLECALCIFEROL SOLUTION USP)
EXCIPIENTS………………………………Q.S.
APPROPRIATE OVERAGES OF VITAMIN IS
ADDED.</t>
  </si>
  <si>
    <t>CHOLECALCIFEROL IP  1500 MCG (60000 IU)</t>
  </si>
  <si>
    <t>1500 MCG(60000 IU)</t>
  </si>
  <si>
    <t>NOBEGLAR CARTRIDGE</t>
  </si>
  <si>
    <t>EACH ML CONTAINS:
INSULIN GLARGINE IP (rDNA ORIGIN)…….100 I.U.
M-CRESOL USP (AS PRESERVATIVE)…..2.7 MG
EXCIPIENTS………..Q.S.</t>
  </si>
  <si>
    <t>INSULIN GLARGINE IP (rDNA ORIGIN) 100 I.U. + 
M-CRESOL USP (AS PRESERVATIVE) 2.7 MG</t>
  </si>
  <si>
    <t>NOBEGLAR-UNO PREFILLED PEN</t>
  </si>
  <si>
    <t>EACH ML OF PREFILLED PEN CONTAINS:
INSULIN GLARGINE IP (rDNA ORIGIN)…….100 I.U.
M-CRESOL USP (AS PRESERVATIVE)…..2.7 MG
EXCIPIENTS………..Q.S.</t>
  </si>
  <si>
    <t>NOBEGLAR INJ.</t>
  </si>
  <si>
    <t>NOBEGLIZ-60 XR TAB</t>
  </si>
  <si>
    <t>EACH UNCOATED EXTENDED RELEASE TAB. CONTAINS
GLICLAZIDE I.P.…………………..         60 MG
EXCIPIENTS ……………………….Q.S.</t>
  </si>
  <si>
    <t>GLICLAZIDE I.P. 60 MG</t>
  </si>
  <si>
    <t>NOBEGLIZ-M XR TAB</t>
  </si>
  <si>
    <t>EACH UNCOATED BILAYERED SUSTAINED RELEASE TABLET CONTAINS:
GLICLAZIDE IP…………………………….60 MG
(AS SUSTAINED RELEASE FROM)
METFORMIN HYDROCHIORIDE IP……………….500 MG
(AS SUSTAINED RELEASE FROM)</t>
  </si>
  <si>
    <t>GLICLAZIDE IP 60 MG
(AS SUSTAINED RELEASE FROM) + 
METFORMIN HYDROCHIORIDE IP 500 MG</t>
  </si>
  <si>
    <t>PIOHOPE-7.5</t>
  </si>
  <si>
    <t>EACH UNCOATED TABLET CONTAINS:
PIOGLITAZONE HYDROCHLORIDE IP
EG. TO PIOGLITAZONE………………..7.5 MG
EXCIPIENTS………………………….Q.S.</t>
  </si>
  <si>
    <t>PIOGLITAZONE 7.5 MG</t>
  </si>
  <si>
    <t>7.5 MG</t>
  </si>
  <si>
    <t>PIOHOPE-15</t>
  </si>
  <si>
    <t>EACH UNCOATED TABLET CONTAINS:
PIOGLITAZONE HYDROCHLORIDE IP
EG. TO PIOGLITAZONE………………..15 MG
EXCIPIENTS………………………….Q.S.</t>
  </si>
  <si>
    <t>PIOHOPE-30</t>
  </si>
  <si>
    <t>EACH UNCOATED TABLET CONTAINS:
PIOGLITAZONE HYDROCHLORIDE IP
EG. TO PIOGLITAZONE………………..30 MG
EXCIPIENTS………………………….Q.S.</t>
  </si>
  <si>
    <t>PIOHOPE-M 15</t>
  </si>
  <si>
    <t>EACH FILM COATED TABLET CONTAINS:
PIOGLITAZONE HYDROCHLORIDE IP
EG. TO PIOGLITAZONE………………..15 MG
METFORMIN HYDROCHLORIDE IP……..500 MG
(IN SUSTAINED RELEASE FORM)
COLOUR : TITANIUM DIOXIDE IP
EXCIPIENTS………………………….Q.S.</t>
  </si>
  <si>
    <t>PIOGLITAZONE 15 MG + 
METFORMIN HYDROCHLORIDE IP 500 MG
(IN SUSTAINED RELEASE FORM)</t>
  </si>
  <si>
    <t>STATPURE-F 10 TAB</t>
  </si>
  <si>
    <t>EACH FILM COATED TABLET CONTAINS:
ROSUVASTATIN CALCIUM IP
EQ. TO ROSUVASTATIN…………………….10 MG
FENOFIBRATE IP (NANO PARTICAL)……………145 MG
EXCIPIENTS……………………………….Q.S.</t>
  </si>
  <si>
    <t>ROSUVASTATIN 10 MG + 
FENOFIBRATE IP (NANO PARTICAL) 145 MG</t>
  </si>
  <si>
    <t>STATPURE-F 20 TAB</t>
  </si>
  <si>
    <t>EACH FILM COATED TABLET CONTAINS:
ROSUVASTATIN CALCIUM IP
EQ. TO ROSUVASTATIN…………………….20 MG
FENOFIBRATE IP (NANO PARTICAL)……………145 MG
EXCIPIENTS……………………………….Q.S.</t>
  </si>
  <si>
    <t>ROSUVASTATIN 20 MG + 
FENOFIBRATE IP (NANO PARTICAL) 145 MG</t>
  </si>
  <si>
    <t>VOGLISTAR GM1</t>
  </si>
  <si>
    <t>EACH UNCOATED BILAYERED TABLET CONTAINS :
VOGLIBOSE ………………………………..0.2 MG
GLIMEPIRIDE IP …………………..………….1 MG
METFORMIN HYDROCHLORIDE IP ………..500 MG
(AS EXTENDED RELEASE)
EXCIPIENTS ………………………………Q.S.</t>
  </si>
  <si>
    <t>VOGLIBOSE  0.2 MG + 
GLIMEPIRIDE IP  1 MG + 
METFORMIN HYDROCHLORIDE IP 500 MG
(AS EXTENDED RELEASE)</t>
  </si>
  <si>
    <t>VOGLISTAR GM2</t>
  </si>
  <si>
    <t>EACH UNCOATED BILAYERED TABLET CONTAINS :
VOGLIBOSE IP ………………...…………….0.2 MG
GLIMEPIRIDE IP …………………..…………….2 MG
METFORMIN HYDROCHLORIDE IP ………..500 MG
(AS EXTENDED RELEASE)
EXCIPIENTS ………………………………Q.S.</t>
  </si>
  <si>
    <t>VOGLIBOSE  0.2 MG + 
GLIMEPIRIDE IP  2 MG + 
METFORMIN HYDROCHLORIDE IP 500 MG
(AS EXTENDED RELEASE)</t>
  </si>
  <si>
    <t>VOGLISTAR GM2 FORTE</t>
  </si>
  <si>
    <t>EACH UNCOATED BILAYERED TABLET CONTAINS :
VOGLIBOSE IP ………………...…………….0.2 MG
GLIMEPIRIDE IP …………………..…………….2 MG
METFORMIN HYDROCHLORIDE IP ………..1000 MG
(AS EXTENDED RELEASE)
EXCIPIENTS ………………………………Q.S.</t>
  </si>
  <si>
    <t>VOGLIBOSE  0.2 MG + 
GLIMEPIRIDE IP  2 MG + 
METFORMIN HYDROCHLORIDE IP 1000 MG
(AS EXTENDED RELEASE)</t>
  </si>
  <si>
    <t>VOGLISTAR MD 0.2</t>
  </si>
  <si>
    <t>EACH MOUTH DISSOLVING UNCOATED TABLET CONTAINS :
VOGLIBOSE IP ……………………..0.2 MG
EXCIPIENTS …..…………………………Q.S.</t>
  </si>
  <si>
    <t>VOGLIBOSE  0.2 MG</t>
  </si>
  <si>
    <t>0.2 MG</t>
  </si>
  <si>
    <t>VOGLISTAR MD 0.3</t>
  </si>
  <si>
    <t>EACH MOUTH DISSOLVING UNCOATED TABLET CONTAINS :
VOGLIBOSE IP ……………………..0.3 MG
EXCIPIENTS …..…………………………Q.S.</t>
  </si>
  <si>
    <t>VOGLIBOSE  0.3 MG</t>
  </si>
  <si>
    <t>0.3 MG</t>
  </si>
  <si>
    <t>VOGLISTAR-PLUS 0.2</t>
  </si>
  <si>
    <t>EACH UNCOATED BILAYERED TABLET CONTAINS :
VOGLIBOSE IP ……………………………………0.2 MG
METFORMIN HYDROCHLORIDE IP …………500 MG
EXCIPIENTS …………………………………..Q.S.</t>
  </si>
  <si>
    <t>VOGLIBOSE  0.2 MG + 
METFORMIN HYDROCHLORIDE IP 500 MG</t>
  </si>
  <si>
    <t>VOGLISTAR-PLUS 0.3</t>
  </si>
  <si>
    <t>EACH UNCOATED BILAYERED TABLET CONTAINS :
VOGLIBOSE IP ……………………………………0.3 MG
METFORMIN HYDROCHLORIDE IP …………500 MG
EXCIPIENTS …………………………………..Q.S.</t>
  </si>
  <si>
    <t>VOGLIBOSE  0.3 MG + 
METFORMIN HYDROCHLORIDE IP 500 MG</t>
  </si>
  <si>
    <t>ZUKANORM-50</t>
  </si>
  <si>
    <t>EACH UNCOATED TABLET CONTAINS:
VILDAGLIPTIN…………….50 MG
EXCIPIENTS…………………..Q.S.</t>
  </si>
  <si>
    <t>VILDAGLIPTIN 50 MG</t>
  </si>
  <si>
    <t>ZUKANORM-100 SR TABLETS</t>
  </si>
  <si>
    <t>ZUKANORM D-5 TABLETS</t>
  </si>
  <si>
    <t>DAPAGLIFLOZIN 5 MG + 
VILDAGLIPTIN IP 100 MG
(SUSTAINED RELEASE)</t>
  </si>
  <si>
    <t>ZUKANORM D-10 TABLETS</t>
  </si>
  <si>
    <t>DAPAGLIFLOZIN 10 MG + 
VILDAGLIPTIN IP 100 MG
(SUSTAINED RELEASE)</t>
  </si>
  <si>
    <t>ZUKANORM-DM 500</t>
  </si>
  <si>
    <t>EACH UNCOATED BILAYERED TABLET CONTAINS:
VILDAGLIPTIN IP………100 MG
(AS SUSTAINED RELEASE)
DAPAGLIFLOZIN PROPANEDIOL MONOHYDRATE EQ. TO DAPAGLIFLOZIN……….10 MG
METFORMIN HYDROCHLORIDE IP….500 MG
(AS SUSTAINED RELEASE)
EXCIPIENTS……..Q.S.</t>
  </si>
  <si>
    <t>VILDAGLIPTIN IP 100 MG
(AS SUSTAINED RELEASE) + 
DAPAGLIFLOZIN 10 MG + 
METFORMIN HYDROCHLORIDE IP 500 MG
(AS SUSTAINED RELEASE)</t>
  </si>
  <si>
    <t>ZUKANORM-DM 1000</t>
  </si>
  <si>
    <t>EACH UNCOATED BILAYERED TABLET CONTAINS:
VILDAGLIPTIN IP………100 MG
(AS SUSTAINED RELEASE)
DAPAGLIFLOZIN PROPANEDIOL MONOHYDRATE EQ. TO DAPAGLIFLOZIN……….10 MG
METFORMIN HYDROCHLORIDE IP….1000 MG
(AS SUSTAINED RELEASE)
EXCIPIENTS……..Q.S.</t>
  </si>
  <si>
    <t>VILDAGLIPTIN IP 100 MG
(AS SUSTAINED RELEASE) + 
DAPAGLIFLOZIN 10 MG + 
METFORMIN HYDROCHLORIDE IP 1000 MG
(AS SUSTAINED RELEASE)</t>
  </si>
  <si>
    <t>ZUKANORM-M 500</t>
  </si>
  <si>
    <t>EACH FILM COATED TABLET CONTAINS:
VILDAGLIPTIN……………….50 MG
METFORMIN HYDROCHLORIDE IP…………. 500 MG
EXCIPIENTS…………………..Q.S.</t>
  </si>
  <si>
    <t>VILDAGLIPTIN IP 50 MG + 
METFORMIN HYDROCHLORIDE IP 500 MG</t>
  </si>
  <si>
    <t>ZUKANORM-M 1000</t>
  </si>
  <si>
    <t>EACH FILM COATED TABLET CONTAINS:
VILDAGLIPTIN……………….50 MG
METFORMIN HYDROCHLORIDE IP………….1000 MG
EXCIPIENTS…………………..Q.S.</t>
  </si>
  <si>
    <t>VILDAGLIPTIN IP 50 MG + 
METFORMIN HYDROCHLORIDE IP 1000 MG</t>
  </si>
  <si>
    <t>ZUKANORM-M SR 500</t>
  </si>
  <si>
    <t>EACH FILM COATED BILAYERED TABLET CONTAINS:
VILDAGLIPTIN IP……100 MG
(AS SUSTAINED RELEASE)
METFORMIN HYDROCHLORIDE IP…….500 MG
(AS SUSTAINED RELEASE)</t>
  </si>
  <si>
    <t>VILDAGLIPTIN IP 100 MG
(AS SUSTAINED RELEASE) + 
METFORMIN HYDROCHLORIDE IP 500 MG
(AS SUSTAINED RELEASE)</t>
  </si>
  <si>
    <t>ZUKANORM-M SR 1000</t>
  </si>
  <si>
    <t>EACH FILM COATED BILAYERED TABLET CONTAINS:
VILDAGLIPTIN IP……100 MG
(AS SUSTAINED RELEASE)
METFORMIN HYDROCHLORIDE IP…….1000 MG
(AS SUSTAINED RELEASE)</t>
  </si>
  <si>
    <t>VILDAGLIPTIN IP 100 MG
(AS SUSTAINED RELEASE) + 
METFORMIN HYDROCHLORIDE IP 1000 MG
(AS SUSTAINED RELEASE)</t>
  </si>
  <si>
    <t>CILAHEART-5</t>
  </si>
  <si>
    <t>EACH FILM COATED TABLET CONTAINS :
CILNIDIPINE ……………………………………….5 MG
EXCIPIENTS ………………………………………Q.S.</t>
  </si>
  <si>
    <t>CILNIDIPINE 5 MG</t>
  </si>
  <si>
    <t>Curis Mankind (A Division of Mankind Pharma Ltd.)</t>
  </si>
  <si>
    <t>CILAHEART-10</t>
  </si>
  <si>
    <t>EACH FILM COATED TABLET CONTAINS :
CILNIDIPINE ………………………………………10 MG
EXCIPIENTS …………………………………………Q.S.</t>
  </si>
  <si>
    <t>CILNIDIPINE 10 MG</t>
  </si>
  <si>
    <t>CILAHEART-20</t>
  </si>
  <si>
    <t>EACH FILM COATED TABLET CONTAINS :
CILNIDIPINE ………………………………………20 MG
EXCIPIENTS …………………………………………Q.S.</t>
  </si>
  <si>
    <t>CILNIDIPINE 20 MG</t>
  </si>
  <si>
    <t>CILAHEART-T</t>
  </si>
  <si>
    <t>EACH FILM COATED TABLET CONTAINS :
CILNIDIPINE …………………………………….10 MG
TELMISARTAN IP ……………………….40 MG
EXCIPIENTS ………………………………………….Q.S.</t>
  </si>
  <si>
    <t>CILNIDIPINE 10 MG + TELMISARTAN IP 40 MG</t>
  </si>
  <si>
    <t>CILAHEART-TC 6.25</t>
  </si>
  <si>
    <t>EACH FILM COATED TABLET CONTAINS:
CILNIDIPINE IP……….…..10 MG
TELMISARTAN IP………....40 MG
CHLORTHALIDONE IP…....6.25 MG
EXCIPIENTS……………….Q.S.</t>
  </si>
  <si>
    <t>CILNIDIPINE 10 MG + TELMISARTAN IP 40 MG + CHLORTHALIDONE IP 6.25 MG</t>
  </si>
  <si>
    <t>CILAHEART-TC 12.5</t>
  </si>
  <si>
    <t>EACH FILM COATED TABLET CONTAINS:
CILNIDIPINE IP……….…..10 MG
TELMISARTAN IP………....40 MG
CHLORTHALIDONE IP…....12.5 MG</t>
  </si>
  <si>
    <t>CILNIDIPINE 10 MG + TELMISARTAN IP 40 MG + CHLORTHALIDONE IP 12.5 MG</t>
  </si>
  <si>
    <t xml:space="preserve">CLOPIKIND </t>
  </si>
  <si>
    <t>EACH FILM COATED TAB. CONTAINS:
CLOPIDOGREL BISULFATE IP
EQUIVALENT TO CLOPIDOGREL ……………..75 MG</t>
  </si>
  <si>
    <t>CLOPIDOGREL 75 MG</t>
  </si>
  <si>
    <t>CLOPIKIND-AS 75</t>
  </si>
  <si>
    <t>EACH HARD GELATIIN CAPSULE CONTAINS :
CLOPIDOGREL BISULFATE IP
EQUIVALENT TO CLOPIDOGREL …………..75 MG
ASPIRIN (AS PELLETS) IP ……………………75 MG
(AS ENTERIC COATED TABLET)</t>
  </si>
  <si>
    <t>CLOPIDOGREL 75 MG + 
ASPIRIN (AS PELLETS) IP 75 MG</t>
  </si>
  <si>
    <t>NEPTAZ-50 TABLETS</t>
  </si>
  <si>
    <t>NEPTAZ-100 TABLETS</t>
  </si>
  <si>
    <t>NEPTAZ-200 TABLETS</t>
  </si>
  <si>
    <t>NITROHART</t>
  </si>
  <si>
    <t>EACH FILM COATED TABLET CONTAINS:
DILUTED ISOSORBIDE DINITRATE IP
EQUIVALENT TO ISOSORBIDE DINITRATE………20 MG
HYDRALAZINE HYDEOCHLORIDE IP……………37.5 MG</t>
  </si>
  <si>
    <t>ISOSORBIDE DINITRATE 20 MG + 
HYDRALAZINE HYDEOCHLORIDE IP 37.5 MG</t>
  </si>
  <si>
    <t>NITROLONG-2.6</t>
  </si>
  <si>
    <t>EACH UNCOATED TABLET CONTAINS :
DILUTED NITROGLYCERIN IP
EQ. TO NITROGLYCERIN ……………..2.6 MG
(IN CONTROLLED RELEASE FORM)</t>
  </si>
  <si>
    <t>NITROGLYCERIN  2.6 MG</t>
  </si>
  <si>
    <t>2.6 MG</t>
  </si>
  <si>
    <t>NITROLONG-6.4</t>
  </si>
  <si>
    <t>EACH UNCOATED TABLET CONTAINS :
DILUTED NITROGLYCERIN IP
EQ. TO NITROGLYCERIN ……………..6.4 MG
(IN CONTROLLED RELEASE FORM)</t>
  </si>
  <si>
    <t>NITROGLYCERIN  6.4 MG</t>
  </si>
  <si>
    <t>6.4 MG</t>
  </si>
  <si>
    <t>REBLESS-2.5</t>
  </si>
  <si>
    <t>EACH FILM COATED TABLET CONTAINS :
RIVAROXABAN ……2.5 MG
EXCIPIENTS ………….Q.S.</t>
  </si>
  <si>
    <t>REBLESS-10</t>
  </si>
  <si>
    <t>EACH FILM COATED TABLET CONTAINS :
RIVAROXABAN ……10 MG
EXCIPIENTS ………….Q.S.</t>
  </si>
  <si>
    <t>REBLESS-15</t>
  </si>
  <si>
    <t>EACH FILM COATED TABLET CONTAINS :
RIVAROXABAN ……15 MG
EXCIPIENTS ………….Q.S.</t>
  </si>
  <si>
    <t>REBLESS-20</t>
  </si>
  <si>
    <t>EACH FILM COATED TABLET CONTAINS :
RIVAROXABAN ……20 MG
EXCIPIENTS ………….Q.S.</t>
  </si>
  <si>
    <t>STATPURE-A 10/75</t>
  </si>
  <si>
    <t xml:space="preserve">EACH HARD GELATIN CAPSULE CONTAINS:
ROSUVASTATIN CALCIUM IP
EQ. TO ROSUVASTATIN………..10 MG
ASPIRIN IP…………………………….75 MG
</t>
  </si>
  <si>
    <t>ROSUVASTATIN 10 MG + ASPIRIN IP 75 MG</t>
  </si>
  <si>
    <t>STATPURE-A 20/75</t>
  </si>
  <si>
    <t xml:space="preserve">EACH HARD GELATIN CAPSULE CONTAINS:
ROSUVASTATIN CALCIUM IP
EQ. TO ROSUVASTATIN………..20 MG
ASPIRIN IP…………………………….75 MG
EXCIPIENTS……………………………Q.S.
</t>
  </si>
  <si>
    <t>ROSUVASTATIN 20 MG + ASPIRIN IP 75 MG</t>
  </si>
  <si>
    <t>STATPURE-CV-10</t>
  </si>
  <si>
    <t>EACH HARD GELATIN CAPSULE CONTAINS:
ROSUVASTATIN CALCIUM IP
EQ. TO ROSUVASTATIN…………..10 MG
( AS LIGHT ORANGE COLOURED FILM COATED ROSUVASTATIN TABLETS IP)
CLOPIDOGREL BISULPHATE IP
EQ. TO CLOPIDOGREL …………..75 MG</t>
  </si>
  <si>
    <t>ROSUVASTATIN 10 MG + 
CLOPIDOGREL  75 MG</t>
  </si>
  <si>
    <t>STATPURE-CV 20</t>
  </si>
  <si>
    <t>EACH HARD GELATIN CAPSULE CONTAINS:
ROSUVASTATIN CALCIUM IP
EQ. TO RESUVASTATIN…………..20 MG
( AS LIGHT ORANGE COLOURED FILM COATED ROSUVASTATIN TABLETS IP)
CLOPIDOGREL BISULPHATE IP
EQ. TO CLOPIDOGREL …………..75 MG</t>
  </si>
  <si>
    <t>ROSUVASTATIN 20 MG + 
CLOPIDOGREL  75 MG</t>
  </si>
  <si>
    <t>STATPURE-5</t>
  </si>
  <si>
    <t>ROSUVASTATIN 5 MG</t>
  </si>
  <si>
    <t>STATPURE-10</t>
  </si>
  <si>
    <t>EACH FILM COATED TABLET CONTAINS :
ROSUVASTATIN CALCIUM IP
EQUIVALENT TO ROSUVASTATIN ………..10 MG
EXICIPIENTS…………..Q.S.</t>
  </si>
  <si>
    <t>ROSUVASTATIN 10 MG</t>
  </si>
  <si>
    <t>STATPURE-20</t>
  </si>
  <si>
    <t>ROSUVASTATIN 20 MG</t>
  </si>
  <si>
    <t>STATPURE-40</t>
  </si>
  <si>
    <t>EACH FILM COATED TABLET CONTAINS:
ROSUVASTATIN CALCIUM IP
EQ. TO ROSUVASTATIN…………………….40 MG
EXCIPIENTS……………………………….Q.S.
COLOUR: TITANIUM DIOXIDE IP</t>
  </si>
  <si>
    <t>ROSUVASTATIN 40 MG</t>
  </si>
  <si>
    <t>STATPURE GOLD-10</t>
  </si>
  <si>
    <t>ROSUVASTATIN 10 MG + 
ASPIRIN IP 75 MG + 
CLOPIDOGREL BISULPHATE IP EQ. TO CLOPIDOGREL 75 MG</t>
  </si>
  <si>
    <t>STATPURE GOLD-20</t>
  </si>
  <si>
    <t>ROSUVASTATIN 20 MG + 
ASPIRIN IP 75 MG + 
CLOPIDOGREL BISULPHATE IP EQ. TO CLOPIDOGREL 75 MG</t>
  </si>
  <si>
    <t>MAHAFARO-200 TABLETS</t>
  </si>
  <si>
    <t>EACH FILM COATED TABLET CONTAINS:
FAROPENEM SODIUM HYDRATE JP
EQ. TO FAROPENEM……200 MG
COLOURS: RED OXIDE OF IRON, YELLOW OXIDE OF IRON &amp; TITANIUM DIOXIDE IP</t>
  </si>
  <si>
    <t>FAROPENEM 200 MG</t>
  </si>
  <si>
    <t>MAHAFARO-300 ER</t>
  </si>
  <si>
    <t>EACH FILM COATED EXTENDED RELEASE TABLET CONTAINS:
FAROPENEM SODIUM HYDRATE JP
EQ. TO FAROPENEM……300 MG
COLOURS: FERRIC OXIDE USPNF YELLOW &amp; TITANIUM DIOXIDE IP</t>
  </si>
  <si>
    <t>FAROPENEM 300 MG</t>
  </si>
  <si>
    <t>EACH VIAL CONTAINS:
PIPERACILLINE SODIUM IP (STERILE)
EQ. TO ANHYDROUS
PIPERACILLINE…………2000 MG
TAZOBACTAM SODIUM IP (STERILE)
EQ. TO TAZOBACTAM…….250 MG</t>
  </si>
  <si>
    <t>EACH VIAL CONTAINS:
PIPERACILLINE SODIUM IP (STERILE)
EQ. TO ANHYDROUS
PIPERACILLINE…………4000 MG
TAZOBACTAM SODIUM IP (STERILE)
EQ. TO TAZOBACTAM…….500 MG</t>
  </si>
  <si>
    <t>POSAFORCE-100 TABLET</t>
  </si>
  <si>
    <t>EACH GASTRO-RESISTANT TABLET CONTAINS:
POSACONAZOLE…………..100 MG</t>
  </si>
  <si>
    <t>ALPHADOL-0.25 CAPSULES</t>
  </si>
  <si>
    <t>Each soft gelatin capsule contains : 
Alfacalcidol IP…... 0.25mcg
Excipients……. q.s.
COLOUR: PONCEAU 4R SUPRA.</t>
  </si>
  <si>
    <t>Alfacalcidol 0.25 mcg</t>
  </si>
  <si>
    <t>Transplant Mankind (A Division of Mankind Pharma Ltd.)</t>
  </si>
  <si>
    <t>ALPHADOL-0.5 CAPSULES</t>
  </si>
  <si>
    <t>Each soft gelatin capsule contains : 
Alfacalcidol IP…... 0.5mcg
Excipients……. q.s.
COLOUR: QUINOLINE YELLOW WS</t>
  </si>
  <si>
    <t>Alfacalcidol 0.50 mcg</t>
  </si>
  <si>
    <t>ALPHADOL-1 CAPSULES</t>
  </si>
  <si>
    <t>Each soft gelatin capsule contains : 
Alfacalcidol IP …….1.0mcg
Excipients……. q.s.
COLOUR: APPROVED COLOUR USED IN CAPSULE SHELLS</t>
  </si>
  <si>
    <t>Alfacalcidol 1.0 mcg</t>
  </si>
  <si>
    <t>EVERGRAF-0.25 TABLETS</t>
  </si>
  <si>
    <t>Each uncoated tablet contains : 
Everolimus……. 0.25mg
Excipients……. q.s.</t>
  </si>
  <si>
    <t>Everolimus 0.25 mg</t>
  </si>
  <si>
    <t>EVERGRAF-0.5 TABLETS</t>
  </si>
  <si>
    <t>Each uncoated tablet contains : 
Everolimus 0.5mg
Excipients……. q.s.</t>
  </si>
  <si>
    <t>Everolimus 0.5 mg</t>
  </si>
  <si>
    <t>IMUZA TABLETS</t>
  </si>
  <si>
    <t xml:space="preserve">Each uncoated tablet contains:
Azathioprine IP……….. 50mg
Excipients…... q.s.
Colour: Titanium Dioxide IP </t>
  </si>
  <si>
    <t xml:space="preserve">MYCEPT SUSPENSION </t>
  </si>
  <si>
    <t xml:space="preserve">Each 5ml of reconstituted suspension contains:  
Mycophenolate Mofetil IP…...  1 gm
Excipients……. q.s. </t>
  </si>
  <si>
    <t>Mycophenolate Mofetil 1 gm</t>
  </si>
  <si>
    <t>MYCEPT-250 CAPSULES</t>
  </si>
  <si>
    <t>Each hard gelatin capsule contains : Mycophenolate Mofetil IP …….250mg
Excipients……. q.s.
COLOUR: APPROVED COLOURS USED IN CAPSULES SHELLS</t>
  </si>
  <si>
    <t>Mycophenolate Mofetil 250 mg</t>
  </si>
  <si>
    <t>MYCEPT-500 TABLETS</t>
  </si>
  <si>
    <t>Each film coated tablet contains :
 Mycophenolate Mofetil IP …….500mg
Excipients……. q.s.
COLOUR: LAKE OF INDOGO CARMINE FERRIC OXIDE RED AND TITANIUM DIOXIDE</t>
  </si>
  <si>
    <t>Mycophenolate Mofetil 500 mg</t>
  </si>
  <si>
    <t>MYCEPT-750 TABLETS</t>
  </si>
  <si>
    <t>Each film coated tablet contains : Mycophenolate Mofetil IP……... 750mg
Excipients……. q.s.
COLOUR: LAKE OF INDOGO CARMINE FERRIC OXIDE RED AND TITANIUM DIOXIDE</t>
  </si>
  <si>
    <t>Mycophenolate Mofetil 750 mg</t>
  </si>
  <si>
    <t>MYCEPT-S 180 TABLETS</t>
  </si>
  <si>
    <t>EACH DELAYED RELEASE TABLET CONTAINS:
MYCOPHENOLATE SODIUM USP EQUIVALENT TO MYCOPHENOLIC ACID …  180MG
Excipients……. q.s.
COLOUR: FERRIC OXIDE RED AND TITANIUM DIOXIDE</t>
  </si>
  <si>
    <t>MYCOPHENOLATE SODIUM 180 MG</t>
  </si>
  <si>
    <t>180MG</t>
  </si>
  <si>
    <t>MYCEPT-S 360 TABLETS</t>
  </si>
  <si>
    <t>EACH DELAYED RELEASE TABLET CONTAINS:
MYCOPHENOLATE SODIUM USP EQUIVALENT TO MYCOPHENOLIC ACID ..…  360MG
Excipients……. q.s.
COLOUR: FERRIC OXIDE RED AND TITANIUM DIOXIDE</t>
  </si>
  <si>
    <t>MYCOPHENOLATE SODIUM 360 MG</t>
  </si>
  <si>
    <t>360MG</t>
  </si>
  <si>
    <t>MYCEPT-S 540 TABLETS</t>
  </si>
  <si>
    <t>MYCOPHENOLIC ACID DELAYED RELEASE TABLET USP 540mg
Mycept-S 540 Tablets
EACH DELAYED RELEASE TABLET CONTAINS:
MYCOPHENOLATE SODIUM USP EQUIVALENT TO MYCOPHENOLIC ACID ….......540MG
Excipients……. q.s.
COLOUR: FERRIC OXIDE RED AND  FERRIC OXIDE YELLOW AND TITANIUM DIOXIDE</t>
  </si>
  <si>
    <t>MYCOPHENOLATE SODIUM 540 MG</t>
  </si>
  <si>
    <t>540MG</t>
  </si>
  <si>
    <t>PANGRAF-0.25 CAPSULES</t>
  </si>
  <si>
    <t xml:space="preserve">Each hard gelatin capsule contains:
Tacrolimus IP……. 0.25mg </t>
  </si>
  <si>
    <t xml:space="preserve">Tacrolimus 0.25 mg </t>
  </si>
  <si>
    <t>PANGRAF-0.5 CAPSULES</t>
  </si>
  <si>
    <t xml:space="preserve">Each hard gelatin capsule contains:
Tacrolimus IP……. 0.5mg </t>
  </si>
  <si>
    <t xml:space="preserve">Tacrolimus 0.5 mg </t>
  </si>
  <si>
    <t>PANGRAF-1.0 CAPSULES</t>
  </si>
  <si>
    <t>Each hard gelatin capsule contains : 
Tacrolimus IP…….. 1.0mg
Excipients……. q.s.
APPROVED COLOURS USED IN CAPSULE SHELLS</t>
  </si>
  <si>
    <t xml:space="preserve">Tacrolimus 1.0 mg </t>
  </si>
  <si>
    <t>PANGRAF-2.0 CAPSULES</t>
  </si>
  <si>
    <t>Each hard gelatin capsule contains : 
Tacrolimus IP…….. 2.0mg
APPROVED COLOURS USED IN CAPSULE SHELLS</t>
  </si>
  <si>
    <t xml:space="preserve">Tacrolimus 2.0 mg </t>
  </si>
  <si>
    <t>PANGRAF-5.0 CAPSULES</t>
  </si>
  <si>
    <t>Each hard gelatin capsule contains : 
Tacrolimus IP…….. 5.0mg
APPROVED COLOURS USED IN CAPSULE SHELLS</t>
  </si>
  <si>
    <t xml:space="preserve">Tacrolimus 5.0 mg </t>
  </si>
  <si>
    <t>PANIMUN BIORAL SOLUTION</t>
  </si>
  <si>
    <t>Each ml contains :
Cyclosporine IP ……..100mg
Palatable base</t>
  </si>
  <si>
    <t>Cyclosporine 100 mg</t>
  </si>
  <si>
    <t>PANIMUN BIORAL 100 MG CAPSULES</t>
  </si>
  <si>
    <t>Each soft gelatin capsule contains :
Cyclosporine IP …….100mg
Excpients…….. q.s     
COLOUR: Ferric oxide red</t>
  </si>
  <si>
    <t>PANIMUN BIORAL 25 MG CAPSULES</t>
  </si>
  <si>
    <t>Each soft gelatin capsule contains :
Cyclosporine IP……. 25mg
Excipients……. q.s.
COLOUR: FERRIC OXIDE RED</t>
  </si>
  <si>
    <t>Cyclosporine 25 mg</t>
  </si>
  <si>
    <t>PANIMUN BIORAL 50 MG CAPSULES</t>
  </si>
  <si>
    <t>Each soft gelatin capsule contains :
Cyclosporine IP……. 50mg
Excipients……. q.s.
COLOUR: FERRIC OXIDE RED &amp; FERRIC OXIDE BLACK</t>
  </si>
  <si>
    <t>Cyclosporine 50 mg</t>
  </si>
  <si>
    <t>RITUXIPAN-100 INJECTION</t>
  </si>
  <si>
    <t>Each ml contains Rituximab 10 mg, 10 ml vial cotains: Rituximab(r-DNA Origin)………...100 mg, sodium chloride IP………………………………….90 mg, 
Tri sodium citrate dihydrate IP…………….73.5 mg, Polysorbate 80 IP…………………………………….7.0mg, 
Water for injection IP…............................q.s to 10ml.</t>
  </si>
  <si>
    <t>Rituximab(r-DNA Origin) 100 mg</t>
  </si>
  <si>
    <t>RITUXIPAN-500 INJECTION</t>
  </si>
  <si>
    <t>Each ml contains Rituximab………………..10 mg, 
50 ml vial cotains: Rituximab(r-DNA Origin)….500 mg, sodium chloride IP…………………………………….450 mg, 
Tri sodium citrate dihydrate IP………………..367.5 mg, Polysorbate 80 IP…………………........................35mg, Water for injection IP..................................q.s to 50 ml.</t>
  </si>
  <si>
    <t>Rituximab(r-DNA Origin) 500 mg</t>
  </si>
  <si>
    <t>SIROPAN TABLETS</t>
  </si>
  <si>
    <t>EACH FILM-COATED TABLET CONTAINS:
SIROLIMUS ………….………. 1MG
Excipients……..q.s.                 
COLOUR: TITANIUM DIOXIDE</t>
  </si>
  <si>
    <t>SIROLIMUS 1 MG</t>
  </si>
  <si>
    <t>1MG</t>
  </si>
  <si>
    <t>VAGACYTE TABLETS</t>
  </si>
  <si>
    <t xml:space="preserve">EACH FILM COATED TABLET CONTAINS:
VALGANCICLOVIR HYDROCHLORIDE USP
EQUIVALENT TO VALGANCICLOVIR…....450 MG
COLOURS: TITANIUM DIOXIDE AND FERRIC OXIDE (RED) </t>
  </si>
  <si>
    <t>VALGANCICLOVIR 450 MG</t>
  </si>
  <si>
    <t>FOSBAIT-500 TABLETS</t>
  </si>
  <si>
    <t>Each uncoated chewable tablet contains: Lanthanum Carbonate equivalent to Elemental Lanthanum ………...500 mg
Excipient ……..q.s.</t>
  </si>
  <si>
    <t xml:space="preserve">K-BAIT POWDER </t>
  </si>
  <si>
    <t xml:space="preserve">Each sachet contains:
Calcium Polystyrene Sulphonate BP ……….15g
Excipients ……….q.s. </t>
  </si>
  <si>
    <t>RENHOLD TABLETS</t>
  </si>
  <si>
    <t>Each film coated tablet contains:Calcium-3-methyl-2-oxo-valerate 67mg,(a-Ketoanalogue of isoleucine, Calcium salt),Calcium-4-methyl-2-oxo-valerate 101mg,(a-Ketoanalogue of leucine, Calcium salt),Calcium-2-oxo-3-phenylpropionate 68mg,(a-Ketoanalogue of phenylalanine, Calcium salt),Calcium-3-methyl-2-oxo-butyrate 86mg,(a-Ketoanalogue of valine, Calcium salt),Calcium-DL-2-hydroxy-4-(methylthio) butyrate 59mg,(a-Hydroxyanalogue of methionine, Calcium salt),Lysine Acetate USP 105mg,(Eq to Lysine 75mg),L-Threonine USP 53mg,L-Tryptophan USP 23mg,L-Histidine USP 38mg,L-Tyrosine USP 30mg,Total Nitrogen content per tablet 36mg,Calcium content per tablet 1.25 mmol=0.05g,Excipients q.s.</t>
  </si>
  <si>
    <t>GLIZID-MV TABLETS</t>
  </si>
  <si>
    <t>Each uncoated bilayered tablet contains:
Gliclazide IP ...............80 mg
Metformin Hydrochloride IP............. 500mg
(As sustained release form)
Voglibose IP ........... 0.2mg
Excipients q.s.
Colour: Quinoline Yellow Lake</t>
  </si>
  <si>
    <t>Gliclazide IP  80 mg + 
Metformin Hydrochloride IP 500mg (As sustained release form) + 
Voglibose IP 0.2mg</t>
  </si>
  <si>
    <t>Diacar Mankind (A Division of Mankind Pharma Ltd.)</t>
  </si>
  <si>
    <t>GLIZID-MR 30 TABLETS</t>
  </si>
  <si>
    <t xml:space="preserve">Each uncoated modified release tablet contains:
Gliclazide IP …..30 mg </t>
  </si>
  <si>
    <t xml:space="preserve">Gliclazide IP  30 mg </t>
  </si>
  <si>
    <t>GLIZID-MR 60 TABLETS</t>
  </si>
  <si>
    <t xml:space="preserve">Each uncoated modified release tablet contains:
Gliclazide IP …..60 mg </t>
  </si>
  <si>
    <t xml:space="preserve">Gliclazide IP  60 mg </t>
  </si>
  <si>
    <t>GLIZID-TOTAL P 15 TABLETS</t>
  </si>
  <si>
    <t>Each film coated bilayered tablet contains : Metformin Hydrochloride IP 500mg,(in sustained release form) Gliclazide IP 60 mg,(in sustained release form) Pioglitazone Hydrochloride IP equivalent to Pioglitazone 15mg,Excipients q.s.</t>
  </si>
  <si>
    <t>Metformin Hydrochloride IP 500mg,(in sustained release form) + Gliclazide IP 60 mg,(in sustained release form)  + Pioglitazone Hydrochloride IP equivalent to Pioglitazone 15mg</t>
  </si>
  <si>
    <t>GLIZID-XR 30 TABLETS</t>
  </si>
  <si>
    <t xml:space="preserve"> Each uncoated extended release tablet contains:
Gliclazide IP …….. 30 mg
 </t>
  </si>
  <si>
    <t>GLIZID-XR 60 TABLETS</t>
  </si>
  <si>
    <t xml:space="preserve"> Each uncoated extended release tablet contains:
Gliclazide IP …….. 60 mg
 </t>
  </si>
  <si>
    <t>GLIZID-40 TABLETS</t>
  </si>
  <si>
    <t xml:space="preserve"> Each uncoated tablet contains:
Gliclazide IP ….40 mg
 </t>
  </si>
  <si>
    <t xml:space="preserve">Gliclazide IP  40 mg </t>
  </si>
  <si>
    <t>GLIZID-80 TABLETS</t>
  </si>
  <si>
    <t xml:space="preserve"> Each uncoated tablet contains:
Gliclazide IP ….80 mg
 </t>
  </si>
  <si>
    <t xml:space="preserve">Gliclazide IP  80 mg </t>
  </si>
  <si>
    <t>GLIZID-M TABLETS</t>
  </si>
  <si>
    <t>Each uncoated tablet contains : 
Gliclazide IP……... 80 mg 
Metformin Hydrochloride IP……... 500 mg</t>
  </si>
  <si>
    <t>Gliclazide IP 80 mg  + 
Metformin Hydrochloride IP 500 mg</t>
  </si>
  <si>
    <t>GLIZID-M OD 60 TABLETS</t>
  </si>
  <si>
    <t xml:space="preserve">Each uncoated bilayered tablet contains:
Gliclazide (sustained release) IP …. 60 mg
Metformin Hydrochloride (sustained release) ... IP 500 mg 
Excipients q.s. </t>
  </si>
  <si>
    <t>GLIZID-M XR 30 TABLETS</t>
  </si>
  <si>
    <t>Gliclazide &amp; Metformin Hydrochloride Extended Release Tablets
Glizid-M XR 30 Tablets
Each uncoated bilayered tablet contains:
Gliclazide IP ………. 30 mg
(extended release form)
Metformin Hydrochloride IP ………...500mg
(extended release form)
Excipients ……..........q.s.
Colour: Sunset Yellow Lake</t>
  </si>
  <si>
    <t>Gliclazide IP 30 mg (extended release form) + 
Metformin Hydrochloride IP  500mg (extended release form)</t>
  </si>
  <si>
    <t>GLIZID-M XR 60 TABLETS</t>
  </si>
  <si>
    <t>Gliclazide &amp; Metformin Hydrochloride Extended Release Tablets
Glizid-M XR 60 Tablets
Each uncoated bilayered tablet contains:
Gliclazide IP ………. 60 mg
(extended release form)
Metformin Hydrochloride IP ………...500mg
(extended release form)
Excipients ……..........q.s.
Colour: Sunset Yellow Lake</t>
  </si>
  <si>
    <t>Gliclazide IP 60 mg (extended release form) + 
Metformin Hydrochloride IP  500mg (extended release form)</t>
  </si>
  <si>
    <t>GLIZID-M XR 60/1000</t>
  </si>
  <si>
    <t>EACH UNCOATED BILAYERED TABLET CONTAINS:
GLICLAZIDE IP………..60 MG
(AS EXTENDED RELEASE FORM) METFORMIN HYDROCHLORIDE IP…..1000MG
(AS EXTENDED RELEASE FORM)
EXCIPIENTS……Q.S.</t>
  </si>
  <si>
    <t>GLICLAZIDE IP 60 MG (AS EXTENDED RELEASE FORM)  + METFORMIN HYDROCHLORIDE IP 1000MG (AS EXTENDED RELEASE FORM)</t>
  </si>
  <si>
    <t>INZOBOON-500</t>
  </si>
  <si>
    <t>EACH FILM COATED TABLET CONTAINS:
IMEGLIMIN HYDROCHLORIDE…..500 MG
EXCIPIENTS………….Q.S.</t>
  </si>
  <si>
    <t>IMEGLIMIN HYDROCHLORIDE 500 MG</t>
  </si>
  <si>
    <t>INZOBOON-1000</t>
  </si>
  <si>
    <t>EACH FILM COATED TABLET CONTAINS:
IMEGLIMIN HYDROCHLORIDE…..1000 MG
EXCIPIENTS………….Q.S.</t>
  </si>
  <si>
    <t>IMEGLIMIN HYDROCHLORIDE 1000 MG</t>
  </si>
  <si>
    <t>JUSLINA-5</t>
  </si>
  <si>
    <t>LINAGLIPTIN 5 MG</t>
  </si>
  <si>
    <t>JUSLINA-D 5/10</t>
  </si>
  <si>
    <t>EACH FILM COATED TABLET CONTAINS:
LINAGLIPTIN……5 MG
DAPAGLIFLOZIN PROPANEDIOL MONOHYDRATE EQ. TO DAPAGLIFLOZIN….10 MG
EXCIPIENTS…….Q.S.</t>
  </si>
  <si>
    <t>LINAGLIPTIN 5 MG + 
DAPAGLIFLOZIN PROPANEDIOL MONOHYDRATE EQ. TO DAPAGLIFLOZIN 10 MG</t>
  </si>
  <si>
    <t>JUSLINA-M 2.5/500</t>
  </si>
  <si>
    <t>EACH FILM COATED TABLET CONTAINS:
LINAGLIPTIN……2.5 MG
METFORMIN HYDROCHLORIDE IP……500 MG
EXCIPIENTS…….Q.S.</t>
  </si>
  <si>
    <t>LINAGLIPTIN 2.5 MG + 
METFORMIN HYDROCHLORIDE IP 500 MG</t>
  </si>
  <si>
    <t>JUSLINA-M 2.5/1000</t>
  </si>
  <si>
    <t>EACH FILM COATED TABLET CONTAINS:
LINAGLIPTIN……2.5 MG
METFORMIN HYDROCHLORIDE IP……1000 MG
EXCIPIENTS…….Q.S.</t>
  </si>
  <si>
    <t>LINAGLIPTIN 2.5 MG + 
METFORMIN HYDROCHLORIDE IP 1000 MG</t>
  </si>
  <si>
    <t>METLONG-DS TABLETS</t>
  </si>
  <si>
    <t>Each uncoated sustained release tablet contains :
Metformin Hydrochloride IP……. 1000 mg
Excipients………q.s.</t>
  </si>
  <si>
    <t>Metformin Hydrochloride IP 1000 mg</t>
  </si>
  <si>
    <t>METLONG-500 TABLETS</t>
  </si>
  <si>
    <t>Each uncoated sustained release tablet contains :
Metformin Hydrochloride IP…….. 500 mg
Excipients………q.s.</t>
  </si>
  <si>
    <t>Metformin Hydrochloride IP 500 mg</t>
  </si>
  <si>
    <t>MYELOGEN-FORTE CAPSULES</t>
  </si>
  <si>
    <t>Each soft geletin capsule contains:
Alpha Lipoic Acid USP..... 100 mg
Pyridoxine Hydrochloride IP...... 3mg Methylcobalamin IP..... 1500 mcg 
Folic Acid IP.....1.5 mg
Benfotiamine ......100mg
Excipients .......q.s
COLOUR : APPROVED COLOURS  USED IN CAPSULE SHEEL</t>
  </si>
  <si>
    <t>Alpha Lipoic Acid USP 100 mg + 
Pyridoxine Hydrochloride IP 3mg + Methylcobalamin IP 1500 mcg  +  Folic Acid IP 1.5 mg + Benfotiamine 100mg</t>
  </si>
  <si>
    <t>MYELOGEN-PG 75 TABLETS</t>
  </si>
  <si>
    <t>Each film coated modified release bilayered tablet contains :
Pregabalin IP......... 75 mg
(as extended release form)
 Mecobalamin IP........ 1500 mcg
Folic Acid IP ........5mg
Pyridoxine Hydrochloride IP....... 20mg
Excipirnts..........q.s.
COLOUR: PONCEAU 4R</t>
  </si>
  <si>
    <t>Pregabalin IP 75 mg (as extended release form) +
Mecobalamin IP 1500 mcg + 
Folic Acid IP  5mg + 
Pyridoxine Hydrochloride IP 20mg</t>
  </si>
  <si>
    <t>THYRONEED-12.5</t>
  </si>
  <si>
    <t>EACH UNCOATED TABLET CONTAINS:
THYROXINE SODIUM IP
EQ. TO ANHYDROUS THYROXINE SODIUM…..12.5MCG
(SYNTHETIC THYROID HORMONE)
EXCIPIENTS……Q.S.</t>
  </si>
  <si>
    <t>THYROXINE SODIUM 12.5MCG</t>
  </si>
  <si>
    <t>12.5MCG</t>
  </si>
  <si>
    <t>THYRONEED-25</t>
  </si>
  <si>
    <t>EACH UNCOATED TABLET CONTAINS:
THYROXINE SODIUM IP
EQ. TO ANHYDROUS THYROXINE SODIUM…..25MCG
(SYNTHETIC THYROID HORMONE)
EXCIPIENTS……Q.S.</t>
  </si>
  <si>
    <t>THYROXINE SODIUM 25MCG</t>
  </si>
  <si>
    <t>25MCG</t>
  </si>
  <si>
    <t>THYRONEED-50</t>
  </si>
  <si>
    <t>EACH UNCOATED TABLET CONTAINS:
THYROXINE SODIUM IP
EQ. TO ANHYDROUS THYROXINE SODIUM…..50MCG
(SYNTHETIC THYROID HORMONE)
EXCIPIENTS……Q.S.</t>
  </si>
  <si>
    <t>THYROXINE SODIUM 50MCG</t>
  </si>
  <si>
    <t>50MCG</t>
  </si>
  <si>
    <t>THYRONEED-75</t>
  </si>
  <si>
    <t>EACH UNCOATED TABLET CONTAINS:
THYROXINE SODIUM IP EQ. TO ANHYDROUS THYROXINE SODIUM………..75 MCG
(SYNTHETIC THYROID HORMONE)
EXCIPIENTS………………………Q.S.</t>
  </si>
  <si>
    <t>THYROXINE SODIUM 75MCG</t>
  </si>
  <si>
    <t>75 MCG</t>
  </si>
  <si>
    <t>THYRONEED-100</t>
  </si>
  <si>
    <t>EACH UNCOATED TABLET CONTAINS:
THYROXINE SODIUM IP EQ. TO ANHYDROUS THYROXINE SODIUM………..100 MCG
(SYNTHETIC THYROID HORMONE)
EXCIPIENTS………………………Q.S.</t>
  </si>
  <si>
    <t>THYROXINE SODIUM 100MCG</t>
  </si>
  <si>
    <t>100 MCG</t>
  </si>
  <si>
    <t>VILACT TABLETS</t>
  </si>
  <si>
    <t>Each  uncoated tablet contains: 
Vildagliptin…….  50 mg
Excipients……. q.s.</t>
  </si>
  <si>
    <t>Vildagliptin 50 mg</t>
  </si>
  <si>
    <t>VILACT-M 500 TABLETS</t>
  </si>
  <si>
    <t>Each Film coated tablet contains: 
Vildagliptin……. 50 mg
Metformin Hydrochloride IP……. 500 mg
Excipients……. q.s.
COLOUR: IRON OXIDE (YELLOW)</t>
  </si>
  <si>
    <t>Vildagliptin 50 mg + 
Metformin Hydrochloride IP  500 mg</t>
  </si>
  <si>
    <t>VILACT-M 850 TABLETS</t>
  </si>
  <si>
    <t>Each Film coated tablet contains: 
Vildagliptin……. 50 mg
Metformin Hydrochloride IP……. 850 mg
Excipients……. q.s.
COLOUR: IRON OXIDE (RED)</t>
  </si>
  <si>
    <t>Vildagliptin 50 mg + 
Metformin Hydrochloride IP 850 mg</t>
  </si>
  <si>
    <t>VILACT-M 1000 TABLETS</t>
  </si>
  <si>
    <t>Each Film coated tablet contains: 
Vildagliptin……. 50 mg
Metformin Hydrochloride IP……. 1000 mg
Excipients……. q.s.
COLOUR: IRON OXIDE (YELLOW)</t>
  </si>
  <si>
    <t>Vildagliptin 50 mg + 
Metformin Hydrochloride IP 1000 mg</t>
  </si>
  <si>
    <t>VILACT-XR 100 TABLETS</t>
  </si>
  <si>
    <t>Each coated extended release tablet contains :
Vildagliptin………. 100 mg
Excipients……. q.s.
COLOUR: TITANIUM DIOXIDE IP</t>
  </si>
  <si>
    <t>AZAFAB INJECTION</t>
  </si>
  <si>
    <t>Azacitidine IP…..100mg 
Mannitol IP……..100mg
Excipients……. q.s.</t>
  </si>
  <si>
    <t>Azacitidine 100mg</t>
  </si>
  <si>
    <t>Onco Mankind Specialities (A Division of Mankind Pharma Ltd.)</t>
  </si>
  <si>
    <t>BORTETRUST-2 INJECTION</t>
  </si>
  <si>
    <t>Each vial contains : 
Bortezomib IP………. 2mg 
Mannitol IP………. 20mg
Excipients……. q.s.</t>
  </si>
  <si>
    <t>Bortezomib 2mg</t>
  </si>
  <si>
    <t>CANCRINASE INJ.</t>
  </si>
  <si>
    <t>EACH LYOPHILIZED VIAL CONTAINS:
PEGASPARAGINASE……….3750 IU
EXCIPIENTS: SUCROSE IP..225 MG
SODIUM CHLORIDE IP……..21.25 MG
&amp; PHOSPHATE BUFFER</t>
  </si>
  <si>
    <t>PEGASPARAGINASE 3750 IU</t>
  </si>
  <si>
    <t>DASAPAN-50 TABLETS</t>
  </si>
  <si>
    <t>Each film coated tablet contains:
Dasatinib….50 mg
Excipients q.s.</t>
  </si>
  <si>
    <t>Dasatinib 50 mg</t>
  </si>
  <si>
    <t>DASAPAN-70 TABLETS</t>
  </si>
  <si>
    <t>EACH FILM COATED TABLETS CONTAINS:
DASATINIB……….70 MG
EXCIPIENTS……..Q.S.</t>
  </si>
  <si>
    <t>Dasatinib 70 mg</t>
  </si>
  <si>
    <t>DOCETRUST-20 INJECTION</t>
  </si>
  <si>
    <t>EACH ML OF CONCENTRATE CONTAINS:
DOCETAXEL ANHYDROUS IP………………….20.0MG,
EXCIPIENTS; POLYSORBATE…………………..80 IP,
ETHANOL (DEHYDRATED ALCOHOL) IP AND CITRIC ACID IP</t>
  </si>
  <si>
    <t>DOCETAXEL ANHYDROUS 20 MG</t>
  </si>
  <si>
    <t>20.0MG</t>
  </si>
  <si>
    <t>DOCETRUST-80 INJECTION</t>
  </si>
  <si>
    <t>EACH ML OF CONCENTRATE CONTAINS:
DOCETAXEL ANHYDROUS IP…... 20.0 MG
EXCIPIENTS; POLYSORBATE 80….. IP
ETHANOL(DEHYDRATED ALCOHOL) IP AND CITRIC ACID IP</t>
  </si>
  <si>
    <t>DOCETAXEL ANHYDROUS 80 MG</t>
  </si>
  <si>
    <t>20.0 MG</t>
  </si>
  <si>
    <t>DOCETRUST-120 INJECTION</t>
  </si>
  <si>
    <t xml:space="preserve"> 
EACH ML OF CONCENTRATE CONTAINS:
DOCETAXEL ANHYDROUS IP …… 20MG
EXCIPIENTS….. POLYSORBATE 80 IP, ETHANOL (DEHYDRATED ALCOHOL) IP AND CITRIC ACID IP </t>
  </si>
  <si>
    <t>DOCETAXEL ANHYDROUS 120 MG</t>
  </si>
  <si>
    <t>20MG</t>
  </si>
  <si>
    <t>KINTSUGI 150</t>
  </si>
  <si>
    <t>EACH COMBI PACK CONTAINS:
VIAL-1
TRASTUZUMAB FOR INJ.
EACH VIAL CONTAISN:
TRASTUZUMAB (R-DNA ORIGIN) IH….150 MG
a,a-TREHALOSE DIHYDRATE USP….136.2 MG
L-HISTIDINE HCI MONOHYDRATE EP….3.36 MG
L-HISTIDINE USP………2.16 MG
POLYSORBATE 20 IP……0.6 MG
VIAL-2
BACTERIOSTATIC WATER FOR INJ. (DILUENT)
EACH ML CONTAINS:
BENZYL ALCOHOL IP......1.1% V/V
WATER FOR INJECTION IP...Q.S.</t>
  </si>
  <si>
    <t>TRASTUZUMAB (R-DNA ORIGIN) 150 MG + a,a-TREHALOSE DIHYDRATE 136.2 MG + L-HISTIDINE HCI MONOHYDRATE 3.36 MG + L-HISTIDINE 2.16 MG POLYSORBATE 0.6 MG</t>
  </si>
  <si>
    <t>KINTSUGI 440</t>
  </si>
  <si>
    <t>EACH COMBI PACK CONTAINS:
VIAL-1
TRASTUZUMAB FOR INJ.
EACH VIAL CONTAINS:
TRASTUZUMAB (R-DNA ORIGIN) IH….440 MG
a,a-TREHALOSE DIHYDRATE USP….400 MG
L-HISTIDINE HCI MONOHYDRATE EP….9.9 MG
L-HISTIDINE USP………6.4 MG
POLYSORBATE 20 IP……1.8 MG
VIAL-2
BACTERIOSTATIC WATER FOR INJ. (DILUENT)
EACH ML CONTAINS:
BENZYL ALCOHOL IP......1.1% V/V
WATER FOR INJECTION IP...Q.S.</t>
  </si>
  <si>
    <t>TRASTUZUMAB (R-DNA ORIGIN) 440 MG +  a,a-TREHALOSE DIHYDRATE 400 MG + L-HISTIDINE HCI MONOHYDRATE 9.9 MG + L-HISTIDINE 6.4 MG + POLYSORBATE 20 IP  1.8 MG</t>
  </si>
  <si>
    <t>PACLIALL INJECTION</t>
  </si>
  <si>
    <t>EACH VIAL CONTAINS:
PACLITAXEL IP………………….100MG
HUMAN ALBUMIN IP APPROX……………..900MG, (AFTER  RECONSTITUTION)</t>
  </si>
  <si>
    <t>PACLITAXEL 100MG + HUMAN ALBUMIN IP APPROX 900MG</t>
  </si>
  <si>
    <t>100MG</t>
  </si>
  <si>
    <t>CORABRAD 5</t>
  </si>
  <si>
    <t>EACH FILM COATED TABLET CONTAINS:
IVABRADINE HYDROCHLORIDE
EQ. TO IVABRADINE…….5 MG
EXCIPIENTS…………………Q.S.</t>
  </si>
  <si>
    <t>IVABRADINE 5 MG</t>
  </si>
  <si>
    <t>Templar Mankind (A Division of Mankind Pharma Ltd.)</t>
  </si>
  <si>
    <t xml:space="preserve">CORABRAD 7.5 </t>
  </si>
  <si>
    <t>EACH FILM COATED TABLET CONTAINS:
IVABRADINE HYDROCHLORIDE 
EQ. TO IVABRADINE………………7.5 MG
 EXCIPIENTS…………Q.S.</t>
  </si>
  <si>
    <t>IVABRADINE 7.5 MG</t>
  </si>
  <si>
    <t>EPLEBLESS 25</t>
  </si>
  <si>
    <t>EACH FILM COATED TABLET CONTAINS:
EPLERENONE IP…………25 MG
EXCIPITIENTS……………..Q.S.</t>
  </si>
  <si>
    <t>EPLERENONE IP 25 MG</t>
  </si>
  <si>
    <t>GUDPRES-AM 25</t>
  </si>
  <si>
    <t>EACH FILM COATED TABLET CONTAINS :
METOPROLOL SUCCINATE USP …………23.75 MG
EQUIVALENT TO METOPROLOL TARTRATE …25 MG
(AS EXTENDED RELEASE FORM)
AMLODIPINE BESILATE IP
EQUIVALENT TO AMLODIPINE ……………….. 5 MG</t>
  </si>
  <si>
    <t>METOPROLOL SUCCINATE USP 23.75 MG EQUIVALENT TO METOPROLOL TARTRATE  25 MG (AS EXTENDED RELEASE FORM) + 
AMLODIPINE  5 MG</t>
  </si>
  <si>
    <t>GUDPRES-AM 50</t>
  </si>
  <si>
    <t>EACH FILM COATED TABLET CONTAINS :
METOPROLOL SUCCINATE USP …………47.5 MG
EQUIVALENT TO METOPROLOL TARTRATE …50 MG
(AS EXTENDED RELEASE FORM)
AMLODIPINE BESILATE IP
EQUIVALENT TO AMLODIPINE ……………….. 5 MG</t>
  </si>
  <si>
    <t>METOPROLOL SUCCINATE USP 47.5 MG EQUIVALENT TO METOPROLOL TARTRATE  50 MG (AS EXTENDED RELEASE FORM) + 
AMLODIPINE  5 MG</t>
  </si>
  <si>
    <t>GUDPRES-XL 25 CAP</t>
  </si>
  <si>
    <t>EACH HARD GELATIN CAPSULE CONTAINS :
METOPROLOL SUCCINATE USP …23.75 MG
EQUIVALENT TO 25 MG OF METOPROLOL TARTRATE
(AS EXTENDED RELEASE PELLETS)</t>
  </si>
  <si>
    <t>GUDPRES-XL 50 CAP</t>
  </si>
  <si>
    <t>EACH HARD GELATIN CAPSULE CONTAINS :
METOPROLOL SUCCINATE USP …47.5 MG
EQUIVALENT TO 50 MG OF METOPROLOL TARTRATE
(AS EXTENDED RELEASE PELLETS)</t>
  </si>
  <si>
    <t>JUSTOZA-5</t>
  </si>
  <si>
    <t xml:space="preserve">EACH FILM COATED TABLET CONTAINS:
DAPAGLIFLOZIN PROPANEDIOL MONOHYDRATE
EQV. TO DAPAGLIFLOZIN…..5 MG
EXCIPIENTS….Q.S.
 </t>
  </si>
  <si>
    <t>DAPAGLIFLOZIN 5 MG</t>
  </si>
  <si>
    <t xml:space="preserve">JUSTOZA-10 </t>
  </si>
  <si>
    <t xml:space="preserve">EACH FILM COATED TABLET CONTAINS:
DAPAGLIFLOZIN PROPANEDIOL MONOHYDRATE
EQV. TO DAPAGLIFLOZIN…..10 MG
EXCIPIENTS….Q.S.
 </t>
  </si>
  <si>
    <t>DAPAGLIFLOZIN 10 MG</t>
  </si>
  <si>
    <t>JUSTOZA M 5/500</t>
  </si>
  <si>
    <t>EACH FILM COATED BILAYERED TABLET CONTAINS:
DAPAGLIFLOZIN PROPANEDIOL MONOHYDRATE 
EQV. TO DAPAGLIFLOZIN……..5 MG
METFORMIN HYDROCHLORIDE IP…….500 MG
(EXTENDED RELEASE)
EXCIPIENTS……..Q.S.</t>
  </si>
  <si>
    <t>DAPAGLIFLOZIN 5 MG + 
METFORMIN HYDROCHLORIDE IP 500 MG (EXTENDED RELEASE)</t>
  </si>
  <si>
    <t>JUSTOZA-M 5/1000</t>
  </si>
  <si>
    <t>EACH FILM COATED BILAYERED TABLET CONTAINS:
DAPAGLIFLOZIN PROPANEDIOL MONOHYDRATE 
EQV. TO DAPAGLIFLOZIN……..5 MG
METFORMIN HYDROCHLORIDE IP…….1000 MG
(EXTENDED RELEASE)
EXCIPIENTS……..Q.S.</t>
  </si>
  <si>
    <t>DAPAGLIFLOZIN 5 MG + 
METFORMIN HYDROCHLORIDE IP 1000 MG (EXTENDED RELEASE)</t>
  </si>
  <si>
    <t>JUSTOZA M 10/500</t>
  </si>
  <si>
    <t xml:space="preserve">EACH FILM COATED BILAYERED TABLET CONTAINS:
DAPAGLIFLOZIN PROPANEDIOL MONOHYDRATE
EQV. TO DAPAGLIFLOZIN…..10 MG
METFORMIN HYDROCHLORIDE IP………….500 MG
(EXTENDED RELEASE)
EXCIPIENTS….Q.S.
 </t>
  </si>
  <si>
    <t>DAPAGLIFLOZIN 10 MG + 
METFORMIN HYDROCHLORIDE IP 500 MG (EXTENDED RELEASE)</t>
  </si>
  <si>
    <t>JUSTOZA M 10/1000</t>
  </si>
  <si>
    <t xml:space="preserve">EACH FILM COATED BILAYERED TABLET CONTAINS:
DAPAGLIFLOZIN PROPANEDIOL MONOHYDRATE
EQV. TO DAPAGLIFLOZIN…..10 MG
METFORMIN HYDROCHLORIDE IP………….1000 MG
(EXTENDED RELEASE)
EXCIPIENTS….Q.S.
 </t>
  </si>
  <si>
    <t>DAPAGLIFLOZIN 10 MG + 
METFORMIN HYDROCHLORIDE IP 1000 MG (EXTENDED RELEASE)</t>
  </si>
  <si>
    <t>ALPHADOL-C CAPSULES</t>
  </si>
  <si>
    <t xml:space="preserve">Each soft gelatin capsule contains : 
Alfacalcidol IP…... 0.25mcg
Calcium Carbonate (from Oyster Shell) equivalent to Elemental Calcium…... 200mg
Excipients……. q.s.
COLOUR: BRILLIANT BLUE SUPRA, TITANIUM DIOXIDE.
</t>
  </si>
  <si>
    <t>Procare Mankind (A Division of Mankind Pharma Ltd.)</t>
  </si>
  <si>
    <t>CILAMIN-250 CAPSULES</t>
  </si>
  <si>
    <t>Each hard gelatin capsule contains : Penicillamine USP………. 250mg
Excipients……. q.s.</t>
  </si>
  <si>
    <t>KONDRO-OD TABLETS</t>
  </si>
  <si>
    <t>Each film-coated tablet contains: 
Glucosamine Sulphate Potassium Chloride USP…………. 1500mg
Excipients…………. q.s.</t>
  </si>
  <si>
    <t>Glucosamine Sulphate Potassium Chloride USP 1500mg</t>
  </si>
  <si>
    <t>KONDRO-ACUTE TABLETS</t>
  </si>
  <si>
    <t xml:space="preserve">Each film-coated tablet contains:
Glucosamine Sulphate Potassium Chloride USP ….1500mg
Diacerein IP………….. 50mg
Excipients………... q.s.
Colour: Sunset Yellow lake </t>
  </si>
  <si>
    <t>Glucosamine Sulphate Potassium Chloride USP 1500mg + Diacerein IP 50mg</t>
  </si>
  <si>
    <t>KONDROFLEX SACHET</t>
  </si>
  <si>
    <t>Each 12g Sachet contains approximately: Collagen peptides……... 10g
Glucosamine Sulphate Potassium Chloride…….. 1500mg
Vitamin C………. 35mg
Excipients………….q.s.</t>
  </si>
  <si>
    <t>Collagen peptides 10g + 
Glucosamine Sulphate Potassium Chloride  1500mg + 
Vitamin C 35mg</t>
  </si>
  <si>
    <t>LIVO-LUK KID SOLUTION 60 ML</t>
  </si>
  <si>
    <t>Each 15 ml contains : 
Lactulose…………. 10 g, 
(As Lactulose Concentrate USP)
Palatable base q.s.</t>
  </si>
  <si>
    <t>Lactulose 10 g,  (As Lactulose Concentrate USP)</t>
  </si>
  <si>
    <t>LIVO-LUK SOLUTION 100 ML</t>
  </si>
  <si>
    <t>LIVO-LUK SOLUTION 200 ML</t>
  </si>
  <si>
    <t>LIVO-LUK SOLUTION 450 ML</t>
  </si>
  <si>
    <t>LIVO-LUK FIBRE</t>
  </si>
  <si>
    <t>Each 15g of granules contains: 
Lactulose IP…….. 10.0g,
Ispaghula Husk IP…….. 3.50g</t>
  </si>
  <si>
    <t>ODPEP-40</t>
  </si>
  <si>
    <t>EACH GASTRO-RESISTANT TABLET CONTAINS:
PANTOPRAZOLE SODIUM IP
PANTOPRAZOLE………40MG
EXCIPIENTS……………Q.S.</t>
  </si>
  <si>
    <t>PANTOPRAZOLE 40MG</t>
  </si>
  <si>
    <t>40MG</t>
  </si>
  <si>
    <t>ODPEP-D CAPSULES</t>
  </si>
  <si>
    <t>Each capsule contains:
Pantoprazole Sodium IP
equivalent to Pantoprazole........ 40mg
(One yellow enteric coated tablet)
Domperidone IP ...........10mg
(One white film coated tablet)
Domperidone IP ..........10mg
(One red delayed release tablet)</t>
  </si>
  <si>
    <t>Pantoprazole Sodium IP equivalent to Pantoprazole........ 40mg + 
Domperidone IP 10mg + 
Domperidone IP 10mg</t>
  </si>
  <si>
    <t xml:space="preserve">RIFASTOP-200 </t>
  </si>
  <si>
    <t>EACH FILM COATED TABLET CONTAINS :
RIFAXIMIN PH. EUR………200 MG
EXCIPIENTS ………………………….Q.S.</t>
  </si>
  <si>
    <t>RIFAXIMIN PH. EUR 200 MG</t>
  </si>
  <si>
    <t xml:space="preserve">RIFASTOP-400 </t>
  </si>
  <si>
    <t>EACH FILM COATED TABLET CONTAINS :
RIFAXIMIN PH. EUR………400 MG
EXCIPIENTS ………………………….Q.S.</t>
  </si>
  <si>
    <t>RIFAXIMIN PH. EUR 400 MG</t>
  </si>
  <si>
    <t>RIFASTOP-550</t>
  </si>
  <si>
    <t>EACH FILM COATED TABLET CONTAINS:
RIFAXIMIN PH.EUR………550 MG
EXCIPIENTS………………Q.S.</t>
  </si>
  <si>
    <t>RIFAXIMIN PH.EUR 550 MG</t>
  </si>
  <si>
    <t>550 MG</t>
  </si>
  <si>
    <t>SITCOM CREAM</t>
  </si>
  <si>
    <t>Each g contains:
Euphorbia prostrata dry extract ethanolic 80% (v/v) [(35-70):1] ............. 10mg
(Containing 0.315-0.825mg total flavonoids calculated as apigenin- 7-glucoside and 1.26-4.40mg total phenolics calculated as gallic acid)
Cream base .............q.s.</t>
  </si>
  <si>
    <t>Euphorbia prostrata dry extract ethanolic 80% (v/v) [(35-70):1]  10mg (Containing 0.315-0.825mg total flavonoids calculated as apigenin- 7-glucoside and 1.26-4.40mg total phenolics calculated as gallic acid)</t>
  </si>
  <si>
    <t>SITCOM-FORTE TABLETS (14 TABS)</t>
  </si>
  <si>
    <t>Each film coated tablet contains: Euphorbia prostrata extract .........100mg
(Containing 3.15-8.25mg total flavonoids  calculated as apigenin-7-glucoside and 12.6-44.0mg, total phenolics calculated as gallic acid)
Calcium Dobesilate Monohydrate IP........... 500mg
Excipients.........q.s.
COLOUR: INDIGO CARMINE,FERRIC OXIDE (YELLOW) AND TITANIUM DIOXIDE.</t>
  </si>
  <si>
    <t>Euphorbia prostrata extract 100mg (Containing 3.15-8.25mg total flavonoids  calculated as apigenin-7-glucoside and 12.6-44.0mg, total phenolics calculated as gallic acid) + 
Calcium Dobesilate Monohydrate IP 500mg</t>
  </si>
  <si>
    <t>SITCOM-LD CREAM</t>
  </si>
  <si>
    <t>Each gram contains:
Euphorbia prostrata extract ..........10mg
(Containing 0.315-0.825mg total flavonoids  calculated as Apigenin-7-glucoside and 1.26-4.40mg of total phenolics calculated as Gallic acid)
Lidocaine BP ........... 30mg
Cream base ............... q.s.</t>
  </si>
  <si>
    <t>Euphorbia prostrata extract 10mg + Lidocaine 30mg</t>
  </si>
  <si>
    <t>SITCOM TABLETS</t>
  </si>
  <si>
    <t>Each film coated tablet contains: Euphorbia prostrata extract...........100mg
(Containing 3.15-8.25mg total flavonoids calculated as apigenin-7-glucoside and 12.6-44.0mg total phenolics calculated as gallic acid)
Excipients.........q.s.
COLOUR: INDIGO CARMINE,FERRIC OXIDE (YELLOW) AND TITANIUM DIOXIDE.</t>
  </si>
  <si>
    <t>Euphorbia prostrata extract 100mg + 
(Containing 3.15-8.25mg total flavonoids calculated as apigenin-7-glucoside and 12.6-44.0mg total phenolics calculated as gallic acid)</t>
  </si>
  <si>
    <t>SUCRADAY-O SUSPENSION</t>
  </si>
  <si>
    <t>EACH 10 ML CONTAINS :
SUCRALFATE IP ………………1 GM
OXETACAINE IP ………….….. 20 MG
FLAVOURED BASE ………………Q.S.</t>
  </si>
  <si>
    <t>SUCRALFATE IP  1 GM + 
OXETACAINE IP  20 MG</t>
  </si>
  <si>
    <t>WILLGO-CR TABLETS</t>
  </si>
  <si>
    <t xml:space="preserve">Each film coated controlled-release tablet contains: 
Aceclofenac IP …….200mg
(as controlled release)
Excipients……. q.s.
COLOUR: FERRIC OXIDE YELLOW </t>
  </si>
  <si>
    <t>Aceclofenac IP 200mg (as controlled release)</t>
  </si>
  <si>
    <t>WILLGO-P TABLETS</t>
  </si>
  <si>
    <t>Each film coated tablet contains: 
Aceclofenac IP …...100mg
Paracetamol IP………. 325mg
Excipients……. q.s.
COLOUR: FERRIC OXIDE YELLOW AND TITANIUM DIOXIDE</t>
  </si>
  <si>
    <t>Aceclofenac IP 100mg + 
Paracetamol IP 325mg</t>
  </si>
  <si>
    <t>WILLGO-SP TABLETS</t>
  </si>
  <si>
    <t>Each film coated tablet contains: 
Aceclofenac IP….. 100 mg
Serratiopeptidase IP …...15 mg
(30,000 Serratiopeptidase Units) (As enteric coated granules)
Paracetamol IP ……...325 mg
Excipients……… q.s.
COLOUR : SUNSET YELLOW LAKE AND TITANIUM DIOXIDE IP</t>
  </si>
  <si>
    <t>Aceclofenac IP  100 mg + 
Serratiopeptidase IP  15 mg
(30,000 Serratiopeptidase Units) (As enteric coated granules) + 
Paracetamol IP 325 mg</t>
  </si>
  <si>
    <t>WILLGO-TH4 TABLETS</t>
  </si>
  <si>
    <t>Each film coated tablet contains: 
Aceclofenac IP …...100mg
Thiocolchicoside IP….. 4mg
Excipients ………….q.s.
COLOUR: QUINOLINE YELLOW FCF &amp; TITANIUM DIOXIDE IP</t>
  </si>
  <si>
    <t>Aceclofenac IP  100mg + 
Thiocolchicoside IP  4mg</t>
  </si>
  <si>
    <t>FLOKIND-0.4</t>
  </si>
  <si>
    <t>EACH FILM COATED EXTENDED RELEASE TABLET CONTAINS :
TAMSULOSIN HYDROCHLORIDE IP……...0.4 MG</t>
  </si>
  <si>
    <t>TAMSULOSIN HYDROCHLORIDE IP 0.4 MG</t>
  </si>
  <si>
    <t>0.4 MG</t>
  </si>
  <si>
    <t>Victrix Mankind Specialities (A Division of Mankind Pharma Ltd.)</t>
  </si>
  <si>
    <t>FLOKIND-D</t>
  </si>
  <si>
    <t>EACH FILM COATED TABLET CONTAINS :
TAMSULOSIN HYDROCHLORIDE IP………...0.4 MG
(AS SUSTAINED RELEASE)
DUTASTERIDE IP……………………………………...0.5MG
EXCIPIENTS……………………………………………….Q.S.</t>
  </si>
  <si>
    <t>TAMSULOSIN HYDROCHLORIDE IP 0.4 MG
(AS SUSTAINED RELEASE) + 
DUTASTERIDE IP 0.5MG</t>
  </si>
  <si>
    <t>FLOKIND-F</t>
  </si>
  <si>
    <t>EACH FILM COATED TABLET CONTAINS :
TAMSULOSIN HYDROCHLORIDE IP………...0.4 MG
(AS SUSTAINED RELEASE)
FINASTERIDE IP……………………………………….5 MG</t>
  </si>
  <si>
    <t>15 TAB</t>
  </si>
  <si>
    <t>30 TAB</t>
  </si>
  <si>
    <t>M/s Mediforce Healthcare Pvt. Ltd., Plot No. 8-13, Phase-III, Industrial Area, Gondpur, Paonta Sahib, Distt Sirmour, HP-173025 &amp; M/s Next Wave (India), Rampur Ghat, Paonta Sahib, Distt. Sirmour (HP)-173025</t>
  </si>
  <si>
    <t>10 TAB</t>
  </si>
  <si>
    <t>M/s Mankind Pharma Ltd., Doring Block, Bermoik Elaka, South-Sikkim 737126 &amp; M/s Next Wave (India), Rampur Ghat, Paonta Sahib, Distt. Sirmour (HP)-173025 &amp; M/s Mediforce Healthcare Pvt. Ltd., Plot No. 8-13, Phase-III, Industrial Area, Gondpur, Paonta Sahib, Distt Sirmour, HP-173025</t>
  </si>
  <si>
    <t>M/s Mankind Pharma Ltd., Doring Block, Bermoik Elaka, South-Sikkim 737126 &amp; M/s Mediforce Healthcare Pvt. Ltd., Plot No. 8-13, Phase-III, Industrial Area, Gondpur, Paonta Sahib, Distt Sirmour, HP-173025</t>
  </si>
  <si>
    <t>14 TAB</t>
  </si>
  <si>
    <t>7 TAB</t>
  </si>
  <si>
    <t>1 TAB</t>
  </si>
  <si>
    <t>10 ML</t>
  </si>
  <si>
    <t>M/s Next Wave (India), Rampur Ghat, Paonta Sahib, Distt. Sirmour (HP)-173025 &amp;  M/s Penta Kraft, Plot No. 9,10 &amp; 12, Sector-3A, SIDCUL, Haridwar-249403</t>
  </si>
  <si>
    <t>M/s Pure &amp; Cure Healthcare Pvt. Ltd. (A Subsidiary of Akums Drugs &amp; Pharmaceuticals Ltd.)
Plot No. 26A, 27-30, Sector-8A, I.I.E., SIDCUL, Ranipur, Haridwar-249403, Uttarakhand. &amp; M/s Next Wave (India), Rampur Ghat, Paonta Sahib, Distt. Sirmour (HP)-173025</t>
  </si>
  <si>
    <t>M/s Next Wave (India), Rampur Ghat, Paonta Sahib, Distt. Sirmour (HP)-173025 &amp; M/s Pure &amp; Cure Healthcare Pvt Ltd. Plot No 26A-30, Sector-8A, IIE, SIDCUL, Haridwar-249403</t>
  </si>
  <si>
    <t>M/s Copmed Pharmaceuticals Pvt. Ltd.(Unit-II), Plot No-50 Industrial Area, Gondpur, Poanta Sahib, Distt. Sirmour (HP)-173025 &amp; M/s Malik Lifesciences Pvt. Ltd. (A Subsidiary of Akums Drugs &amp; Pharmaceuticals Ltd.) 
Plot No-16, Vardhman Indl. Estate, Vill-B</t>
  </si>
  <si>
    <t>M/s Copmed Pharmaceuticals Pvt. Ltd.(Unit-II), Plot No-50 Industrial Area, Gondpur, Poanta Sahib, Distt. Sirmour (HP)-173025 &amp; M/s Innova Captab Ltd, 1281/1, Hilltop Industrial Estate, Near EPIP Phase-1 Jharmajri Baddi, Distt. Solan (H.P.)-173205</t>
  </si>
  <si>
    <t>30 ML</t>
  </si>
  <si>
    <t>M/s Innova Captab Pvt Ltd, 1281/1, Hilltop Indl. Estate, Near EPIP, Phase-I Jharmajri, Baddi Distt. Solan (HP)</t>
  </si>
  <si>
    <t>60 ML</t>
  </si>
  <si>
    <t>M/s Mankind Pharma Ltd. Village- Kishanpura, P.O Jamniwala, Tehsil- Paonta Sahib, District Sirmour-173025, Himachal Pradesh-173025  (INDIA)  UNIT-2</t>
  </si>
  <si>
    <t>100 ML</t>
  </si>
  <si>
    <t>M/s Mankind Pharma Ltd. Village- Kishanpura, P.O Jamniwala, Tehsil- Paonta Sahib, District Sirmour-173025,  UNIT-2</t>
  </si>
  <si>
    <t>75 GM</t>
  </si>
  <si>
    <t>M/s Mankind Pharma Ltd. At: Plot No: 38 &amp; 39, Sector-11, I.I.E.,
Sidcul, Haridwar, Uttarakhand-249403</t>
  </si>
  <si>
    <t>M/s Hitech Formulations PVT. LTD. 
Vill. Karuwana, (Gullarwala), Baddi, Distt. Solan (H.P.) 173205</t>
  </si>
  <si>
    <t>200 ML</t>
  </si>
  <si>
    <t>21.5 GM</t>
  </si>
  <si>
    <t>M/s Next Wave (India), Rampur Ghat, Paonta Sahib, Distt. Sirmour (HP)-173025 &amp; M/s Mediforce Healthcare Pvt. Ltd., Plot No. 8-13, Phase-III, Industrial Area, Gondpur, Paonta Sahib, Distt Sirmour, HP-173025</t>
  </si>
  <si>
    <t>M/s Sirmour Remedies Pvt. Ltd., Village Kayarda, PO Missarwala, Poanta Sahib, Distt. Sirmour (HP)-173025 &amp; M/s Next Wave (India), Rampur Ghat, Paonta Sahib, Distt. Sirmour (HP)-173025</t>
  </si>
  <si>
    <t>M/s Mediforce Healthcare Pvt. Ltd., Plot No. 8-13, Phase-III, Industrial Area, Gondpur, Paonta Sahib, Distt Sirmour, HP-173025 &amp; M/s Mankind Pharma Ltd., Doring Block, Bermoik Elaka, South-Sikkim 737126</t>
  </si>
  <si>
    <t>M/s Pure &amp; Cure Healthcare Pvt Ltd. Plot No 26A-30, Sector-8A, IIE, SIDCUL, Haridwar-249403</t>
  </si>
  <si>
    <t>10 CAP</t>
  </si>
  <si>
    <t>M/s Windlas Biotech Limited, Plant-2, Khasra No 141 to 143 &amp; 145, Mohabewala Indl. Area, Dehradun-248110 (U.K.)</t>
  </si>
  <si>
    <t xml:space="preserve">M/s Mankind Pharma Ltd., Doring Block, Bermoik Elaka, South-Sikkim 737126 &amp; M/s Pharma Force Lab, (Unit-I) 53-55, Ind. Area,Gondpur, Paonta Sahib (H.P)-173025 </t>
  </si>
  <si>
    <t>15 CAP</t>
  </si>
  <si>
    <t>M/s Sirmour Remedies Pvt. Ltd., Village Kayarda, PO Missarwala, Poanta Sahib, Distt. Sirmour (HP)-173025 &amp; M/s Mankind Pharma Ltd. Village- Kishanpura, P.O Jamniwala, Tehsil- Paonta Sahib, District Sirmour-173025, Himachal Pradesh (INDIA)  UNIT-2</t>
  </si>
  <si>
    <t>M/s Mankind Pharma Ltd.
Village- Kishanpura, P.O Jamniwala, Tehsil- Paonta Sahib, District Sirmour-173025, Himachal Pradesh (INDIA) UNIT-II</t>
  </si>
  <si>
    <t>M/s Pharma Force Lab, (Unit-I) 53-55, Ind. Area,Gondpur, Paonta Sahib (H.P)-173025 &amp; M/s Mankind Pharma Ltd., Doring Block, Bermoik Elaka, South-Sikkim 737126</t>
  </si>
  <si>
    <t>M/s Relax Pharmasceuticals Pvt. Ltd., Unit-I Plot No
48 A &amp; B, Gondpur Industrial Area, Tehsil Poonla-Sultib, Dislrict Sirmour-
173025, H.P. (INDIA)</t>
  </si>
  <si>
    <t>M/s Copmed Pharmaceuticals Pvt. Ltd.(Unit-II), Plot No-50 Industrial Area, Gondpur, Poanta Sahib, Distt. Sirmour (HP)-173025 &amp; M/s Malik Lifesciences Pvt. Ltd. (A Subsidiary of Akums Drugs &amp; Pharmaceuticals Ltd.) 
Plot No-16, Vardhman Indl. Estate, Vill-Bahadarpur Saini, N.H. 58, Haridwar-247667 (Uttarakhand)</t>
  </si>
  <si>
    <t>6 TAB</t>
  </si>
  <si>
    <t>M/s Malik Lifesciences Pvt. Ltd. (A Subsidiary of Akums Drugs &amp; Pharmaceuticals Ltd.) 
Plot No-16, Vardhman Indl. Estate, Vill-Bahadarpur Saini, N.H. 58, Haridwar-247667 (Uttarakhand) &amp; M/s Copmed Pharmaceuticals Pvt. Ltd.(Unit-II), Plot No-50 Industrial Area, Gondpur, Poanta Sahib, Distt. Sirmour (HP)-173025</t>
  </si>
  <si>
    <t>50 ML</t>
  </si>
  <si>
    <t>1 STRIP</t>
  </si>
  <si>
    <t>M/s Mankind Pharma Ltd. Village- Kishanpura, P.O Jamniwala, Tehsil- Paonta Sahib, District Sirmour-173025, Himachal Pradesh (INDIA)  UNIT-2 &amp; M/s ZIM
LABORATORIES LTD. 6-21/22 M.I.D.C AREA, KALMESHWAR - 441 501 DIST.
NAGPUR</t>
  </si>
  <si>
    <t>M/s Mankind Pharma Ltd., Doring Block, Bermoik Elaka, South-Sikkim 737126 &amp; M/s J.K Print Packs (Pharma Division), C-14 to 17, Sara Industrial Estate Ltd., Vill Rampur, Selaqui, Distt Dehradun-248197</t>
  </si>
  <si>
    <t>5 ML</t>
  </si>
  <si>
    <t>M/s Akums Drugs &amp; Pharmaceuticals Ltd., Plot No - 2,3,4&amp;5, Sector-6B, I.I.E., SIDCUL, Ranipur, Haridwar-249403 Unit-III</t>
  </si>
  <si>
    <t>20 TAB</t>
  </si>
  <si>
    <t>1 ML</t>
  </si>
  <si>
    <t>M/s Mankind Pharma Ltd. Village- Kishanpura, P.O Jamniwala, Tehsil- Paonta Sahib, District Sirmour-173025, Himachal Pradesh (INDIA)  Unit-1.</t>
  </si>
  <si>
    <t>M/s Shanerila Industries (P) Ltd, ( Pharma Division) Mining Rangpo, East-Sikkim 737132</t>
  </si>
  <si>
    <t xml:space="preserve">M/s Pharma Force Lab, (Unit-I) 53-55, Ind. Area,Gondpur, Paonta Sahib (H.P)-173025 </t>
  </si>
  <si>
    <t>M/s Pharma Force Lab, (Unit-I) 53-55, Ind. Area,Gondpur, Paonta Sahib (H.P)-173025 &amp; M/s Shanerila Industries (P) Ltd, ( Pharma Division) Mining Rangpo, East-Sikkim 737132</t>
  </si>
  <si>
    <t>M/s Next Wave (INDIA)
Rampur Ghat,
Paonta Sahib-173025
Distt. Sirmour (H.P)</t>
  </si>
  <si>
    <t>2 ML</t>
  </si>
  <si>
    <t>M/s Mankind Pharma Ltd., Village Kishanpura, Paonta Sahib, Distt. Sirmour (HP)-173025</t>
  </si>
  <si>
    <t>M/s Vivimed Labs Ltd
PLOT NO. 8, Phase-V, IDA, JEEDIMETLA, 
Medehal- Malkajgiri District,
Telangana State-500055 &amp; M/s Om Sai Pharma Pack, Plot No. 38 &amp; 39 Sector 11, IIE, SIDCUL, Haridwar-249403</t>
  </si>
  <si>
    <t>2 TAB</t>
  </si>
  <si>
    <t xml:space="preserve">M/s Mediforce Healthcare Pvt. Ltd., Plot No. 8-13, Phase-III, Industrial Area, Gondpur, Paonta Sahib, Distt Sirmour, HP-173025 &amp; M/s Pharma Force Lab, (Unit-I) 53-55, Ind. Area,Gondpur, Paonta Sahib (H.P)-173025 </t>
  </si>
  <si>
    <t>15 GM</t>
  </si>
  <si>
    <t>M/s Sirmour Remedies Pvt. Ltd., Village Kayarda, PO Missarwala, Poanta Sahib, Distt. Sirmour (HP)-173025 &amp; M/s Pharma Force Lab. (Unit-II), Plot No. 83-86 Indl. Area, Gondpur, Paonta Sahib, Distt. Sirmour (HP)-173025</t>
  </si>
  <si>
    <t>5 GM</t>
  </si>
  <si>
    <t xml:space="preserve">M/s Mediforce Healthcare Pvt. Ltd., Plot No. 8-13, Phase-III, Industrial Area, Gondpur, Paonta Sahib, Distt Sirmour, HP-173025 &amp; M/s Next Wave (India), Rampur Ghat, Paonta Sahib, Distt. Sirmour (HP)-173025 </t>
  </si>
  <si>
    <t>M/s Mankind Pharma Ltd., Doring Block, Bermoik Elaka, South-Sikkim 737126 &amp; M/s Next Wave (India), Rampur Ghat, Paonta Sahib, Distt. Sirmour (HP)-173025</t>
  </si>
  <si>
    <t>M/s Next Wave (India), Rampur Ghat, Paonta Sahib, Distt. Sirmour (HP)-173025 &amp; M/s Windlas Biotech Private Limited 
Plant-2, Khasra No. 141 to 143
&amp; 145, Mohabewala Indl. Area, 
Dehradun-248110 (U.K.)
R.O.:40/1, Mohabewala
Indl. Area, Dehradun.</t>
  </si>
  <si>
    <t>1 PACK</t>
  </si>
  <si>
    <t>M/s J.K Print Packs (Pharma Division), C-14 to 17, Sara Industrial Estate Ltd., Vill Rampur, Selaqui, Distt Dehradun-248197 &amp; M/s Mankind Pharma Ltd., Doring Block, Bermoik Elaka, South-Sikkim 737126</t>
  </si>
  <si>
    <t>M/s Sirmour Remedies Pvt. Ltd., Village Kayarda, PO Missarwala, Poanta Sahib, Distt. Sirmour (HP)-173025 &amp; M/s Mankind Pharma Ltd., Doring Block, Bermoik Elaka, South-Sikkim 737126</t>
  </si>
  <si>
    <t>M/s J.K Print Packs (Pharma Division), C-14 to 17, Sara Industrial Estate Ltd., Vill Rampur, Selaqui, Distt Dehradun-248197 &amp; M/s Windlas Biotech Private Limited 
Plant-2, Khasra No. 141 to 143
&amp; 145, Mohabewala Indl. Area, 
Dehradun-248110 (U.K.)
R.O.:40/1, Mohabewala
Indl. Area, Dehradun. &amp; M/s Mankind Pharma Ltd., Doring Block, Bermoik Elaka, South-Sikkim 737126</t>
  </si>
  <si>
    <t xml:space="preserve">M/s J.K Print Packs (Pharma Division), C-14 to 17, Sara Industrial Estate Ltd., Vill Rampur, Selaqui, Distt Dehradun-248197 &amp; M/s Mankind Pharma Ltd., Doring Block, Bermoik Elaka, South-Sikkim 737126 </t>
  </si>
  <si>
    <t>M/s J.K Print Packs (Pharma Division), C-14 to 17, Sara Industrial Estate Ltd., Vill Rampur, Selaqui, Distt Dehradun-248197 &amp; M/s Ravenbhel Biotech, EPIP, SIDCO, Kartholi, Bari Brahmana, Jammu-181133 &amp; M/s Mankind Pharma Ltd., Doring Block, Bermoik Elaka, South-Sikkim 737126</t>
  </si>
  <si>
    <t>M/s, Synokem Lifesciences Pvt. Ltd.
Plot No. 11, Sector-4, LLE, SIDCUL, Ranipur, Haridwar-249403 (UTTARAKHAND)</t>
  </si>
  <si>
    <t xml:space="preserve">15 ML </t>
  </si>
  <si>
    <t>M/s Cris Pharma (India) Limited, E-11 UPSIDC Ind. Area, Selaqui Dehradun-248197 &amp; M/s Indu Drugs Pvt Ltd., 5-5-35/278, 279 &amp; 281/1 (Part), Prasanthi Nagar IDA, Kukatpally, Hyderabad-500072</t>
  </si>
  <si>
    <t>M/s Mankind Pharma Ltd. Village- Kishanpura, P.O Jamniwala, Tehsil- Paonta Sahib, District Sirmour-173025, Himachal Pradesh (INDIA)  UNIT-2 &amp; M/s Cris Pharma (India) Limited, E-11 UPSIDC Ind. Area, Selaqui Dehradun-248197</t>
  </si>
  <si>
    <t>1 KIT</t>
  </si>
  <si>
    <t>M/s Shilpa Therapeutics Pvt. Ltd., Plot No.118, Phase-III, IDA, Cherlapally, Hyderabad, Telangana-500051 &amp; M/s Mankind Pharma Ltd. Village- Kishanpura, P.O Jamniwala, Tehsil- Paonta Sahib, District Sirmour-173025, Himachal Pradesh (INDIA)  UNIT-2</t>
  </si>
  <si>
    <t>M/s Nichepharm Lifesciences Private Limited,
Khasra No. 1/1/4/1, Mauza Central Hope Town,
Pargana Pachwadoon, Teshil Vikas Nagar,
Dehradun Uttarakhand-248197.</t>
  </si>
  <si>
    <t>M/s Pure &amp; Cure Healthcare Pvt. Ltd. (A Subsidiary of Akums Drugs &amp; Pharmaceuticals Ltd.)
Plot No. 26A, 27-30, Sector-8A, I.I.E., SIDCUL, Ranipur, Haridwar-249403, Uttarakhand. &amp; M/s Axa Parenterals Ltd. Plot No. 936,937 &amp; 939, Village Kishanpur, Jamalpur, Roorkee-247667 Distt. Haridwar, Uttarakhand</t>
  </si>
  <si>
    <t>M/s Mankind Pharma Ltd. Village- Kishanpura, P.O Jamniwala, Tehsil- Paonta Sahib, District Sirmour-173025, Himachal Pradesh (INDIA)  UNIT-2 &amp; M/s Mankind Pharma Ltd., Doring Block, Bermoik Elaka, South-Sikkim 737126</t>
  </si>
  <si>
    <t>M/s Hanuchem Laboratories Plot No. 15, 16 &amp; 17, Sector-5,
Ind. Area, Parwanoo, Distt. Solan (H.P.)-173220</t>
  </si>
  <si>
    <t>1 GM</t>
  </si>
  <si>
    <t>M/s J.K Print Packs (Pharma Division), C-14 to 17, Sara Industrial Estate Ltd., Vill Rampur, Selaqui, Distt Dehradun-248197 &amp; M/s Copmed Pharmaceuticals Pvt. Ltd. (Unit-III), Plot No-25 &amp; 26 Gondpur Industrial Area, Poanta Sahib, Distt. Sirmour (HP)-173025</t>
  </si>
  <si>
    <t>M/s Mankind Pharma Ltd. Village- Kishanpura, P.O Jamniwala, Tehsil- Paonta Sahib, District Sirmour-173025, Himachal Pradesh (INDIA)  UNIT-2 &amp; M/s Pure &amp; Cure Healthcare Pvt. Ltd. (A Subsidiary of Akums Drugs &amp; Pharmaceuticals Ltd.)
Plot No. 26A, 27-30, Sector-8A, I.I.E., SIDCUL, Ranipur, Haridwar-249403, Uttarakhand.</t>
  </si>
  <si>
    <t>M/s Pharma Force Lab. (Unit-II), Plot No. 83-86 Indl. Area, Gondpur, Paonta Sahib, Distt. Sirmour (HP)-173025</t>
  </si>
  <si>
    <t>M/s SYNOKEM PHARMACEUTICALS LTD PLOT NO. 56-57, SECTOR-6A, I.I.E. (SIDCUL), RANIPUR (BHEL), HARIDWAR-249403 (UTTARAKHAND)</t>
  </si>
  <si>
    <t>M/s Sirmour Remedies Pvt. Ltd., Village Kayarda, PO Missarwala, Poanta Sahib, Distt. Sirmour (HP)-173021</t>
  </si>
  <si>
    <t>M/s Pure &amp; Cure Healthcare Pvt. Ltd. (A Subsidiary of Akums Drugs &amp; Pharmaceuticals Ltd.)
Plot No. 26A 30, Sector-8A, I.I.E., SIDCUL, Ranipur, Haridwar-249403, Uttarakhand. &amp; M/s Next Wave (India), Rampur Ghat, Paonta Sahib, Distt. Sirmour (HP)-173025</t>
  </si>
  <si>
    <t>M/s Ravenbhel Healthcare Pvt Ltd, At: EPIP, SIDCO, Kartholi, Bari Brahmana, Jammu-181133</t>
  </si>
  <si>
    <t>5 TAB</t>
  </si>
  <si>
    <t>M/s Pharma Force Lab, (Unit-I) 53-55, Ind. Area,Gondpur, Paonta Sahib (H.P)-173025 &amp; M/s Mediforce Healthcare Pvt. Ltd., Plot No. 8-13, Phase-III, Industrial Area, Gondpur, Paonta Sahib, Distt Sirmour, HP-173025</t>
  </si>
  <si>
    <t>M/s Next Wave (India), Rampur Ghat, Paonta Sahib, Distt. Sirmour (HP)-173025 &amp; M/s Pure &amp; Cure Healthcare Pvt. Ltd. (A Subsidiary of Akums Drugs &amp; Pharmaceuticals Ltd.)
Plot No. 26A, 27-30, Sector-8A, I.I.E., SIDCUL, Ranipur, Haridwar-249403, Uttarakhand.</t>
  </si>
  <si>
    <t>M/s Mankind Pharma Ltd., Doring Block, Bermoik Elaka, South-Sikkim 737126 &amp; M/s Mankind Pharma Ltd. Village- Kishanpura, P.O Jamniwala, Tehsil- Paonta Sahib, District Sirmour-173025, Himachal Pradesh-173025  (INDIA)  UNIT-2</t>
  </si>
  <si>
    <t>M/s J.K Print Packs (Pharma Division), C-14 to 17, Sara Industrial Estate Ltd., Vill Rampur, Selaqui, Distt Dehradun-248197 &amp; M/s Mediforce Healthcare Pvt. Ltd., Plot No. 8-13, Phase-III, Industrial Area, Gondpur, Paonta Sahib, Distt Sirmour, HP-173025 &amp; M/s Mankind Pharma Ltd., Doring Block, Bermoik Elaka, South-Sikkim 737126</t>
  </si>
  <si>
    <t xml:space="preserve">M/s Mediforce Healthcare Pvt. Ltd., Plot No. 8-13, Phase-III, Industrial Area, Gondpur, Paonta Sahib, Distt Sirmour, HP-173025 &amp;  M/s Mankind Pharma Ltd., Doring Block, Bermoik Elaka, South-Sikkim 737126 </t>
  </si>
  <si>
    <t>M/s Windlas Biotech Private Limited 
Plant-2, Khasra No. 141 to 143
&amp; 145, Mohabewala Indl. Area, 
Dehradun-248110 (U.K.)
R.O.:40/1, Mohabewala
Indl. Area, Dehradun. &amp; M/s Mankind Pharma Ltd. Village- Kishanpura, P.O Jamniwala, Tehsil- Paonta Sahib, District Sirmour-173025, Himachal Pradesh (INDIA)  UNIT-2</t>
  </si>
  <si>
    <t xml:space="preserve">M/s Mediforce Healthcare Pvt. Ltd., Plot No. 8-13, Phase-III, Industrial Area, Gondpur, Paonta Sahib, Distt Sirmour, HP-173025 &amp; M/s Windlas Biotech Private Limited 
Plant-2, Khasra No. 141 to 143
&amp; 145, Mohabewala Indl. Area, 
Dehradun-248110 (U.K.)
R.O.:40/1, Mohabewala
Indl. Area, Dehradun. </t>
  </si>
  <si>
    <t>M/s Pharma Force Lab. (Unit-II), Plot No. 85 &amp; 86 Indl. Area, Gondpur, Paonta Sahib, Distt. Sirmour (HP)-173025 &amp; M/s Zeon Lifesciences Ltd. (Natural Division) Vill. Kunja, Rampur Road, District Sirmour Paonta Sahib, H.P. - 173025</t>
  </si>
  <si>
    <t>M/s Relax Pharmaceuticals Pvt. Ltd.,(Unit-II) 49-A-B, Industrial Area, Gondpur, Poanta Sahib, Distt. Sirmour (HP)-173025</t>
  </si>
  <si>
    <t>5 G/10 ML</t>
  </si>
  <si>
    <t xml:space="preserve">M/s Malik Lifesciences Pvt. Ltd. (A Subsidiary of Akums Drugs &amp; Pharmaceuticals Ltd.) 
Plot No-16, Vardhman Indl. Estate, Vill-Bahadarpur Saini, N.H. 58, Haridwar-247667 (Uttarakhand) &amp; M/s Copmed Pharmaceuticals Pvt. Ltd.(Unit-II), Plot No-50 Industrial Area, Gondpur, Poanta Sahib, Distt. Sirmour (HP)-173025 </t>
  </si>
  <si>
    <t>M/s Next Wave (India), Rampur Ghat, Paonta Sahib, Distt. Sirmour (HP)-173025 &amp; M/s Malik Lifesciences Pvt. Ltd. (A Subsidiary of Akums Drugs &amp; Pharmaceuticals Ltd.) 
Plot No-16, Vardhman Indl. Estate, Vill-Bahadarpur Saini, N.H. 58, Haridwar-247667 (Uttarakhand)</t>
  </si>
  <si>
    <t xml:space="preserve">M/s Pharma Force Lab, (Unit-I) 53-55, Ind. Area,Gondpur, Paonta Sahib (H.P)-173025 &amp; M/s Mankind Pharma Ltd. Village- Kishanpura, P.O Jamniwala, Tehsil- Paonta Sahib, District Sirmour-173025,  UNIT-2 </t>
  </si>
  <si>
    <t>M/s Mediforce Healthcare Pvt. Ltd., Plot No. 8-13, Phase-III, Industrial Area, Gondpur, Paonta Sahib, Distt Sirmour, HP-173025 &amp; M/s Penta Kraft, Plot No. 9,10 &amp; 12, Sector-3A, SIDCUL, Haridwar-249403</t>
  </si>
  <si>
    <t>M/s Pharma Force Lab. (Unit-II), Plot No. 85 &amp; 86 Indl. Area, Gondpur, Paonta Sahib, Distt. Sirmour (HP)-173025 &amp; M/s Copmed Pharmaceuticals Pvt. Ltd.,(Unit-I) Plot No-4 A-B Industrial Area, Gondpur, Poanta Sahib, Distt. Sirmour (HP)-173025</t>
  </si>
  <si>
    <t>M/s Pure &amp; Cure Healthcare Pvt. Ltd. (A Subsidiary of Akums Drugs &amp; Pharmaceuticals Ltd.)
Plot No. 26A, 27-30, Sector-8A, I.I.E., SIDCUL, Ranipur, Haridwar-249403, Uttarakhand. &amp; M/s Rivpra Formulation Pvt Ltd. Plot No 8, Sector-6A, IIE, SIDCUL, Haridwar-249403</t>
  </si>
  <si>
    <t>M/s Mankind Pharma Ltd., Doring Block, Bermoik Elaka, South-Sikkim 737126 &amp; M/s Swiss Garnier Biotech., 21 Indl. Area, Mehatpur, Distt. UNA (HP)-174315</t>
  </si>
  <si>
    <t>M/s Psychotropics India Ltd., Plot No.46 &amp; 49 , Sector 6-A, IIE, SIDCUL, Industrial Area Haridwar-249403 (Uttarakhand) &amp; M/s Om Sai Pharma Pack, Plot No. 38 &amp; 39 Sector 11, IIE, SIDCUL, Haridwar-249403</t>
  </si>
  <si>
    <t>10 GM</t>
  </si>
  <si>
    <t>30 GM</t>
  </si>
  <si>
    <t>M/s J.K Print Packs (Pharma Division), C-14 to 17, Sara Industrial Estate Ltd., Vill Rampur, Selaqui, Distt Dehradun-248197 &amp; M/s Next Wave (India), Rampur Ghat, Paonta Sahib, Distt. Sirmour (HP)-173025</t>
  </si>
  <si>
    <t>M/s Pure &amp; Cure Healthcare Pvt Ltd. Plot No 26A-30, Sector-8A, IIE, SIDCUL, Haridwar-249403 &amp; M/s Penta Kraft, Plot No. 9,10 &amp; 12, Sector-3A, SIDCUL, Haridwar-249403</t>
  </si>
  <si>
    <t>M/s Nitin Lifesciences Ltd., Rampurghat Road, Paonta Sahib, Distt.Sirmour (HP)-173025 (H.P.)</t>
  </si>
  <si>
    <t>M/s SYNOKEM PHARMACEUTICALS LTD PLOT NO. 35-36, SECTOR-6A, I.I.E. (SIDCUL), RANIPUR (BHEL), HARIDWAR-249403 (UTTARAKHAND)</t>
  </si>
  <si>
    <t>M/s, Synokem Lifesciences Pvt. Ltd.</t>
  </si>
  <si>
    <t>M/s Pharma Force Lab, (Unit-I) 53-55, Ind. Area,Gondpur, Paonta Sahib (H.P)-173025 &amp; M/s Penta Kraft, Plot No. 9,10 &amp; 12, Sector-3A, SIDCUL, Haridwar-249403</t>
  </si>
  <si>
    <t>10  TAB</t>
  </si>
  <si>
    <t>M/s Malik Lifesciences Pvt. Ltd. (A Subsidiary of Akums Drugs &amp; Pharmaceuticals Ltd.) 
Plot No-16, Vardhman Indl. Estate, Vill-Bahadarpur Saini, N.H. 58, Haridwar-247667 (Uttarakhand) &amp; M/s Relax Plturmsceuticals Pvt. Ltd., Unit-I Plot No
48 A &amp; B, Gondpur Industrial Area, Tehsil Poonla-Sultib, Dislrict Sirmour-
173025, H.P. (INDIA)</t>
  </si>
  <si>
    <t>M/s Tirupati Lifesciences PVT. LTD., Nahan Road, Paonta Sahib, Distt. Sirmour (H.P.)-173025</t>
  </si>
  <si>
    <t>8 TAB</t>
  </si>
  <si>
    <t>M/s Sirmour Remedies Pvt. Ltd., Village Kayarda, PO Missarwala, Poanta Sahib, Distt. Sirmour (HP)-173025 &amp; M/s Cris Pharma (India) Limited, E-11 UPSIDC Ind. Area, Selaqui Dehradun-248197</t>
  </si>
  <si>
    <t>M/s Sirmour Remedies Pvt. Ltd., Village Kayarda, PO Missarwala, Poanta Sahib, Distt. Sirmour (HP)-173021 &amp; M/s Tirupati Medicare Private Limited Nahan Road, Paonta Sahib, Distt, Sirmour (H.P.)-173025</t>
  </si>
  <si>
    <t>8.4 G/30 ML</t>
  </si>
  <si>
    <t>M/s J.K Print Packs (Pharma Division), C-14 to 17, Sara Industrial Estate Ltd., Vill Rampur, Selaqui, Distt Dehradun-248197 &amp; M/s Hetero Labs Limited (Unit-II),  Village Kalyanpur, Chakkan Road, Tehsil Baddi, Distt Solan (H.P.)-173205</t>
  </si>
  <si>
    <t>300 ML</t>
  </si>
  <si>
    <t>M/s Mediforce Healthcare Pvt. Ltd., Plot No. 8-13, Phase-III, Industrial Area, Gondpur, Paonta Sahib, Distt Sirmour, HP-173025 &amp; M/s Mankind Pharma Ltd. Village- Kishanpura, P.O Jamniwala, Tehsil- Paonta Sahib, District Sirmour-173025, Himachal Pradesh (INDIA)  UNIT-2</t>
  </si>
  <si>
    <t>M/s Next Wave (India), Rampur Ghat, Paonta Sahib, Distt. Sirmour (HP)-173025 &amp; M/s Cris Pharma (India) Limited, E-11 UPSIDC Ind. Area, Selaqui Dehradun-248197</t>
  </si>
  <si>
    <t>12 GM</t>
  </si>
  <si>
    <t>M/s Akums Drugs &amp; Pharmaceuticals Ltd., 19,20,21, Sector-6A, I.I.E., SIDCUL, Haridwar-249403 Unit-I</t>
  </si>
  <si>
    <t>M/s Sunglow Lifescience Private Limited, S.No. 208/1A, 208/2A1B, 220/3B,
Nelvoy-Thirumukkoodal Road, Kattankulam Village,Uthiramerur Taluk,
Kancheepuram Dist-631606.</t>
  </si>
  <si>
    <t>30 CAP</t>
  </si>
  <si>
    <t>M/s Vamsi Pharma Pvt. Ltd. SY. No. 707 &amp; 708, Mekaguda (V),
Nandigama (M), Ranga Reddy (Dist.) Telangana-509228</t>
  </si>
  <si>
    <t>120 MDI</t>
  </si>
  <si>
    <t>120 MDI </t>
  </si>
  <si>
    <t>16 GM</t>
  </si>
  <si>
    <t>M/s Biodeal Pharmaceuticals Pvt. Ltd. Village Saini Majra,
Nalagarh-Ropar Road, Nalagarh, District Solan-174101 (H..P.)</t>
  </si>
  <si>
    <t>7 GM</t>
  </si>
  <si>
    <t>1 DEVICE</t>
  </si>
  <si>
    <t>M/s Taian Dalu Medical Instrument Co., Ltd. West Part of Yitianmen Street,
Hi-tech Zone Taian, Shandong,China TI NO. 9137090056405061XL</t>
  </si>
  <si>
    <t>M/s Glenmark Pharmaceuticals Ltd. Shop No. 10, Dilip Empire, Ground Floor, Dilip Nagar, Tin Batti, Nani Daman-396210. Mfg. At: 197/2, Athiyawad, Near Dargarh, Dabhel Village, Daman-396210.</t>
  </si>
  <si>
    <t>M/s Pure &amp; Cure Healthcare Pvt. Ltd. (A Subsidiary of Akums Drugs &amp; Pharmaceuticals Ltd.)
Plot No. 26A, 27-30, Sector-8A, I.I.E., SIDCUL, Ranipur, Haridwar-249403, Uttarakhand. &amp; M/s J.K Print Packs (Pharma Division), C-14 to 17, Sara Industrial Estate Ltd., Vill Rampur, Selaqui, Distt Dehradun-248197</t>
  </si>
  <si>
    <t>M/s J.K Print Packs (Pharma Division), C-14 to 17, Sara Industrial Estate Ltd., Vill Rampur, Selaqui, Distt Dehradun-248197 &amp;  M/s Mankind Pharma Ltd., Doring Block, Bermoik Elaka, South-Sikkim 737126</t>
  </si>
  <si>
    <t>M/s Mankind Pharma Ltd., Doring Block, Bermoik Elaka, South-Sikkim 737126 &amp; M/s Windlas Biotech Private Limited 
Plant-2, Khasra No. 141 to 143
&amp; 145, Mohabewala Indl. Area, 
Dehradun-248110 (U.K.)
R.O.:40/1, Mohabewala
Indl. Area, Dehradun.</t>
  </si>
  <si>
    <t>M/s Pharma Force Lab. (Unit-II), Plot No. 85 &amp; 86 Indl. Area, Gondpur, Paonta Sahib, Distt. Sirmour (HP)-173025 &amp; M/s Sirmour Remedies Pvt. Ltd., Village Kayarda, PO Missarwala, Poanta Sahib, Distt. Sirmour (HP)-173025</t>
  </si>
  <si>
    <t>M/s Mankind Pharma Ltd. Village- Kishanpura, P.O Jamniwala, Tehsil- Paonta Sahib, District Sirmour-173025,  UNIT-2 &amp; M/s Mankind Pharma Ltd., Doring Block, Bermoik Elaka, South-Sikkim 737126</t>
  </si>
  <si>
    <t>M/s Mankind Pharma Ltd. Village- Kishanpura, P.O Jamniwala, Tehsil- Paonta Sahib, District Sirmour-173025</t>
  </si>
  <si>
    <t>20 GM</t>
  </si>
  <si>
    <t>23 G/60 ML</t>
  </si>
  <si>
    <t>M/s Swiss Garnier Life Sciences., 21 to 23 Indl. Area, Mehatpur, Distt. UNA (HP)-174315 &amp; M/s Swiss Garnier Biotech., 21 Indl. Area, Mehatpur, Distt. UNA (HP)-174315</t>
  </si>
  <si>
    <t>M/s Windlas Biotech Private Limited 
Plant-2, Khasra No. 141 to 143
&amp; 145, Mohabewala Indl. Area, 
Dehradun-248110 (U.K.)
R.O.:40/1, Mohabewala
Indl. Area, Dehradun. &amp; M/s Next Wave (India), Rampur Ghat, Paonta Sahib, Distt. Sirmour (HP)-173025</t>
  </si>
  <si>
    <t>M/s Exemed Pharmaceuticals, Plot No. 133/1 &amp; 133/2, G.I.D.C.
Selvas Road, Vapi, Valsad-396195, Gujrat (INDIA)</t>
  </si>
  <si>
    <t>M/s Ravenbhel Biotech, EPIP, SIDCO, Kartholi, Bari Brahmana, Jammu-181133 &amp; M/s Mediforce Healthcare Pvt. Ltd., Plot No. 8-13, Phase-III, Industrial Area, Gondpur, Paonta Sahib, Distt Sirmour, HP-173025</t>
  </si>
  <si>
    <t>M/s Mediforce Healthcare Pvt. Ltd., Plot No. 8-13, Phase-III, Industrial Area, Gondpur, Paonta Sahib, Distt Sirmour, HP-173025 &amp; M/s Ravenbhel Biotech, EPIP, SIDCO, Kartholi, Bari Brahmana, Jammu-181133</t>
  </si>
  <si>
    <t>M/s Pure &amp; Cure Healthcare Pvt. Ltd. (A Subsidiary of Akums Drugs &amp; Pharmaceuticals Ltd.)
Plot No. 26A, 27-30, Sector-8A, I.I.E., SIDCUL, Ranipur, Haridwar-249403, Uttarakhand. &amp; M/s Mankind Pharma Ltd. Village- Kishanpura, P.O Jamniwala, Tehsil- Paonta Sahib, District Sirmour-173025, Himachal Pradesh (INDIA)  UNIT-2</t>
  </si>
  <si>
    <t xml:space="preserve"> M/s Pharma Force Lab, (Unit-I) 53-55, Ind. Area,Gondpur, Paonta Sahib (H.P)-173025 &amp; M/s Sirmour Remedies Pvt. Ltd., Village Kayarda, PO Missarwala, Poanta Sahib, Distt. Sirmour (HP)-173025 &amp; M/s Mankind Pharma Ltd., Doring Block, Bermoik Elaka, South-Sikkim 737126</t>
  </si>
  <si>
    <t>M/s Pharma Force Lab, (Unit-I) 53-55, Ind. Area,Gondpur, Paonta Sahib (H.P)-173025 &amp; M/s Hetero Labs Limited, At. Village Saini Majra, Tehsil Nalagarh, Distt Solan (H.P.)-174101</t>
  </si>
  <si>
    <t>M/s Pharma Force Lab 53-55, Ind. Area,Gondpur, Paonta Sahib (H.P)-173025 Unit-1. &amp; M/s Hetero Labs Limited, At. Village Saini Majra, Tehsil Nalagarh, Distt Solan (H.P.)-174101</t>
  </si>
  <si>
    <t>M/s Pure &amp; Cure Healthcare Pvt. Ltd. (A Subsidiary of Akums Drugs &amp; Pharmaceuticals Ltd.)
Plot No. 26A, 27-30, Sector-8A, I.I.E., SIDCUL, Ranipur, Haridwar-249403, Uttarakhand. &amp; M/s Mediforce Healthcare Pvt. Ltd., Plot No. 8-13, Phase-III, Industrial Area, Gondpur, Paonta Sahib, Distt Sirmour, HP-173025</t>
  </si>
  <si>
    <t>M/s Mediforce Healthcare Pvt. Ltd., Plot No. 8-13, Phase-III, Industrial Area, Gondpur, Paonta Sahib, Distt Sirmour, HP-173025 &amp; M/s Pure &amp; Cure Healthcare Pvt. Ltd. (A Subsidiary of Akums Drugs &amp; Pharmaceuticals Ltd.)
Plot No. 26A, 27-30, Sector-8A, I.I.E., SIDCUL, Ranipur, Haridwar-249403, Uttarakhand.</t>
  </si>
  <si>
    <t xml:space="preserve">M/s Mankind Pharma Ltd., Doring Block, Bermoik Elaka, South-Sikkim 737126 &amp; M/s Sirmour Remedies Pvt. Ltd., Village Kayarda, PO Missarwala, Poanta Sahib, Distt. Sirmour (HP)-173025 &amp; M/s Pharma Force Lab, (Unit-I) 53-55, Ind. Area,Gondpur, Paonta Sahib (H.P)-173025 </t>
  </si>
  <si>
    <t>170 ML</t>
  </si>
  <si>
    <t>M/s Sirmour Remedies Pvt. Ltd., Village Kayarda, PO Missarwala, Poanta Sahib, Distt. Sirmour (HP)-173025 &amp; M/s Pharma Force Lab. (Unit-II), Plot No. 84 &amp; 86 Indl. Area, Gondpur, Paonta Sahib, Distt. Sirmour (HP)-173025</t>
  </si>
  <si>
    <t>M/s Akums Drugs &amp; Pharmaceuticals Ltd., Plot No - 22, Sector-6A, I.I.E., SIDCUL, Ranipur, Haridwar-249403 Unit-II</t>
  </si>
  <si>
    <t>M/s Penta Kraft, Plot No. 9,10 &amp; 12, Sector-3A, SIDCUL, Haridwar-249403 &amp; M/s Mankind Pharma Ltd., Doring Block, Bermoik Elaka, South-Sikkim 737126</t>
  </si>
  <si>
    <t>50 GM</t>
  </si>
  <si>
    <t>100 GM</t>
  </si>
  <si>
    <t>150 ML</t>
  </si>
  <si>
    <t>M/s Penta Kraft, Plot No. 9,10 &amp; 12, Sector-3A, SIDCUL, Haridwar-249403 &amp; M/s Cris Pharma (India) Limited, E-11 UPSIDC Ind. Area, Selaqui Dehradun-248197</t>
  </si>
  <si>
    <t>3 TAB</t>
  </si>
  <si>
    <t>6.5 GM</t>
  </si>
  <si>
    <t>M/s Pharma Force Lab 53-55, Ind. Area,Gondpur, Paonta Sahib (H.P)-173025 UNIT-II &amp; M/s Mankind Pharma Ltd. Village- Kishanpura, P.O Jamniwala, Tehsil- Paonta Sahib, District Sirmour-173025, Himachal Pradesh (INDIA)  UNIT-2</t>
  </si>
  <si>
    <t>M/s Pharma Force Lab. (Unit-II), Plot No. 85 &amp; 86 Indl. Area, Gondpur, Paonta Sahib, Distt. Sirmour (HP)-173025 &amp; M/s Mankind Pharma Ltd. Village- Kishanpura, P.O Jamniwala, Tehsil- Paonta Sahib, District Sirmour-173025, Himachal Pradesh (INDIA)  UNIT-2</t>
  </si>
  <si>
    <t>M/s Sirmour Remedies Pvt. Ltd., Village Kayarda, PO Missarwala, Poanta Sahib, Distt. Sirmour (HP)-173025 &amp; M/s Windlas Biotech Private Limited 
Plant-2, Khasra No. 141 to 143
&amp; 145, Mohabewala Indl. Area, 
Dehradun-248110 (U.K.)
R.O.:40/1, Mohabewala
Indl. Area, Dehradun.</t>
  </si>
  <si>
    <t>M/s Precise Biopharma Pvt. Ltd. At: Plot No. 29, Pharma City,
Selaqui Industrial Area, Dehradun-248011, Uttarakhand.</t>
  </si>
  <si>
    <t>M/s  Encube Ethicals Pvt. Ltd,
Plot No. C-1, Madkaim Industrial Estate,
Post: Mardol Ponda Goa-403 404 &amp; M/s Om Sai Pharma Pack, Plot No. 38 &amp; 39 Sector 11, IIE, SIDCUL, Haridwar-249403</t>
  </si>
  <si>
    <t>M/s Om Sai Pharma Pack, Plot No. 38 &amp; 39 Sector 11, IIE, SIDCUL, Haridwar-249403 &amp; M/s Encube Ethicals Pvt. Ltd,
Plot No. C-1, Madkaim Industrial Estate,
Post: Mardol Ponda Goa-403 404</t>
  </si>
  <si>
    <t>M/s Cris Pharma (India) Limited, E-11 UPSIDC Ind. Area, Selaqui Dehradun-248197 &amp; M/s Next Wave (India), Rampur Ghat, Paonta Sahib, Distt. Sirmour (HP)-173025</t>
  </si>
  <si>
    <t>M/s Mankind Pharma Ltd. Plot No. SP1-3, RIICO Industrial Area, 
Village-Kaladwas (Extn.), Tehsil-Girwa, Dist. Udaipur-313003 (Rajasthan)</t>
  </si>
  <si>
    <t>M/s Ravenbhel Healthcare Pvt Ltd, At: 62-63, Vijay Nagar, Batala Road, Amritsar-143001</t>
  </si>
  <si>
    <t>M/s Relax Pharmaceuticals Pvt. Ltd.(Unit-II) , 49 A-B Industrial Area, Gondpur, Poanta Sahib, Distt. Sirmour (HP)-173025</t>
  </si>
  <si>
    <t>M/s Malik Lifesciences Pvt. Ltd. (A Subsidiary of Akums Drugs &amp; Pharmaceuticals Ltd.) 
Plot No-16, Vardhman Indl. Estate, Vill-Bahadarpur Saini, N.H. 58, Haridwar-247667 (Uttarakhand) &amp; M/s Relax Pharmaceuticals Pvt. Ltd.,(Unit-II) 49-A-B, Industrial Area</t>
  </si>
  <si>
    <t xml:space="preserve">M/s Malik Lifesciences Pvt. Ltd. (A Subsidiary of Akums Drugs &amp; Pharmaceuticals Ltd.) 
Plot No-16, Vardhman Indl. Estate, Vill-Bahadarpur Saini, N.H. 58, Haridwar-247667 (Uttarakhand) &amp; M/s Relax Pharmaceuticals Pvt. Ltd.,(Unit-II) 49-A-B, Industrial Area, Gondpur, Poanta Sahib, Distt. Sirmour (HP)-173025 </t>
  </si>
  <si>
    <t>3 G/30 ML</t>
  </si>
  <si>
    <t>6 GM/10 ML</t>
  </si>
  <si>
    <t>M/s Innova Captab Pvt Ltd, 1281/1, Hilltop Indl. Estate, Near EPIP, Phase-I Jharmajri, Baddi Distt. Solan (HP) &amp; M/s Relax Plturmsceuticals Pvt. Ltd., Unit-I Plot No
48 A &amp; B, Gondpur Industrial Area, Tehsil Poonla-Sultib, Dislrict Sirmour-
173025, H.P. (INDIA)</t>
  </si>
  <si>
    <t>M/s Innova Captab Ltd, 1281/1, Hilltop Industrial Estate, Near EPIP Phase-1 Jharmajri Baddi, Distt. Solan (H.P.)-173205 &amp; M/s Relax Pharmaceuticals Pvt. Ltd.,(Unit-II) 49-A-B, Industrial Area, Gondpur, Poanta Sahib, Distt. Sirmour (HP)-173025</t>
  </si>
  <si>
    <t xml:space="preserve">M/s Sirmour Remedies Pvt. Ltd., Village Kayarda, PO Missarwala, Poanta Sahib, Distt. Sirmour (HP)-173025 &amp; M/s Next Wave (India), Rampur Ghat, Paonta Sahib, Distt. Sirmour (HP)-173025 </t>
  </si>
  <si>
    <t>M/s Mankind Pharma Ltd., Doring Block, Bermoik Elaka, South-Sikkim 737126 &amp; M/s Cris Pharma (India) Limited, E-11 UPSIDC Ind. Area, Selaqui Dehradun-248197</t>
  </si>
  <si>
    <t>M/s Cris Pharma (India) Limited, E-11 UPSIDC Ind. Area, Selaqui Dehradun-248197 &amp; M/s Relax Pharmaceuticals Pvt. Ltd.,(Unit-II) 49-A-B, Industrial Area, Gondpur, Poanta Sahib, Distt. Sirmour (HP)-173025</t>
  </si>
  <si>
    <t>M/s Vardhman Remedies Pvt. Ltd., Plot No. J-101 &amp; J-102, MIDC, Tarapur Industrial Area, Boisar-401506, Distt Thane &amp; M/s Om Sai Pharma Pack, Plot No. 38 &amp; 39 Sector 11, IIE, SIDCUL, Haridwar-249403</t>
  </si>
  <si>
    <t>M/s Om Sai Pharma Pack, Plot No. 38 &amp; 39 Sector 11, IIE, SIDCUL, Haridwar-249403 &amp; M/s Psychotropics India Ltd., Plot No.46 &amp; 49 , Sector 6-A, IIE, SIDCUL, Industrial Area Haridwar-249403 (Uttarakhand)</t>
  </si>
  <si>
    <t>M/s Pharma Force Lab 53-55, Ind. Area,Gondpur, Paonta Sahib (H.P)-173025 Unit-1. &amp; M/s Mankind Pharma Ltd., Doring Block, Bermoik Elaka, South-Sikkim 737126</t>
  </si>
  <si>
    <t>M/s AQUA VITOE LABORATORIES 
Plot No-4, Vill. Kunjhal, Jharmajri, Baddi, Distt. Solan-173205 (H.P.)</t>
  </si>
  <si>
    <t>M/s Penta Kraft, Plot No. 9,10 &amp; 12, Sector-3A, SIDCUL, Haridwar-249403 &amp; M/s Pharma Force Lab 53-55, Ind. Area,Gondpur, Paonta Sahib (H.P)-173025"-1.</t>
  </si>
  <si>
    <t>M/s Penta Kraft, Plot No. 9,10 &amp; 12, Sector-3A, SIDCUL, Haridwar-249403 &amp; M/s Next Wave (India), Rampur Ghat, Paonta Sahib, Distt. Sirmour (HP)-173025</t>
  </si>
  <si>
    <t>M/s Next Wave (India), Rampur Ghat, Paonta Sahib, Distt. Sirmour (HP)-173025 &amp; M/s Pharma Force Lab. (Unit-II), Plot No. 84 &amp; 86 Indl. Area, Gondpur, Paonta Sahib, Distt. Sirmour (HP)-173025</t>
  </si>
  <si>
    <t>M/s Synokem Pharmaceuticals Ltd., Plot No.56-57, Sector 6-A, IIE, SIDCUL, Ranipur (BHEL), Haridwar-249403</t>
  </si>
  <si>
    <t>M/s J.K Print Packs (Pharma Division), C-14 to 17, Sara Industrial Estate Ltd., Vill Rampur, Selaqui, Distt Dehradun-248197 &amp; M/s Windlas Biotech Private Limited 
Plant-2, Khasra No. 141 to 143
&amp; 145, Mohabewala Indl. Area, 
Dehradun-248110 (U.K.)
R.O.:40/1, Mohabewala
Indl. Area, Dehradun. &amp; M/s Penta Kraft, Plot No. 9,10 &amp; 12, Sector-3A, SIDCUL, Haridwar-249403 &amp; M/s Mankind Pharma Ltd., Doring Block, Bermoik Elaka, South-Sikkim 737126</t>
  </si>
  <si>
    <t>4 TAB</t>
  </si>
  <si>
    <t>M/s Pure &amp; Cure Healthcare Pvt. Ltd. (A Subsidiary of Akums Drugs &amp; Pharmaceuticals Ltd.)
Plot No. 26A, 27-30, Sector-8A, I.I.E., SIDCUL, Ranipur, Haridwar-249403, Uttarakhand. &amp;  M/s Penta Kraft, Plot No. 9,10 &amp; 12, Sector-3A, SIDCUL, Haridwar-249403 &amp; M/s Innova Captab Ltd, 1281/1, Hilltop Industrial Estate, Near EPIP Phase-1 Jharmajri Baddi, Distt. Solan (H.P.)-173205</t>
  </si>
  <si>
    <t>M/s Pharma Force Lab. (Unit-II), Plot No. 84 &amp; 86 Indl. Area, Gondpur, Paonta Sahib, Distt. Sirmour (HP)-173025 &amp; M/s Tirupati Lifesciences PVT. LTD., Nahan Road, Paonta Sahib, Distt. Sirmour (H.P.)-173025</t>
  </si>
  <si>
    <t>M/s Tirupati Lifesciences PVT. LTD., Nahan Road, Paonta Sahib, Distt. Sirmour (H.P.)-173025 &amp; M/s Pharma Force Lab. (Unit-II), Plot No. 85 &amp; 86 Indl. Area, Gondpur, Paonta Sahib, Distt. Sirmour (HP)-173025</t>
  </si>
  <si>
    <t>M/s Pharma Force Lab. (Unit-II), Plot No. 84 &amp; 86 Indl. Area, Gondpur, Paonta Sahib, Distt. Sirmour (HP)-173025</t>
  </si>
  <si>
    <t>M/s Pharma Force Lab. (Unit-III) Plot No. 23 &amp; 24, Industrial Area Gondpur, Paonta Sahib, Distt-Sirmour (HP)-173025</t>
  </si>
  <si>
    <t>M/s Mediforce Healthcare Pvt. Ltd., Plot No. 8-13, Phase-III, Industrial Area, Gondpur, Paonta Sahib, Distt Sirmour, HP-173025 &amp; M/s Cris Pharma (India) Limited, E-11 UPSIDC Ind. Area, Selaqui Dehradun-248197 &amp; M/s Penta Kraft, Plot No. 9,10 &amp; 12, Sector-3A, SIDCUL, Haridwar-249403</t>
  </si>
  <si>
    <t>M/s BDR PHARMACEUTICALS INTERNATIONAL PVT. LTD. Vanseti Village, PO. Tajpura, Taluka Halol, Dist. Panchmahal-389350, (Gujrat)</t>
  </si>
  <si>
    <t>20 ML</t>
  </si>
  <si>
    <t>M/s RSH Global Pvt Ltd (Formerly Ratnasagar Herbals Pvt Ltd.), Plot No.3C , Industrial Area, Katha, Baddi-173205 &amp; M/s Om Sai Pharma Pack, Plot No. 38 &amp; 39 Sector 11, IIE, SIDCUL, Haridwar-249403</t>
  </si>
  <si>
    <t>200 GM</t>
  </si>
  <si>
    <t>M/s Pharma Force Lab. (Unit-II), Plot No. 84-86 Indl. Area, Gondpur, Paonta Sahib, Distt. Sirmour (HP)-173025</t>
  </si>
  <si>
    <t>7 TABS</t>
  </si>
  <si>
    <t>M/s Tirupati Lifesciences PVT. LTD., Nahan Road, Paonta Sahib, Distt. Sirmour (H.P.)-173025 &amp; M/s Pharma Force Lab. (Unit-II), Plot No. 84 &amp; 86 Indl. Area, Gondpur, Paonta Sahib, Distt. Sirmour (HP)-173025</t>
  </si>
  <si>
    <t>M/s Akums Drugs &amp; Pharmaceuticals Ltd., Plot
No.47 &amp; 48, Sector-6A,I1E,SIDCUL,Ranipur, Haridwar,Uttarakhand Unit-IV &amp; V</t>
  </si>
  <si>
    <t>M/s Akums Drugs &amp; Pharmaceuticals Ltd.
At: Plot No. 26A, 27-30, Sector-8A, I.I.E., SIDCUL, Ranipur, Haridwar-249403, Uttarakhand.</t>
  </si>
  <si>
    <t>M/s Appasamy Ocular Devices (P) Ltd.
Plot No. 74-D, Katha, Baddi, Dist. Solan (H.P.) - 173205, India</t>
  </si>
  <si>
    <t>3 ML</t>
  </si>
  <si>
    <t>M/s Bharti Life Sciences, At: Plot T-68, T-68 (PT), T-63, M.I.D.C,
 Tarapur (W), Boisar 401502, Taluka-Palghar, Dist. Palghar, Maharashtra, India</t>
  </si>
  <si>
    <t xml:space="preserve">M/s maxcure nutravedics limited
13, sector-6a, i.i.e., sidcul,
Haridwar-249403, uttarakhand.
</t>
  </si>
  <si>
    <t>M/s Pharma Force Lab. (Unit-II), Plot No. 83-86 Indl. Area, Gondpur, Paonta Sahib, Distt. Sirmour (HP)-173025 &amp; M/s Ravenbhel Healthcare Pvt Ltd, 16-17, EPIP, SIDCO, Kartholi, Bari Brahmana, Jammu-181133</t>
  </si>
  <si>
    <t>M/s Axa Parenterals Ltd. Plot No. 936,937 &amp; 939, Village Kishanpur, Jamalpur, Roorkee-247667 Distt. Haridwar, Uttarakhand</t>
  </si>
  <si>
    <t>M/s J.K Print Packs (Pharma Division), C-14 to 17, Sara Industrial Estate Ltd., Vill Rampur, Selaqui, Distt Dehradun-248197 &amp; M/s Penta Kraft, Plot No. 9,10 &amp; 12, Sector-3A, SIDCUL, Haridwar-249403</t>
  </si>
  <si>
    <t>M/s Mankind Pharma Ltd. Village- Kishanpura, P.O Jamniwala, Tehsil- Paonta Sahib, District Sirmour-173025, Himachal Pradesh (INDIA)  Unit-1. &amp; M/s Akums Drugs &amp; Pharmaceuticals Ltd., Plot No - 2,3,4&amp;5, Sector-6B, I.I.E., SIDCUL, Ranipur, Haridwar-249403</t>
  </si>
  <si>
    <t>M/s Ravenbhel Healthcare Pvt Ltd, 16-17, EPIP, SIDCO, Kartholi, Bari Brahmana, Jammu-181133 &amp; M/s Mediforce Healthcare Pvt. Ltd., Plot No. 8-13, Phase-III, Industrial Area, Gondpur, Paonta Sahib, Distt Sirmour, HP-173025</t>
  </si>
  <si>
    <t>1.5 ML</t>
  </si>
  <si>
    <t>4.5 GM/10 ML</t>
  </si>
  <si>
    <t>M/s Malik Lifesciences Pvt. Ltd. (A Subsidiary of Akums Drugs &amp; Pharmaceuticals Ltd.) 
Plot No-16, Vardhman Indl. Estate, Vill-Bahadarpur Saini, N.H. 58, Haridwar-247667 (Uttarakhand) &amp; M/s Relax Pharmasceuticals Pvt. Ltd., Unit-I Plot No
48 A &amp; B, Gondpur Industrial Area, Tehsil Poonla-Sultib, Dislrict Sirmour-
173025, H.P. (INDIA)</t>
  </si>
  <si>
    <t>2.5 ML</t>
  </si>
  <si>
    <t>M/s Cris Pharma (India) Limited, E-11 UPSIDC Ind. Area, Selaqui Dehradun-248197 &amp; Pure &amp; Cure Healthcare Pvt. Ltd. (A Subsidiary of Akums Drugs &amp; Pharmaceuticals Ltd.)
Plot No. 26A, 27-30, Sector-8A, I.I.E., SIDCUL, Ranipur, Haridwar-249403, Uttarakhand.</t>
  </si>
  <si>
    <t>M/s Cris Pharma (India) Limited, E-11 UPSIDC Ind. Area, Selaqui Dehradun-248197 &amp; M/s Sirmour Remedies Pvt. Ltd., Village Kayarda, PO Missarwala, Poanta Sahib, Distt. Sirmour (HP)-173025</t>
  </si>
  <si>
    <t>25 GM</t>
  </si>
  <si>
    <t>250 ML</t>
  </si>
  <si>
    <t>M/s  Windlas Biotech Private Limited 
Plant-2, Khasra No. 141 to 143
&amp; 145, Mohabewala Indl. Area, 
Dehradun-248110 (U.K.)
R.O.:40/1, Mohabewala
Indl. Area, Dehradun.</t>
  </si>
  <si>
    <t>3 PCS</t>
  </si>
  <si>
    <t>10 PCS</t>
  </si>
  <si>
    <t>1 PCS</t>
  </si>
  <si>
    <t>75 ML</t>
  </si>
  <si>
    <t>M/s Metrocraft Khasra No. 1874/450/1/1 &amp; 2091/451/1, Bhatoli Kalan, Baddi, Distt. Solan (H.P.)-173205</t>
  </si>
  <si>
    <t>1 CARD</t>
  </si>
  <si>
    <t>M/s Pure &amp; Cure Healthcare Pvt. Ltd. (A Subsidiary of Akums Drugs &amp; Pharmaceuticals Ltd.)
Plot No. 26A, 27-30, Sector-8A, I.I.E., SIDCUL, Ranipur, Haridwar-249403, Uttarakhand. &amp; M/s Mankind Pharma Ltd. Village- Kishanpura, P.O Jamniwala, Tehsil- Paonta Sahib, District Sirmour-173025,  UNIT-2</t>
  </si>
  <si>
    <t>M/s Relax Pharmaceuticals Pvt. Ltd.(Unit-II) , 49 A-B Industrial Area, Gondpur, Poanta Sahib, Distt. Sirmour (HP)-173025 &amp; M/s Malik Lifesciences Pvt. Ltd. (A Subsidiary of Akums Drugs &amp; Pharmaceuticals Ltd.) 
Plot No-16, Vardhman Indl. Estate, Vill-Bahadarpur Saini, N.H. 58, Haridwar-247667 (Uttarakhand)</t>
  </si>
  <si>
    <t>M/s Pharma Force Lab, (Unit-I) 53-55, Ind. Area,Gondpur, Paonta Sahib (H.P)-173025 &amp; M/s J.K Print Packs (Pharma Division), C-14 to 17, Sara Industrial Estate Ltd., Vill Rampur, Selaqui, Distt Dehradun-248197</t>
  </si>
  <si>
    <t>M/s Mediforce Healthcare Pvt. Ltd., Plot No. 8-13, Phase-III, Industrial Area, Gondpur, Paonta Sahib, Distt Sirmour, HP-173025 &amp; M/s Pure &amp; Cure Healthcare Pvt Ltd. Plot No 26A-30, Sector-8A, IIE, SIDCUL, Haridwar-249403</t>
  </si>
  <si>
    <t>M/s Tirupati Medicare Limited Nahan Road, Paonta Sahib, Distt, Sirmour (H.P.)-173025</t>
  </si>
  <si>
    <t>10'S</t>
  </si>
  <si>
    <t>210 ML</t>
  </si>
  <si>
    <t>M/s Next Wave (India) 
Rampur Ghat, Paonta Sahib-173025
Distt. Sirmour (H.P.) &amp; M/s Cris Pharma (India) Limited, E-11 UPSIDC Ind. Area, Selaqui Dehradun-248197</t>
  </si>
  <si>
    <t>M/s Mankind Pharma Ltd., Village Kishanpura, Paonta Sahib, Distt. Sirmour (HP)</t>
  </si>
  <si>
    <t>M/s Swiss Garnier Biotech., 21 Indl. Area, Mehatpur, Distt. UNA (HP)-174315 &amp; M/s Pharma Force Lab. (Unit-II), Plot No. 84 &amp; 86 Indl. Area, Gondpur, Paonta Sahib, Distt. Sirmour (HP)-173025</t>
  </si>
  <si>
    <t>M/s Pharma Force Lab. (Unit-II), Plot No. 85-86 Indl. Area, Gondpur, Paonta Sahib, Distt. Sirmour (HP)-173025</t>
  </si>
  <si>
    <t>8 CAP</t>
  </si>
  <si>
    <t>M/s Biocon Biologics Limited
At: Sy. No, 172 Part, Gagillapur (V), Dundigal - Gandimaisamma (M),
Medchal - Malkajgiri District, Telangana - 500043</t>
  </si>
  <si>
    <t>M/s Akums Drugs &amp; Pharmaceuticals Ltd., 2,3,4&amp;5, Sector-6B, I.I.E., SIDCUL, Haridwar-249403</t>
  </si>
  <si>
    <t>M/s J.K Print Packs (Pharma Division), C-14 to 17, Sara Industrial Estate Ltd., Vill Rampur, Selaqui, Distt Dehradun-248197 &amp; M/s Pure &amp; Cure Healthcare Pvt. Ltd. (A Subsidiary of Akums Drugs &amp; Pharmaceuticals Ltd.)
Plot No. 26A, 27-30, Sector-8A, I.I.E., SIDCUL, Ranipur, Haridwar-249403, Uttarakhand.</t>
  </si>
  <si>
    <t xml:space="preserve">M/s Swiss Garnier Genexiaa Sciences Pvt Ltd. Plot No.: 54 &amp; 78, Marnring Bhasti, Rangpo Post, South Sikkim-737132 </t>
  </si>
  <si>
    <t>2.25 GM</t>
  </si>
  <si>
    <t>2 GM</t>
  </si>
  <si>
    <t>4 ML</t>
  </si>
  <si>
    <t>4.5 GM</t>
  </si>
  <si>
    <t>3 GM</t>
  </si>
  <si>
    <t>M/s Mankind Pharma Ltd. At: Plot No: 8-13, Phase-3, Industrial area Gondpur,
Tehsil Paonta Sahib, Distt, Sirmour 173025 (H.P.)</t>
  </si>
  <si>
    <t>175 ML</t>
  </si>
  <si>
    <t>M/s Mankind Pharma Ltd., Doring Block, Bermoik Elaka, South-Sikkim 737126 &amp; Panacea Biotec Pharma Ltd.
Malpur,Baddi,Distt.Solan (H.P)-173205</t>
  </si>
  <si>
    <t>Panacea Biotec Pharma Ltd.
Malpur,Baddi,Distt.Solan (H.P)-173205</t>
  </si>
  <si>
    <t>6 CAP</t>
  </si>
  <si>
    <t>M/s Elnova Pharma Vill. Rampur Jattan, Moginand, Nahan Road, Kala-Amb,
Distt. Sirmour-173030 (H.P.)</t>
  </si>
  <si>
    <t>M/s Hetero Biopharma Limited
Sy. No. 458 (Part), TSIIC-Formulation SEZ,
Polepally Village, Jadcherla Mandal,
Mahaboobnagar District,
Telangana-509301, India</t>
  </si>
  <si>
    <t>M/s Mankind Pharma Ltd. Village- Kishanpura, P.O Jamniwala, Tehsil- Paonta Sahib, District Sirmour-173025, Himachal Pradesh (INDIA)  UNIT-2 &amp; Panacea Biotec Pharma Ltd.
Wholly-owned Subsidiary of Panacea Biotec Ltd.
Malpur, Baddi, Distt. Solan (H.P.)-173205, India.</t>
  </si>
  <si>
    <t xml:space="preserve">M/s Tirupati Medicare Limited .
Nahan Road , Paonta Sahib ,
Distt . , Sirmour - 173 025 ( H.P. ) </t>
  </si>
  <si>
    <t>M/s Windlas Biotech Limited
( Plant - 2 ) , Khasra No. 141 to 143 &amp; 145 , Mohabewala Industrial,Area , Dehradun,248110 (U.K.) R.O.:40/1,Mohabewala Industrial,Area , Dehradun</t>
  </si>
  <si>
    <t>M/s Swiss Garnier Genexiaa Sciences Pvt . Ltd. ( Unit - II ) Plot No. 568-569 &amp; 576-579 , Tarpin Block , Rhenock . Rongli , East Sikkim - 737 133 &amp; M/s Swiss Garnier Biotech., 21 Indl. Area, Mehatpur, Distt. UNA (HP)-174315</t>
  </si>
  <si>
    <t>M/s Ravenbhel Healthcare Pvt.ltd.
At:EPIP,SIDCO,Kartholi,Bari-Brahmana,Jammu-181133</t>
  </si>
  <si>
    <t>120 TAB</t>
  </si>
  <si>
    <t>M/s Mankind Pharma Ltd., Doring Block, Bermoik Elaka, South-Sikkim 737126 &amp; Panacea Biotec Pharma Ltd.</t>
  </si>
  <si>
    <t>M/s ADMAC Lifesciences Plot No. 107 A &amp; 107 B, EPIP,
Phase-1, Jharmajri, baddi Dist-Solan-174103 (HP)</t>
  </si>
  <si>
    <t>1 INJ</t>
  </si>
  <si>
    <t>M/s Levim Biotech LLP
At: Vijayapuri North, Nagarjuna Sagar, Peddavoora Mandal,
Nalgonda District-508202, Telangana</t>
  </si>
  <si>
    <t>60 TAB</t>
  </si>
  <si>
    <t>M/s Hetero Labs Limited (Unit-I)
Village:Kalyanpur,Chakkan Raod,
Tehsil:Baddi.Distt.:Solan
Himachal Pradesh-173205,India</t>
  </si>
  <si>
    <t>M/s Hetero Labs Limited (Unit-l) Village: Kalyanpur, Chakkan Road,
Tehsil: Baddi, Distt,: Solan,
Himachal Pradesh-173205, India</t>
  </si>
  <si>
    <t>M/s ADMAC Lifesciences Plot No. 107 A &amp; 107 B, EPIP, 208
Phase-1, Jharmajri, baddi Dist-Solan-174103 (HP)</t>
  </si>
  <si>
    <t>6 ML</t>
  </si>
  <si>
    <t>M/s IND SWIFT LIMITED INDUSTRIAL GROWTH CENTRE, PHASE-1, SAMBA(J&amp;K) - 184121</t>
  </si>
  <si>
    <t>12.0 GM</t>
  </si>
  <si>
    <t>M/s Ravenbhel Healthcare Pvt.ltd.
16-17,EPIP,SIDCO,Kartholi,Bari-Brahmana,Jammu-181133 India</t>
  </si>
  <si>
    <t>450 ML</t>
  </si>
  <si>
    <t>90 GM</t>
  </si>
  <si>
    <t>M/s Innova Captab Ltd, 81-B, EPIP Phase-1 Jharmajri Baddi, Distt. Solan (H.P.)-173205</t>
  </si>
  <si>
    <t xml:space="preserve">M/s The Madras Pharmaceuticals
No. 137 - B , Old Mahabalipuram Road ,
Karapakkam , Chennai 600 096 , Tamilnadu </t>
  </si>
  <si>
    <t>M/s Windlas Biotech Private Limited
( Plant - 2 ) , Khasra No. 141 to 143 &amp; 145 , Mohabewala Industrial,Area , Dehradun,248110 (U.K.) R.O.:40/1,Mohabewala Industrial,Area , Dehradun</t>
  </si>
  <si>
    <t xml:space="preserve">Composition 
</t>
  </si>
  <si>
    <t>MOLULIFE-200 CAPSULES</t>
  </si>
  <si>
    <t>EACH HARD GELATIN CAPSULE CONTAINS:
MOLNUPIRAVIR……………200 MG
EXCIPIENTS………………..Q.S.</t>
  </si>
  <si>
    <t>40 CAP</t>
  </si>
  <si>
    <t>DISCONTINUED</t>
  </si>
  <si>
    <t>ZOXAKIND 500 TABLET</t>
  </si>
  <si>
    <t xml:space="preserve">EACH FILM COATED TABLET CONTAINS:
NITAZOXANIDE…….500 MG
EXCIPIENTS……..Q.S.
</t>
  </si>
  <si>
    <t>IMMUC PLUS TAB</t>
  </si>
  <si>
    <t>EACH SERVING PER UNCOATED CHEWABLE TABLET CONTAINS:
VITAMIN C……………………500 MG
VITAMIN D2…………………400 IU
ZINC……………………………..5 MG
AS ZINC SULPHATE MONOHYDRATE</t>
  </si>
  <si>
    <t>FLATUBUST CAP</t>
  </si>
  <si>
    <t>EACH SOFT GELATIN CAPSULE CONTAINS:
SIMETHICONE IP..................................140 MG
EXCIPIENTS ................................................QS.</t>
  </si>
  <si>
    <t>MEGAPOSE-PLUS NEW</t>
  </si>
  <si>
    <t>EACH FILM COATED TABLET CONTAINS:
ESCITALOPRAM OXALATE IP
EQ. TO ESCITALOPRAM ………………10 MG
CLONAZEPAM IP ………………………0.5 MG
EXCIPIENTS.............................................. QS.</t>
  </si>
  <si>
    <t>NAPILEX SYRUP</t>
  </si>
  <si>
    <t>EACH 5 ML CONTAINS:
SODIUM VALPROATE IP ...........................200 MG</t>
  </si>
  <si>
    <t>OMEGAFUL-PLUS CAPSULE</t>
  </si>
  <si>
    <t>EACH SOFT GELATIN CAPSULE CONTAINS :
OMEGA 3 MARINE TRIGLYCERIDES BP 
PROVIDING  EICOSAPENTAENOIC ACID……..180 MG
DOCOSAHEXAENOIC ACID …….120 MG
VITAMIN B6 ……3 MG
FOLIC ACID ……1.5 MG
 ZINC SULPHATE MONOHYDRATE….15 MG
SELENIUM DIOXIDE MONOHYDRATE
EQ. TO ELEMENTAL SELENIUM…..60 MCG
EXCIPIENTS............................................Q.S</t>
  </si>
  <si>
    <t>MAXICAL-ACTIVE</t>
  </si>
  <si>
    <t>EACH FILM COATED TABLET CONTAINS :
CALCIUM CARBONATE I.P………1250 MG
EQ. TO ELEMENTAL CALCIUM  ..........…. 500 MG
VITAMIN D3  I.P...............……....… 2000 I.U.
MECOBALAMIN JP…………………1500 MCG
L-METHYLFOLATE CALCIUM……..1 MG
PYRIDOXAL 5' PHOSPHATE……….0.6 MG
EXCIPIENTS ……………………………Q.S.</t>
  </si>
  <si>
    <t>VERMIKIND-6 TABLETS</t>
  </si>
  <si>
    <t>EACH UNCOATED DISPERSIBLE TABLET CONTAINS:
IVERMECTIN IP…………….6 MG
EXCIPIENTS…………………Q.S.
COLOUR: SUNSET YELLOW FCF</t>
  </si>
  <si>
    <t>VERMIKIND-12 TABLETS</t>
  </si>
  <si>
    <t>MANFORCE CONDOMS IGNITE (APPLE PEACH FLAVOURED)</t>
  </si>
  <si>
    <t>Natural Rubber Latex
Silicone Oil 
Texture - Dotted Wave 
Flavour - Apple Peach</t>
  </si>
  <si>
    <t>HERGRACE-NF CAPSULE</t>
  </si>
  <si>
    <t>EACH SERVING /0.845G PER SOFT GELATIN 
CAPSULE  CONTAINS APPROX.
NATURAL EXTRACTS
EVENING PRIMROSE OIL………………..120 MG
ROSEMARY OIL.............................25  MG
GINKGO BILOBA EXTRACT………………20 MG
CITRUS BIOFLAVONOIDS………………..12.5 MG
GREEN TEA EXTRACT………………………..10 MG
MIXED CAROTENOIDS 30% DISPERSION…….5 MG
LYCOPENE 10% DISPERSION………………2 MG
ESSENTIAL MINERALS
IRON………………………………..18 MG
POTASSIUM…………….10 MG
ZINC…………………………………12 MG
CHLORIDE**…………………..9.07 MG
CALCIUM…………………….5 MG
PHOSPHORUS…………….3.86 MG
MANGANESE……………..2 MG
COPPER……………………..1.7 MG
IODINE………………………….50 MCG
SELENIUM……………………26 MCG
ESSENTIAL VITAMINS
VITAMIN C…………………………….12.5 MG 
NIACINAMIDE…………………….12 MG
VITAMIN E…………………………….7.5 I.U.
PANTOTHENIC ACID*…………….5 MG
VITAMIN B6……………………….2 MG
VITAMIN B1……………………….1 MG
BIOTIN……………………………….30 MCG
FOLIC ACID……………………..100 MCG
VITAMIN D3……………………….200 I.U.
VITAMIN B12……………………….0.5 MCG
AMINO ACIDS
CHOLINE BITARTRATE……………………10 MG
INOSITOL………….10 MG
LYSINE…………………………10 MG</t>
  </si>
  <si>
    <t>LECOPE-M KID</t>
  </si>
  <si>
    <t>EACH UNCOATED DISPERSIBLE TABLET CONTAINS :
LEVOCETIRIZINE DIHYDROCHLORIDE IP………..2.5 MG
MONTELUKAST SODIUM IP
EQUIVALENT TO MONTELUKAST……………………..4 MG</t>
  </si>
  <si>
    <t>OVERZYME</t>
  </si>
  <si>
    <t>EACH SERVING PER UNCOATED  CHEWABLE TABLET CONTAINS  (APPROX.)  :
PROTEASE *...............3600 HUT
AMYLASE*..................1200 SKB
HEMICELLULASE*.........600 XU
LIPASE*........................450 FIP
LACTASE*.....................250 ALU
ALPHA GLACTOSIDASE*........50 GAL U
*% RDA NOT ESTABLISHED 
APPROPRIATE OVERAGES OF VITAMINS ARE ADDED
TO COMPENSATE LOSS ON STORAGE</t>
  </si>
  <si>
    <t>VOMILAST NEW</t>
  </si>
  <si>
    <t>FLOTRIP FORTE</t>
  </si>
  <si>
    <t>EACH GASTRO-RESISTANT TABLET CONTAINS :
100,000 ARMOUR UNITS OF ENZYME ACTIVITY
SUPPLIED BY A PURIFIED CONCENTRATE WHICH 
HAS SPECIFIC TRYPSIN AND CHYMOTRYPSIN ACTIVITY
IN A RATIO OF APPROXIMATELY SIX TO ONE</t>
  </si>
  <si>
    <t>IVERKIND-6 TABLETS</t>
  </si>
  <si>
    <t>IVERKIND-12 TABLETS</t>
  </si>
  <si>
    <t>ZINCOLIFE TABLETS</t>
  </si>
  <si>
    <t>EACH FILM COATED TABLET CONTAINS:
ZINC ACETATE USP (AS DIHYDRATE)
EQUIVALENT TO ELEMENTAL ZINC……………….50 MG
EXCIPIENTS…………….Q.S.</t>
  </si>
  <si>
    <t>PIZOFAST-2.25 G INJECTION</t>
  </si>
  <si>
    <t>PIZOFAST-4.5 G INJECTION</t>
  </si>
  <si>
    <t>ULINAFORCE INJECTION</t>
  </si>
  <si>
    <t>EACH VIAL CONTAINS:
ULINASTATIN JP……100000 IU
EXCIPIENTS…………Q.S.</t>
  </si>
  <si>
    <t>0.1 MIU/VIAL</t>
  </si>
  <si>
    <t>PANGRAF OINTMENT 0.03%</t>
  </si>
  <si>
    <t>Each gm of ointment cotains: 
Tacrolimus IP……. 0.3mg
Ointment  base……..  qs.</t>
  </si>
  <si>
    <t>0.3mg</t>
  </si>
  <si>
    <t>PANGRAF OINTMENT 0.1%</t>
  </si>
  <si>
    <t>Each gm of ointment cotains: 
Tacrolimus IP ……..1.0 mg
Ointment  base ……... qs.</t>
  </si>
  <si>
    <t>1.0 mg</t>
  </si>
  <si>
    <t>CODISTAR-T COUGH SYRUP</t>
  </si>
  <si>
    <t>SUCRADAY-O SUSP</t>
  </si>
  <si>
    <t>EACH 10 ML CONTAINS :
SUCRALFATE USP ………………1 GM
OXETACAINE BP ……………….. 20 MG
FLAVOURED BASE ………………Q.S.</t>
  </si>
  <si>
    <t>OSKAR-20</t>
  </si>
  <si>
    <t>EACH CAPSULE CONTAINS:
OMEPRAZOLE IP................................20 MG
(AS OMEPRAZOLE GASTRO-RESISTANT PELLETS)</t>
  </si>
  <si>
    <t>OSKAR-DSR</t>
  </si>
  <si>
    <t>EACH HARD GELATIN CAPSULE CONTAINS :
OMEPRAZOLE IP ……………………….20 MG
(AS ENTERIC COATED PELLETS)
DOMPERIDONE IP ………………….30 MG
(AS SUSTAINED RELEASE PELLETS)</t>
  </si>
  <si>
    <t>CODISTAR COUGH SYRUP</t>
  </si>
  <si>
    <t>EACH 5 ML CONTAINS :</t>
  </si>
  <si>
    <t>MAHACEF-SB 375 INJ.</t>
  </si>
  <si>
    <t>EACH VIAL CONTAINING :</t>
  </si>
  <si>
    <t>0.375 GM</t>
  </si>
  <si>
    <t>PACEMERO-500 INJECTION</t>
  </si>
  <si>
    <t>EACH VIAL CONTAINS:</t>
  </si>
  <si>
    <t>PACEMERO-1 G INJECTION</t>
  </si>
  <si>
    <t>PACEMERO-2 G INJECTION</t>
  </si>
  <si>
    <t>EBAMONT</t>
  </si>
  <si>
    <t>EACH FILM COATED TABLET CONTAINS :</t>
  </si>
  <si>
    <t>TUNIB 12.5 CAPSULES</t>
  </si>
  <si>
    <t xml:space="preserve">Each capsule contains:
Sunitinib Malate
equivalent to Sunitinip …... 12.5 mg </t>
  </si>
  <si>
    <t>28 CAP</t>
  </si>
  <si>
    <t>TUNIB-25 CAPSULES</t>
  </si>
  <si>
    <t xml:space="preserve">Each capsule contains:
Sunitinib Malate
equivalent to Sunitinip …... 25 mg </t>
  </si>
  <si>
    <t>TUNIB-50 CAPSULES</t>
  </si>
  <si>
    <t xml:space="preserve">Each capsule contains:
Sunitinib Malate
equivalent to Sunitinip …... 50 mg </t>
  </si>
  <si>
    <t>RETIZUBA INJECTION</t>
  </si>
  <si>
    <t>EACH 1ML OF VIAL CONTAINS:
RANIBIZUMAB DRUG SUBSTANCE IN-HOUSE…..........................……10 MG/ML
A,A-TREHALOSE DEHYDRATE EP……....................................100 MG/ML
L-HISTIDINE HYDROCHLORIDE MONOHYDRATE EP…….....................................1.662 MG/ML
L-HISTIDINE EP…………..........0.321 MG/ML
POLYSORBATE 20 IP…........…0.1 MG/ML
WATER FOR INJECTION IP...Q.S. TO 1.0 ML</t>
  </si>
  <si>
    <t>EACH FILM COATED BILAYER TABLET CONTAINS :
ACEBROFYLLINE …………………………100 MG
ACETYLCYSTEINE BP …………………… 600 MG</t>
  </si>
  <si>
    <t>Old Pack</t>
  </si>
  <si>
    <t>New Pack</t>
  </si>
  <si>
    <t>EACH FILM COATED TABLET CONTAINS:
IVABRADINE HYDROCHLORIDE 
EQ. TO IVABRADINE………………5 MG
 EXCIPIENTS…………Q.S.</t>
  </si>
  <si>
    <t>DROGYNA</t>
  </si>
  <si>
    <t>7 CAP</t>
  </si>
  <si>
    <t>EACH FILM COATED TABLET CONTAINS :
CLARITHROMYCIN IP ………………….250 MG
EXCIPIENTS ………………………………Q.S.</t>
  </si>
  <si>
    <t>SITCOM FORTE TABLETS (7 TABS)</t>
  </si>
  <si>
    <t>GUDLAX PLUS SUSP</t>
  </si>
  <si>
    <t>EACH 5 ML CONTAINS :
LIQUID PARAFFIN IP ……………….1.25 ML
MILK OF MAGNESIA IP …………….3.75 ML
SODIUM PICOSULPHATE BP ……3.33 MG</t>
  </si>
  <si>
    <t>110 ML</t>
  </si>
  <si>
    <t>CALDIKIND</t>
  </si>
  <si>
    <t>EACH SOFT GELATIN CAPSULE CONTAINS :
CALCITRIOL I.P. ………………….. 0.25 MCG
CALCIUM CARBONATE I.P. ……… 500 MG
(EQUIVALENT TO ELEMENTAL CALCIUM 200 MG)
ZINC SULPHATE MONOHYDRATE USP
EQ. TO ELEMENTAL ZINC ………………7.5 MG
EXCIPIENTS ………………………………………Q.S.</t>
  </si>
  <si>
    <t>CALDIKIND-P NEW SUSPENSION</t>
  </si>
  <si>
    <t xml:space="preserve">EACH SERVING PER 10 ML CONTAINS (APPROX) :
CALCIUM PHOSPHATE
EQ. TO ELEMENTAL CALCIUM ………………300 MG
EQ. TO ELEMENTAL PHOSPHORUS ...........150 MG
MAGNESIUM HYDROXIDE
EQ. TO ELEMENTAL MAGNESIUM …………75 MG
D-MANNOSE.....................................5 MG
ZINC GLUCONATE 
EQ. TO ELEMENTAL ZINC …………………… 4 MG
VITAMIN D3 ...........................200 IU
FLAVOURED BASE ........................QS
</t>
  </si>
  <si>
    <t>KAM Min</t>
  </si>
  <si>
    <t>ZIVERDO-KIT</t>
  </si>
  <si>
    <t>EACH KIT CONTAINS:</t>
  </si>
  <si>
    <t>EACH FILM COATED TABLET CONTAINS:</t>
  </si>
  <si>
    <t>MELADATE TABLETS</t>
  </si>
  <si>
    <t>EACH UNCOATED TABLET CONTAINS:</t>
  </si>
  <si>
    <t>FABIKIND-800</t>
  </si>
  <si>
    <t>NUROSTAR-C1 INJECTION</t>
  </si>
  <si>
    <t>EACH ML CONTAINS:</t>
  </si>
  <si>
    <t>VITAMIN-C INJECTION IP</t>
  </si>
  <si>
    <t>EACH 1.5 ML CONTAINS:</t>
  </si>
  <si>
    <t>PRESTAKIND</t>
  </si>
  <si>
    <t>EACH UNCOATED TABLET CONTAINS :</t>
  </si>
  <si>
    <t>UNWANTED</t>
  </si>
  <si>
    <t>Conv. Unit</t>
  </si>
  <si>
    <t>Unit MRP</t>
  </si>
  <si>
    <t>Unit PTR</t>
  </si>
  <si>
    <t>Unit KAM Min</t>
  </si>
  <si>
    <t>Sales Unit</t>
  </si>
  <si>
    <t>STR</t>
  </si>
  <si>
    <t>BOT</t>
  </si>
  <si>
    <t>PAK</t>
  </si>
  <si>
    <t>SAC</t>
  </si>
  <si>
    <t>AMP</t>
  </si>
  <si>
    <t>TBE</t>
  </si>
  <si>
    <t>VIA</t>
  </si>
  <si>
    <t>CON</t>
  </si>
  <si>
    <t>PC</t>
  </si>
  <si>
    <t>FLUCONAZOLE IP 150 MG</t>
  </si>
  <si>
    <t>SYMBICORT-80/4.5</t>
  </si>
  <si>
    <t>EACH DELIVERED DOSE CONTAINS:
BUDESONIDE IP……….80 MCG
FORMOTEROL FUMARATE DIHYDRATE IP…4.5 MCG
LACTOSE MONOHYDRATE PH. EUR……810 MCG (APPROX.)</t>
  </si>
  <si>
    <t>SYMBICORT-160/4.5</t>
  </si>
  <si>
    <t>EACH DELIVERED DOSE CONTAINS:
BUDESONIDE IP……….160 MCG
FORMOTEROL FUMARATE DIHYDRATE IP…4.5 MCG
LACTOSE MONOHYDRATE PH. EUR……730 MCG (APPROX.)</t>
  </si>
  <si>
    <t>SYMBICORT-320/9</t>
  </si>
  <si>
    <t>EACH DELIVERED DOSE CONTAINS:
BUDESONIDE IP……….320 UG
FORMOTEROL FUMARATE DIHYDRATE IP…9 UG
LACTOSE MONOHYDRATE PH. EUR……491 UG (APPROX.)</t>
  </si>
  <si>
    <t>M/s. AstraZeneca Operations Sweden, AstraZeneca Sverige AB,
Sodertalje Sweden, SE-151-85</t>
  </si>
  <si>
    <t>RABEKIND-40</t>
  </si>
  <si>
    <t>EACH GASTRO-RESISTANT TABLET CONTAINS :
RABEPRAZOLE SODIUM I.P. ……… 40 MG.
EXCIPIENTS …………………………………Q.S.</t>
  </si>
  <si>
    <t>RABEPRAZOLE SODIUM I.P.  40 MG.</t>
  </si>
  <si>
    <t>40 MG.</t>
  </si>
  <si>
    <t>VAXIBOON-23</t>
  </si>
  <si>
    <t>EACH 0.5 ML DOSE OF VACCINE CONTAINS:
ACTIVE INGREDIENT: 25 UG OF EACH PNEUMOCOCCCAL POLYSACCHARIDE SEROTYPES (1,2,3,4,5,6B,7F,8,9N,10A,11A,12F,14,15B,17F,18C,19A,19F,20,22F,23F,&amp;33F)
INACTIVE INGREDIENT:
SODIUM DIHYDROGEN PHOSPHATE…..30 UG
DISODIUM HYDROGEN PHOSPHATE....35.5 UG
SODIUM CHLORIDE.............................4.25 MG
WATER FOR INJECTION........Q.S. TO 0.5 ML
TOTAL AMOUNT OF POLYSACCHARIDE PER =632.5 UG/0.55 ML</t>
  </si>
  <si>
    <t>SODIUM DIHYDROGEN PHOSPHATE 30 UG +
DISODIUM HYDROGEN PHOSPHATE 35.5 UG +
SODIUM CHLORIDE 4.25 MG +
WATER FOR INJECTION Q.S. TO 0.5 ML</t>
  </si>
  <si>
    <t>1 VIAL</t>
  </si>
  <si>
    <t>FERIKIND-FCM</t>
  </si>
  <si>
    <t>EACH ML CONTAINS:
FERRIC CARBOXYMALTOSE EQ. TO ELEMENTAL IRON………50 MG
WATER FOR INJECTION IP….Q.S.</t>
  </si>
  <si>
    <t>FERIKIND-FCM 1K</t>
  </si>
  <si>
    <t>L-ARGININE 50 MG + L-CYSTEINE 50 MG + DL-METHIONINE  40 MG + L-LYSINE HYDROCHLORIDE 20 MG + NIACINAMIDE 16 MG + ZINC 12 MG + BIOTIN 10 MG + INOSITOL  10 MG + IRON 10 MG + CALCIUM PANTOTHENATE 5 MG + COPPER 2 MG + SELENIUM 40 MCG</t>
  </si>
  <si>
    <t>BRUTAFLAM GEL</t>
  </si>
  <si>
    <t>DICLOFENAC DIETHYLAMINE IP...2.32% W/W
EQ. TO DICLOFENAC SODIUM IP…2% W/W
METHYL SALICYLATE IP……………10% W/W
MENTHOL IP………………………….5% W/W
BENZYL ALCOHOL IP……………….1% W/W
(AS PRESERVATIVE) GEL BASE….Q.S.</t>
  </si>
  <si>
    <t>DICLOFENAC DIETHYLAMINE IP 2.32% W/W +
DICLOFENAC SODIUM IP 2% W/W +
METHYL SALICYLATE IP 10% W/W +
MENTHOL 5% W/W +
BENZYL ALCOHOL 1% W/W</t>
  </si>
  <si>
    <t>RIFASTOP-M</t>
  </si>
  <si>
    <t>EACH FILM COATED TABLET CONTAINS:
RIFAXIMIN IP……...…200 MG
METRONIDAZOLE BENZOATE IP EQ. TO METRONIDAZOLE……400 MG
EXCIPIENTS…………Q.S.</t>
  </si>
  <si>
    <t>M/s Yuxi Walvax Biotechnology Co., Ltd.
No. 83 South Dongfeng Road, High &amp; New Technology Industries
Development Zone, Yuxi, Yunnan, China-653100</t>
  </si>
  <si>
    <t>10 MG + 75 MG</t>
  </si>
  <si>
    <t>20 MG + 75 MG</t>
  </si>
  <si>
    <t>5 MG + 100 MG</t>
  </si>
  <si>
    <t>Product Category</t>
  </si>
  <si>
    <t>CARDIAC</t>
  </si>
  <si>
    <t>ANTI-PARASITIC</t>
  </si>
  <si>
    <t>ANTI-INFECTIVES</t>
  </si>
  <si>
    <t>RESPIRATORY</t>
  </si>
  <si>
    <t>DERMA</t>
  </si>
  <si>
    <t>GASTRO INTESTINAL</t>
  </si>
  <si>
    <t>PAIN / ANALGESICS</t>
  </si>
  <si>
    <t>NEURO / CNS</t>
  </si>
  <si>
    <t>VITAMINS/MINERALS/NUTRIENTS</t>
  </si>
  <si>
    <t>STOMATOLOGICALS</t>
  </si>
  <si>
    <t>OPHTHAL / OTOLOGICALS</t>
  </si>
  <si>
    <t/>
  </si>
  <si>
    <t>OTHERS</t>
  </si>
  <si>
    <t>GYNAECOLOGY</t>
  </si>
  <si>
    <t>ANTI DIABETIC</t>
  </si>
  <si>
    <t>HORMONES</t>
  </si>
  <si>
    <t>UROLOGY</t>
  </si>
  <si>
    <t>BLOOD RELATED</t>
  </si>
  <si>
    <t>VACCINES</t>
  </si>
  <si>
    <t>HEPATOPROTECTIVES</t>
  </si>
  <si>
    <t>ANTIVIRAL</t>
  </si>
  <si>
    <t>ANTINEOPLAST/IMMUNOMODULATOR</t>
  </si>
  <si>
    <t>ANTINEOPLAST</t>
  </si>
  <si>
    <t>BUDESONIDE 80 MCG + FORMOTEROL FUMARATE DIHYDRATE 4.5 MCG + Lactose Monohydrate 810 MCG</t>
  </si>
  <si>
    <t>BUDESONIDE 160 MCG + FORMOTEROL FUMARATE DIHYDRATE 4.5 MCG + Lactose Monohydrate 730 MCG</t>
  </si>
  <si>
    <t>BUDESONIDE 320 MCG + FORMOTEROL FUMARATE DIHYDRATE 9 MCG + Lactose Monohydrate 491 MCG</t>
  </si>
  <si>
    <t>Euphorbia prostrata extract  10 MG</t>
  </si>
  <si>
    <t>Euphorbia prostrata extract  100 MG + CALCIUM DOBESILATE MONOHYDRATE 500 MG</t>
  </si>
  <si>
    <t>ANHYDROUS CEFPODOXIME 100 mg</t>
  </si>
  <si>
    <t>DYDROBOON-20 SR</t>
  </si>
  <si>
    <t>EACH FILM COATED TABLET CONTAINS:
DYDROGESTERONE IP……………… 20 MG
(AS SUSTAINED RELEASE)
EXCIPIENTS…………………………….Q.S.</t>
  </si>
  <si>
    <t>DYDROGESTERONE 20 MG</t>
  </si>
  <si>
    <t>VOGLISTAR-GM 1/0.3</t>
  </si>
  <si>
    <t>EACH UNCOATED BILAYERED TABLET CONTAINS:
GLIMEPIRIDE IP……………………1 MG
VOGLIBOSE IP……………………..0.3 MG
METFORMIN HYDROCHLORIDE IP….500 MG
(AS EXTENDED RELEAE)
EXCIPIENTS………………………..Q.S.</t>
  </si>
  <si>
    <t>GLIMEPIRIDE 1 MG
VOGLIBOSE 0.3 MG
METFORMIN HYDROCHLORIDE 500 MG</t>
  </si>
  <si>
    <t>VOGLISTAR-GM 2/0.3</t>
  </si>
  <si>
    <t>EACH UNCOATED BILAYERED TABLET CONTAINS:
GLIMEPIRIDE IP……………………2 MG
VOGLIBOSE IP……………………..0.3 MG
METFORMIN HYDROCHLORIDE IP….500 MG
(AS EXTENDED RELEAE)
EXCIPIENTS………………………..Q.S.</t>
  </si>
  <si>
    <t>EPLEBLESS-50</t>
  </si>
  <si>
    <t>EACH FILM COATED TABLET CONTAINS:
EPLERENONE IP…………50 MG
EXCIPITIENTS……………..Q.S.</t>
  </si>
  <si>
    <t>EPLERENONE IP 50 MG</t>
  </si>
  <si>
    <t>15 ML</t>
  </si>
  <si>
    <t>3 SUP</t>
  </si>
  <si>
    <t>NOBEL-PLUS DS SUSP.</t>
  </si>
  <si>
    <t>EACH 5 ML CONTAINS:
PARACETAMOL IP……………..…250 MG
MEFENAMIC ACID IP………..…..100 MG
FLAVOURED SYRUPY BASE……Q.S.</t>
  </si>
  <si>
    <t>PARACETAMOL 250 MG + MEFANAMIC ACID 100 MG</t>
  </si>
  <si>
    <t>ODPEP-IV INJECTION</t>
  </si>
  <si>
    <t>EACH VIAL CONTAINS:
PANTOPRAZOLE SODIUM IP
(AS STERILE LYOPHILIZED BULK)
EQ. TO PANTOPRAZOLE……40 MG
EACH FFS AMPOULE CONTAINS:
SODIUM CHLORIDE  IP………0.9% W/V
WATER FOR INJECTIONS IP…….Q.S.</t>
  </si>
  <si>
    <t>M/s Alps Communication Pvt. Ltd.
Village-Johron, Trilokpur Road, Kala-Amb, Distt. Sirmour-173030 (H.P.) &amp; M/s Malik Lifesciences Pvt. Ltd. (A Subsidiary of Akums Drugs &amp; Pharmaceuticals Ltd.) 
Plot No-16, Vardhman Indl. Estate, Vill-Bahadarpur Saini, N.H. 58, Haridwar-247667 (Uttarakhand)</t>
  </si>
  <si>
    <t xml:space="preserve">EACH 10 ML CONTAINS:
CALCIUM PHOSPHATE
EQ. TO ELEMENTAL CALCIUM…………300 MG
EQ. TO ELEMENTAL PHOSPHORUS ........150 MG
MAGNESIUM HYDROXIDE
EQ. TO ELEMENTAL MAGNESIUM …………75 MG
ZINC GLUCONATE USP EQ. TO ELEMENTAL ZINC.....4 MG
VITAMIN D3 IP.................200 IU
FLAVOURED BASE .........QS
</t>
  </si>
  <si>
    <t>M/s Pharma Force Lab, (Unit-I) 53-55, Ind. Area,Gondpur, Paonta Sahib (H.P)-173025  &amp; M/s Mankind Pharma Ltd., Doring Block, Bermoik Elaka, South-Sikkim 737126</t>
  </si>
  <si>
    <t>M/s Windlas Biotech Private Limited 
Plant-2, Khasra No. 141 to 143
&amp; 145, Mohabewala Indl. Area, 
Dehradun-248110 (U.K.)
R.O.:40/1, Mohabewala
Indl. Area, Dehradun. &amp; M/s Mankind Pharma Ltd., Doring Block, Bermoik Elaka, South-Sikkim 737126</t>
  </si>
  <si>
    <t>M/s Relax Pharmaceuticals Pvt. Ltd., Unit-II Plot No
49 A &amp; B, Gondpur Industrial Area, Poonla-Sultib, Dislrict Sirmour-
173025, H.P.</t>
  </si>
  <si>
    <t xml:space="preserve">M/s Mediforce Healthcare Pvt. Ltd., Plot No. 8-13, Phase-III, Industrial Area, Gondpur, Paonta Sahib, Distt Sirmour, HP-173025 &amp; M/s Mankind Pharma Ltd., Doring Block, Bermoik Elaka, South-Sikkim 737126 </t>
  </si>
  <si>
    <t xml:space="preserve">M/s Mankind Pharma Ltd.
Village- Kishanpura, P.O Jamniwala, Tehsil- Paonta Sahib, District Sirmour-173025, Himachal Pradesh (INDIA) UNIT-II &amp; M/s Mankind Pharma Ltd., Doring Block, Bermoik Elaka, South-Sikkim 737126 </t>
  </si>
  <si>
    <t>M/s Next Wave (India), Rampur Ghat, Paonta Sahib, Distt. Sirmour (HP)-173025 &amp; M/s Pharma Force Lab. (Unit-II), Plot No. 83-86 Indl. Area, Gondpur, Paonta Sahib, Distt. Sirmour (HP)-173025</t>
  </si>
  <si>
    <t>M/s Tirupati Medicare Limited Nahan Road, Paonta Sahib, Distt, Sirmour (H.P.)-173025 &amp; M/s Pharma Force Lab. (Unit-III) Plot No. 23 &amp; 24, Industrial Area Gondpur, Paonta Sahib, Distt-Sirmour (HP)-173025</t>
  </si>
  <si>
    <t>M/s Penta Kraft, Plot No. 9,10 &amp; 12, Sector-3A, SIDCUL, Haridwar-249403 &amp; M/s Appasamy Ocular Devices (P) Ltd.
Plot No. 74-D, Katha, Baddi, Dist. Solan (H.P.) - 173205, India</t>
  </si>
  <si>
    <t>M/s Appasamy Ocular Devices (P) Ltd.
Plot No. 74-D, Katha, Baddi, Dist. Solan (H.P.) - 173205, India &amp; M/s Pure &amp; Cure Healthcare Pvt. Ltd. (A Subsidiary of Akums Drugs &amp; Pharmaceuticals Ltd.)
Plot No. 26A, 27-30, Sector-8A, I.I.E., SIDCUL, Ranipur, Haridwar-249403, Uttarakhand.</t>
  </si>
  <si>
    <t>M/s Sirmour Remedies Pvt. Ltd., Village Kayarda, PO Missarwala, Poanta Sahib, Distt. Sirmour (HP)-173025 &amp; M/s Mediforce Healthcare Pvt. Ltd., Plot No. 8-13, Phase-III, Industrial Area, Gondpur, Paonta Sahib, Distt Sirmour, HP-173025</t>
  </si>
  <si>
    <t>GUDGESIC-AA</t>
  </si>
  <si>
    <t>EACH FILM COATED TABLET CONTAINS:
ACECLOFENAC   IP.................................100 MG
PARACETAMOL IP.................................325 MG
SERRATIOPEPTIDASE.......................... 15 MG
(30,000 UNIT OF SERRATIOPEPTIDASE)
(AS GASTRO-RESISTANT GRANULES)</t>
  </si>
  <si>
    <t>TELMIKIND-MCT 25</t>
  </si>
  <si>
    <t>EACH FILM COATED BILAYERED TABLET CONTAINS:
TELMISARTAN IP………………….....40 MG
CHLORTHALIDONE IP…………….....12.5 MG
METOPROLOL SUCCINATE IP………23.75 MG
EQ. TO METOPROLOL TARTRATE…..25 MG
EXCIPIENTS……………………………Q.S.</t>
  </si>
  <si>
    <t>TELMIKIND-MCT 50</t>
  </si>
  <si>
    <t>EACH FILM COATED BILAYERED TABLET CONTAINS:
TELMISARTAN IP………………….....40 MG
CHLORTHALIDONE IP…………….....12.5 MG
METOPROLOL SUCCINATE IP………47.50 MG
EQ. TO METOPROLOL TARTRATE…..50 MG
(AS EXTENDED RELEASE)
EXCIPIENTS……………………………Q.S.</t>
  </si>
  <si>
    <t>DYNAGLIPT-LM 5/1000</t>
  </si>
  <si>
    <t>EACH FILM COATED BILAYERED TABLET CONTAINS:
LINAGLIPTIN……………….5 MG
METFORMIN HYDROCHLORIDE IP……1000 MG
(AS EXTENDED RELEASE)
EXCIPIENTS……………….Q.S.</t>
  </si>
  <si>
    <t>SITADAY-PM</t>
  </si>
  <si>
    <t>EACH FILM COATED BILAYERED TABLET CONTAINS:
SITAGLIPTIN PHOSPHATE MONOHYDRATE IP
EQ. TO SITAGLIPTIN…………100 MG
PIOGLITAZONE HYDROCHLORIDE IP EQ. TO PIOGLITAZONE……………….15 MG
METFORMIN HYDROCHLORIDE IP……500 MG
(AS SUSTAINED RELEASE FORM)</t>
  </si>
  <si>
    <t>SITADAY-PM FORTE</t>
  </si>
  <si>
    <t>EACH FILM COATED BILAYERED TABLET CONTAINS:
SITAGLIPTIN PHOSPHATE MONOHYDRATE IP
EQ. TO SITAGLIPTIN…………100 MG
PIOGLITAZONE HYDROCHLORIDE IP EQ. TO PIOGLITAZONE……………….15 MG
METFORMIN HYDROCHLORIDE IP…1000 MG
(AS SUSTAINED RELEASE FORM)</t>
  </si>
  <si>
    <t>CLONAFIT-PLUS H</t>
  </si>
  <si>
    <t>EACH FILM COATED TABLET CONTAINS:
ESCITALOPRAM OXALATE IP
EQ. TO ESCITALOPRAM ………………5 MG
CLONAZEPAM IP ………………………0.5 MG</t>
  </si>
  <si>
    <t>PILORUTE-EP FORTE</t>
  </si>
  <si>
    <t>EACH FILM COATED TABLET CONTAINS :
EUPHORBIA PROSTRATA EXTRACT…...100MG
(CONTAINING 3.15-8.25MG TOTAL FLAVONOIDS CALCULATED AS APIGENIN-7-GLUCOSIDE AND 12.6-44.0MG OF TOTAL PHENOLICS CALCULATED AS GALLIC ACID)
CALCIUM DOBESILATE MONOHYDRATE IP………..500 MG
EXCIPIENTS................Q.S.</t>
  </si>
  <si>
    <t>TRANBLESS TABLETS</t>
  </si>
  <si>
    <t>EACH FILM COATED TABLET CONTAINS:
TRANEXAMIC ACID IP…………500 MG
EXCIPIENTS…………………….Q.S.</t>
  </si>
  <si>
    <t>CRENZLO INJECTION</t>
  </si>
  <si>
    <t>EACH PRE-FILLED SYRINGE CONTAINS 284 MG
INCLISIRAN (EQ. TO 300 MG INCLISIRAN SODIUM) IN 1.5 ML SOLUTION.
WATER FOR INJECTION Q.S.</t>
  </si>
  <si>
    <t>LIVO-LUK RF FIBRE</t>
  </si>
  <si>
    <t>Each 15 gm of granules contains:
Lactitol monohydrate USP-NF......10 gm
Ispaghula Husk IP..............3.5 gm
Excipients............Q.S.</t>
  </si>
  <si>
    <t xml:space="preserve">NIFTIKIND </t>
  </si>
  <si>
    <t>EACH UNCOATED SUSTAINED RELEASE TABLET CONTAINS:
NITROFURANTOIN IP…..100 MG
EXCIPIENTS…………….Q.S.</t>
  </si>
  <si>
    <t>TELMISARTAN 40 MG
CHLORTHALIDONE 12.5 MG
METOPROLOL SUCCINATE 23.75 MG
METOPROLOL TARTRATE 25 MG</t>
  </si>
  <si>
    <t>TELMISARTAN 40 MG
CHLORTHALIDONE 12.5 MG
METOPROLOL SUCCINATE 47.50 MG
METOPROLOL TARTRATE 50 MG</t>
  </si>
  <si>
    <t>LINAGLIPTIN 5 MG
METFORMIN HYDROCHLORIDE 1000 MG</t>
  </si>
  <si>
    <t>SITAGLIPTIN 100 MG
PIOGLITAZONE 15 MG
METFORMIN HYDROCHLORIDE 500 MG</t>
  </si>
  <si>
    <t>SITAGLIPTIN 100 MG
PIOGLITAZONE 15 MG
METFORMIN HYDROCHLORIDE IP 1000 MG</t>
  </si>
  <si>
    <t>ESCITALOPRAM  5 MG + 
CLONAZEPAM IP  0.5 MG</t>
  </si>
  <si>
    <t>EUPHORBIA PROSTRATA 100MG
APIGENIN-7-GLUCOSIDE AND 12.6-44.0MG OF TOTAL PHENOLICS CALCULATED AS GALLIC ACID
CALCIUM DOBESILATE MONOHYDRATE IP 500 MG</t>
  </si>
  <si>
    <t>284 MG INCLISIRAN</t>
  </si>
  <si>
    <t>Lactitol monohydrate 10 gm
Ispaghula Husk 3.5 gm</t>
  </si>
  <si>
    <t>284 MG</t>
  </si>
  <si>
    <t>1 PFS</t>
  </si>
  <si>
    <t>180 GM</t>
  </si>
  <si>
    <t>M/s Corden Pharma S.P.A., Reparto Up3, via G. Galilei 17, Caponago, 20867-Italy
For Novartis Pharma AG, Basel, Switzerland.</t>
  </si>
  <si>
    <t>M/s Swiss Garnier Life Sciences., 21 to 23 Indl. Area, Mehatpur, Distt. UNA (HP)-174315</t>
  </si>
  <si>
    <t xml:space="preserve">M/s Sirmour Remedies Pvt. Ltd., Village Kayarda, PO Missarwala, Poanta Sahib, Distt. Sirmour (HP)-173025 &amp; M/s Pharma Force Lab. (Unit-II), Plot No. 83-86 Indl. Area, Gondpur, Paonta Sahib, Distt. Sirmour (HP)-173025 </t>
  </si>
  <si>
    <t>M/s SYNOKEM PHARMACEUTICALS LTD PLOT NO. 56-57, SECTOR-6A, I.I.E. (SIDCUL), RANIPUR (BHEL), HARIDWAR-249403 (UTTARAKHAND) &amp; M/s, Synokem Lifesciences Pvt. Ltd.
Plot No. 11, Sector-4, LLE, SIDCUL, Ranipur, Haridwar-249403 (UTTARAKHAND)</t>
  </si>
  <si>
    <t xml:space="preserve">M/s Swiss Garnier Genexiaa Sciences Pvt Ltd. Plot No.: 54 &amp; 78, Marnring Bhasti, Rangpo Post, South Sikkim-737132 &amp; M/s Swiss Garnier Life Sciences., 21 to 23 Indl. Area, Mehatpur, Distt. UNA (HP)-174315 &amp; M/s Om Sai Pharma Pack, Plot No. 38 &amp; 39 Sector 11, IIE, SIDCUL, Haridwar-249403 </t>
  </si>
  <si>
    <t>M/s Sirmour Remedies Pvt. Ltd., Village Kayarda, PO Missarwala, Poanta Sahib, Distt. Sirmour (HP)-173021 &amp; M/s Mankind Pharma Ltd., Doring Block, Bermoik Elaka, South-Sikkim 737126 &amp; M/s Mediforce Healthcare Pvt. Ltd., Plot No. 8-13, Phase-III, Industrial Area, Gondpur, Paonta Sahib, Distt Sirmour, HP-173025</t>
  </si>
  <si>
    <t>M/s  Windlas Biotech Private Limited 
Plant-2, Khasra No. 141 to 143
&amp; 145, Mohabewala Indl. Area, 
Dehradun-248110 (U.K.)
R.O.:40/1, Mohabewala
Indl. Area, Dehradun. &amp; M/s Penta Kraft, Plot No. 9,10 &amp; 12, Sector-3A, SIDCUL, Haridwar-249403 &amp; M/s J.K Print Packs (Pharma Division), C-14 to 17, Sara Industrial Estate Ltd., Vill Rampur, Selaqui, Distt Dehradun-248197</t>
  </si>
  <si>
    <t>M/s Appasamy Ocular Devices (P) Ltd.
Plot No. 74-D, Katha, Baddi, Dist. Solan (H.P.) - 173205, India &amp; M/s Akums Drugs &amp; Pharmaceuticals Ltd., Plot No - 2,3,4&amp;5, Sector-6B, I.I.E., SIDCUL, Ranipur, Haridwar-249403 Unit-III</t>
  </si>
  <si>
    <t>M/s Smilax Pharmaceuticals
At: Plot No. 23, EPIP-I, Jharmajri, Baddi, Distt-Solan (H.P.)-174103 &amp; M/s Sirmour Remedies Pvt. Ltd., Village Kayarda, PO Missarwala, Poanta Sahib, Distt. Sirmour (HP)-173021</t>
  </si>
  <si>
    <t>M/s Relax Pharmasceuticals Pvt. Ltd., Unit-I Plot No
48 A &amp; B, Gondpur Industrial Area, Tehsil Poonla-Sultib, Dislrict Sirmour-
173025, H.P. (INDIA) &amp; M/s Pharma Force Lab. (Unit-II), Plot No. 83-86 Indl. Area, Gondpur, Paonta Sahib, Distt. Sirmour (HP)-173025</t>
  </si>
  <si>
    <t>SITAGLIPTIN 50 MG + Metformin HYDROCHLORIDE 500 MG</t>
  </si>
  <si>
    <t>Status</t>
  </si>
  <si>
    <t>Y</t>
  </si>
  <si>
    <t>N</t>
  </si>
  <si>
    <t>S.No.</t>
  </si>
  <si>
    <t>TELMIKIND-AMH 80</t>
  </si>
  <si>
    <t>EACH FILM COATED TABLET CONTAINS :
TELMISARTAN IP ……………………….80 MG
AMLODIPINE BESILATE IP
EQ. TO AMLODIPINE …………………….5 MG
HYDROCHLOROTHIAZIDE IP …………..12.5 MG
EXCIPIENTS …………………………….Q.S.</t>
  </si>
  <si>
    <t>TELMISARTAN IP 80 MG + 
AMLODIPINE 5 MG + HYDROCHLOROTHIAZIDE IP 12.5 MG</t>
  </si>
  <si>
    <t>VONALONG-10</t>
  </si>
  <si>
    <t>Each film coated tablet contains:
Vonoprazan Fumarate.10mg
Excipientsq.s.</t>
  </si>
  <si>
    <t>VONALONG-20</t>
  </si>
  <si>
    <t>Each film coated tablet contains:
Vonoprazan Fumarate.20mg
Excipientsq.s.</t>
  </si>
  <si>
    <t>DYNAGLIPT-LM 5/500</t>
  </si>
  <si>
    <t>Each film coated bilayered tablet contains:
Linagliptin ...5mg
Metformin Hydrochloride IP...500mg
(As ExtendedRelease)
Excipientsq.s.</t>
  </si>
  <si>
    <t>NOBEL-DS GEL</t>
  </si>
  <si>
    <t>Diclofenac Diethylamine IP..2.32 % w/w
Equivalent to Diclofenac sodium .2 % w/w
Methyl Salicylate IP 10% w/w
Menthol IP 5% w/w
Benzyl Alcohol IP .......1% w/w
(As preservative) Gel base .q.s.</t>
  </si>
  <si>
    <t>PANTAKIND RAFT SUSPENSION</t>
  </si>
  <si>
    <t>Each 5ml Contains:
Sodium Alginate IP………...250mg
Sodium Bicarbonate IP…..133.5 MG
Calcium Carbonate IP……..80 mg
Flavoured Base……………....q.s.</t>
  </si>
  <si>
    <t>Sodium Alginate 250mg
Sodium Bicarbonate 133.5 MG
Calcium Carbonate 80 mg</t>
  </si>
  <si>
    <t>TERBINAFORCE-PLUS NF CREAM</t>
  </si>
  <si>
    <t>CLOBETASOL PROPIONATE USP.…..0.05% W/W
NEOMYCIN SULPHATE IP …….……. 0.05% W/W
CLOTRIMAZOLE IP ………………..… 1.0% W/W
PRESERVATIVE
CHLOROCRESOL I.P. ………………..0.1% W/W
CREAM BASE ………………………..Q.S.</t>
  </si>
  <si>
    <t>SITADAY MXR</t>
  </si>
  <si>
    <t xml:space="preserve">EACH FILM COATED TABLET CONTAINS:
METFORMIN HYDROCHLORIDE IP…..1000 MG
(AS PROLONGED RELEASE)
SITAGLIPTIN PHOSPHATE MONOHYDRATE IP EQV. TO SITAGLIPTIN…………………100 MG
EXCIPIENTS…………………………….Q.S. </t>
  </si>
  <si>
    <t>HISTAFREE-M SUSP.</t>
  </si>
  <si>
    <t>Each 5ml contains:
Montelukast sodium IP Eqv to Montelukast..4mg
Fexofenadine Hydrochloride IP..60 mg</t>
  </si>
  <si>
    <t>LUBIMOIST-MAX EYE DROPS</t>
  </si>
  <si>
    <t>Each ml contains:
Sodium Hyaluronate BP.1.8mg
Stabilized Oxychloro Comple...0.005 % w/v
(As preservative) Aqueous Buffered
Vehicle........q.s.</t>
  </si>
  <si>
    <t>BUDAWAYS-F RESPULES</t>
  </si>
  <si>
    <t>Each 2 ml contains
Budesonide IP..0.5 mg
Formoterol Fumarate Dihydrate IP
Equivalent to Formoterol Fumarate......20 mcg
AqueousVehicleq.s.</t>
  </si>
  <si>
    <t>GLIZID-M 40/500</t>
  </si>
  <si>
    <t>Each uncoated tablet contains:
Gliclazide IP.40 mg
Metformin Hydrochloride IP500 mg
Excipients..q.s.</t>
  </si>
  <si>
    <t>JUSLINA-DM 5/500</t>
  </si>
  <si>
    <t xml:space="preserve">EACH FILM COATED BILAYER TABLET CONTAINS:
LINAGLIPTIN……………………….………5 MG
DAPAGLIFLOZIN PROPANEDIOL USP EQ. TO DAPAGLIFLOZIN…………………...…….10 MG
METFORMIN HYDROCHLORIDE IP….500 MG
(AS SUSTAINED RELEASE)
EXCIPIENTS…………………………………Q.S.
</t>
  </si>
  <si>
    <t>JUSLINA-DM 5/1000</t>
  </si>
  <si>
    <t xml:space="preserve">EACH FILM COATED BILAYER TABLET CONTAINS:
LINAGLIPTIN……………………….………5 MG
DAPAGLIFLOZIN PROPANEDIOL USP EQ. TO DAPAGLIFLOZIN…………………...…….10 MG
METFORMIN HYDROCHLORIDE IP….1000 MG
(AS SUSTAINED RELEASE)
EXCIPIENTS…………………………………Q.S.
</t>
  </si>
  <si>
    <t xml:space="preserve">JUSTOZA-GM 1 FORTE </t>
  </si>
  <si>
    <t xml:space="preserve">EACH FILM COATED BILAYERED TABLET CONTAINS:
DAPAGLIFLOZIN PROPANEDIOL USP
EQV. TO DAPAGLIFLOZIN…..10 MG
GLIMEPIRIDE IP………………….1 MG
METFORMIN HYDROCHLORIDE IP……1000 MG
(AS EXTENDED RELEASE)
EXCIPIENTS…………..Q.S.
 </t>
  </si>
  <si>
    <t xml:space="preserve">JUSTOZA-GM 2 FORTE </t>
  </si>
  <si>
    <t xml:space="preserve">EACH FILM COATED BILAYERED TABLET CONTAINS:
DAPAGLIFLOZIN PROPANEDIOL USP
EQV. TO DAPAGLIFLOZIN…..10 MG
GLIMEPIRIDE IP………………….2 MG
METFORMIN HYDROCHLORIDE IP……1000 MG
(AS EXTENDED RELEASE)
EXCIPIENTS…………..Q.S.
 </t>
  </si>
  <si>
    <t>JUSTOZA-S 5/50</t>
  </si>
  <si>
    <t>Each film coated tablet contains:
Dapagliflozin Propanediol Monohydrate equivalent to Dapagliflozin5 mg 
Sitagliptin PhosphateMonohydrate IP equivalent to Sitagliptin.50 mg
Excipientsq.s.</t>
  </si>
  <si>
    <t>JUSTOZA-S 10/100</t>
  </si>
  <si>
    <t xml:space="preserve">Each film coated tablet contains:
Dapagliflozin Propanediol Monohydrate equivalent to Dapagliflozin..10 mg
Sitagliptin PhosphateMonohydrate IP equivalent to Sitagliptin.100 mg
Excipientsq.s.
</t>
  </si>
  <si>
    <t>JUSTOZA-SM 500</t>
  </si>
  <si>
    <t xml:space="preserve">EACH FILM COATED BILAYERED TABLET CONTAINS:
DAPAGLIFLOZIN PROPANEDIOL USP
EQV. TO DAPAGLIFLOZIN…..10 MG
SITAGLIPTIN PHOSPHATE MONOHYDRATE IP EQV. TO SITAGLIPTIN……….100 MG
METFORMIN HYDROCHLORIDE IP……500 MG
(AS EXTENDED RELEASE)
EXCIPIENTS….Q.S.
 </t>
  </si>
  <si>
    <t>JUSTOZA-SM 1000</t>
  </si>
  <si>
    <t xml:space="preserve">EACH FILM COATED BILAYERED TABLET CONTAINS:
DAPAGLIFLOZIN PROPANEDIOL USP
EQV. TO DAPAGLIFLOZIN…..10 MG
SITAGLIPTIN PHOSPHATE MONOHYDRATE IP EQV. TO SITAGLIPTIN……….100 MG
METFORMIN HYDROCHLORIDE IP……1000 MG
(AS EXTENDED RELEASE)
EXCIPIENTS….Q.S.
 </t>
  </si>
  <si>
    <t>VONATIME-10</t>
  </si>
  <si>
    <t>Each Film Coated Tablets Contains:
Vonoprazan Fumarate.......10mg</t>
  </si>
  <si>
    <t>VONATIME-20</t>
  </si>
  <si>
    <t>Each Film Coated Tablet Contains:
Vonoprazan Fumarate........20mg</t>
  </si>
  <si>
    <t>M/s Mascot Health Servies Pvt. Ltd.
Plot No- 79, 80, Sec-6A, I.I.E.
Sidcul, Haridwar-249403 (U.K.)</t>
  </si>
  <si>
    <t>M/s Pharma Force Lab. (Unit-II), Plot No. 85 &amp; 86 Indl. Area, Gondpur, Paonta Sahib, Distt. Sirmour (HP)-173025 &amp; M/s Sirmour Remedies Pvt. Ltd., Village Kayarda, PO Missarwala, Poanta Sahib, Distt. Sirmour (HP)-173021</t>
  </si>
  <si>
    <t>M/s Theon Pharmaceuticals Ltd., Village Saini Majra, Tehsil Nalagarh Distt. Solan (HP)-174101</t>
  </si>
  <si>
    <t>M/s Relax Pharmaceuticals Pvt. Ltd., Unit-I Plot No
48 A &amp; B, Gondpur Industrial Area, Tehsil Poonla-Sultib, Dislrict Sirmour-
173025, H.P. (INDIA) &amp; M/s Malik Lifesciences Pvt. Ltd. (A Subsidiary of Akums Drugs &amp; Pharmaceuticals Ltd.) 
Plot No-16, Vardhman Indl. Estate, Vill-Bahadarpur Saini, N.H. 58, Haridwar-247667 (Uttarakhand)</t>
  </si>
  <si>
    <t>M/s Pharma Force Lab, (Unit-I) 53-55, Ind. Area,Gondpur, Paonta Sahib (H.P)-173025  &amp; M/s Mediforce Healthcare Pvt. Ltd., Plot No. 8-13, Phase-III, Industrial Area, Gondpur, Paonta Sahib, Distt Sirmour, HP-173025</t>
  </si>
  <si>
    <t>M/s Relax Pharmaceuticals Pvt. Ltd.(Unit-II) , 49 A-B Industrial Area, Gondpur, Poanta Sahib, Distt. Sirmour (HP)-173025 &amp; M/s Innova Captab Ltd, 1281/1, Hilltop Industrial Estate, Near EPIP Phase-1 Jharmajri Baddi, Distt. Solan (H.P.)-173205</t>
  </si>
  <si>
    <t>M/s Akums Drugs &amp; Pharmaceuticals Ltd., 19,20,21, Sector-6A, I.I.E., SIDCUL, Haridwar-249403 Unit-I &amp; M/s Akums Healthcare Limited
Plot No. H-6,7,8,9, Sector-01, Sigaddi Growth Centre, SIDCUL, Distt. Pauri Garhwal,
Kotdwar-246149, Uttarakhand.</t>
  </si>
  <si>
    <t>M/s Tirupati Medicare Limited, Nahan Road, Paonta Sahib, Distt Sirmour (H.P.)-173025 &amp; M/s Mediforce Healthcare Pvt. Ltd., Plot No. 8-13, Phase-III, Industrial Area, Gondpur, Paonta Sahib, Distt Sirmour, HP-173025</t>
  </si>
  <si>
    <t>M/s Synokem Pharmaceuticals Ltd., Plot No.56-57, Sector 6-A, IIE, SIDCUL, Ranipur (BHEL), Haridwar-249403 &amp; M/s Mediforce Healthcare Pvt. Ltd., Plot No. 8-13, Phase-III, Industrial Area, Gondpur, Paonta Sahib, Distt Sirmour, HP-173025</t>
  </si>
  <si>
    <t>M/s Copmed Pharmaceuticals Pvt. Ltd. (Unit-III), Plot No-25 &amp; 26 Gondpur Industrial Area, Poanta Sahib, Distt. Sirmour (HP)-173025 &amp; M/s Tirupati Medicare Private Limited Nahan Road, Paonta Sahib, Distt, Sirmour (H.P.)-173025</t>
  </si>
  <si>
    <t>Vonoprazan Fumarate.10mg</t>
  </si>
  <si>
    <t>Vonoprazan Fumarate.20mg</t>
  </si>
  <si>
    <t>Linagliptin 5 MG + Metformin Hydrochloride 500 MG</t>
  </si>
  <si>
    <t>METFORMIN 1000 MG + SITAGLIPTIN 100 MG</t>
  </si>
  <si>
    <t>Montelukast 4 mg + Fexofenadine Hydrochloride IP 60 MG</t>
  </si>
  <si>
    <t>Sodium Hyaluronate BP.1.8mg</t>
  </si>
  <si>
    <t>BudESONIDE 0.5 MG + Formoterol Fumarate 20 mcg</t>
  </si>
  <si>
    <t>Gliclazide IP 40 MG + Metformin Hydrochloride IP 500 MG</t>
  </si>
  <si>
    <t>Linagliptin 5 MG + Dapagliflozin 10 MG + Metformin Hydrochloride 500 MG</t>
  </si>
  <si>
    <t>Linagliptin 5 MG + Dapagliflozin 10 MG + Metformin Hydrochloride 1000 MG</t>
  </si>
  <si>
    <t>Dapagliflozin 10 MG + Glimepiride 1 MG + Metformin 1000 MG</t>
  </si>
  <si>
    <t>Dapagliflozin 10 MG + Glimepiride 2 MG + Metformin 1000 MG</t>
  </si>
  <si>
    <t>Vonoprazan Fumarate 10 MG</t>
  </si>
  <si>
    <t>Vonoprazan Fumarate 20 MG</t>
  </si>
  <si>
    <t>5 MG + 500 MG</t>
  </si>
  <si>
    <t>1000 MG + 100 MG</t>
  </si>
  <si>
    <t>4 MG + 60 MG</t>
  </si>
  <si>
    <t>1.8 MG</t>
  </si>
  <si>
    <t>40 MG + 500 MG</t>
  </si>
  <si>
    <t>5 MG + 10 MG + 500 MG</t>
  </si>
  <si>
    <t>5 MG + 10 MG + 1000 MG</t>
  </si>
  <si>
    <t>10 MG + 1 MG + 1000 MG</t>
  </si>
  <si>
    <t>10 MG + 2 MG + 1000 MG</t>
  </si>
  <si>
    <t>5 MG + 50 MG</t>
  </si>
  <si>
    <t>10 MG + 100 MG</t>
  </si>
  <si>
    <t>10 MG + 100 MG + 500 MG</t>
  </si>
  <si>
    <t>DAPAGLIFLOZIN 10 MG + SITAGLIPTIN 100 MG + METFORMIN 500 MG</t>
  </si>
  <si>
    <t>DAPAGLIFLOZIN 10 MG + SITAGLIPTIN 100 MG + METFORMIN 1000 MG</t>
  </si>
  <si>
    <t>10 MG + 100 MG + 1000 MG</t>
  </si>
  <si>
    <t>MIRABLAD-S 25</t>
  </si>
  <si>
    <t>MIRABLAD-S 50</t>
  </si>
  <si>
    <t>Each film coated bilayered tablet contains:
Mirabegron Ph.Eur25mg
(as Extended Release) Solifenacin Succinate IP..5mg
Excipients..q.s.</t>
  </si>
  <si>
    <t>Each film coated bilayered tablet contains: 
Mirabegron Ph.Eur50mg
(as Extended Release) Solifenacin Succinate IP..5mg
Excipients..q.s.</t>
  </si>
  <si>
    <t>New Product</t>
  </si>
  <si>
    <t>General</t>
  </si>
  <si>
    <t>G.I. DRUGS</t>
  </si>
  <si>
    <t>EPIFAST SYRUP</t>
  </si>
  <si>
    <t>EACH 5 ML CONTAINS:
LEVETIRACETAM IP…………….….500 MG
IN FLAVOURED SYRUP BASE……Q.S.</t>
  </si>
  <si>
    <t>M/s Tirupati Medicare Private Limited Nahan Road, Paonta Sahib, Distt, Sirmour (H.P.)-173025</t>
  </si>
  <si>
    <t>OFLOXACIN  I.P. 200 MG + ORNIDAZOLE IP 500 MG</t>
  </si>
  <si>
    <t>CEFUROXIME 250 MG + CLAVULANIC ACID 125 MG</t>
  </si>
  <si>
    <t>CEFUROXIME 500 MG + CLAVULANIC ACID 125 MG</t>
  </si>
  <si>
    <t>DOLOKIND-TH 4</t>
  </si>
  <si>
    <t>DOLOKIND-TH 8</t>
  </si>
  <si>
    <t>GLIMESTAR-DM 1</t>
  </si>
  <si>
    <t>GLIMESTAR-DM 2</t>
  </si>
  <si>
    <t>LUBIMOIST-ULTRA RF EYE DROPS</t>
  </si>
  <si>
    <t>ENTROMAX GG SACHET</t>
  </si>
  <si>
    <t>STATPURE-EZ 10</t>
  </si>
  <si>
    <t>STATPURE-EZ 20</t>
  </si>
  <si>
    <t>GUDPRES-ER 25</t>
  </si>
  <si>
    <t>GUDPRES-ER 50</t>
  </si>
  <si>
    <t>JUSTOZA-GM 1</t>
  </si>
  <si>
    <t>JUSTOZA-GM 2</t>
  </si>
  <si>
    <t>Each Film Coated Tablet Contains:
Aceclofenac IP..100 mg
Paracetamol IP..325 mg
Thiocolchicoside IP.4 mg</t>
  </si>
  <si>
    <t>Each Film Coated Tablet Contains:
Aceclofenac IP..100 mg
Paracetamol IP..325 mg
Thiocolchicoside IP.8 mg</t>
  </si>
  <si>
    <t>Each film coated bilayered tablet contains:
Dapagliflozin Propanediol USP
Eq. to Dapagliflozin. .......................10mg
Glimepiride IP 1 mg
Metformin Hydrochloride IP ............500 mg
(As Extended release)
Excipients.q.s.</t>
  </si>
  <si>
    <t>Each film coated bilayered tablet contains:
Dapagliflozin Propanediol USP
Eq. to Dapagliflozin. ...............10 mg
Glimepiride……………………..IP2 mg
Metformin Hydrochloride IP...500 mg
(As Extended release)
Excipients.q.s.</t>
  </si>
  <si>
    <t>Each ml contains:
Sodium Hyaluronate .............1.5 mg
Polyethylene Glycol 400.......4.0 mg
Propylene Glycol....................3.0 mg
Aqueous Buffered vehicle ..........q.s.</t>
  </si>
  <si>
    <t>Each 1g Sachet contains:
Lactobacillus Rhamnosus GG6 billion cfu</t>
  </si>
  <si>
    <t>Each film coated tablet contains:
Rosuvastatin Calcium IP
Eq. to Rosuvastatin.10mg
Ezetimibe IP.10mg
Excipientsq.s.</t>
  </si>
  <si>
    <t>Each film coated tablet contains:
Rosuvastatin Calcium IP
Eq. to Rosuvastatin.20mg
Ezetimibe IP.10mg
Excipientsq.s.</t>
  </si>
  <si>
    <t>Each Film Coated Extended-release Tablet Contains:
Metoprolol Succinate IP23.75mg
Eq. to Metoprolol Tartrate.25mg
Colour:Titanium
Dioxide IP</t>
  </si>
  <si>
    <t>Each Film Coated Extended-release Tablet Contains:
Metoprolol Succinate IP.47.50mg
Eq. to Metoprolol Tartrate50mg
Colour:Titanium Dioxide IP</t>
  </si>
  <si>
    <t>Each film coated bilayered tablet contains:
Dapagliflozin Propanediol USP Eq. to Dapagliflozin. ...............10 mg
GlimepirideIP1 mg
Metformin Hydrochloride IP...500 mg
(As Extended release)
Excipients.q.s</t>
  </si>
  <si>
    <t>Each film coated bilayered tablet contains:
Dapagliflozin Propanediol USP Eq. to Dapagliflozin. ...............10 mg
GlimepirideIP 2 mg
Metformin Hydrochloride IP...500 mg
(As Extended release)
Excipients.q.s</t>
  </si>
  <si>
    <t>M/s Sundyota Numandis Probioceuticals Pvt. Ltd., 
Plot No. 11-12, Gujrat Pharma Techno Park, Opp. Zydus Pharmez,
Sarkhoj-Bavla Highway, Bavla, Ahmedabad, Gujarat-382220, India</t>
  </si>
  <si>
    <t>M/s Windlas Biotech Limited 
Plant-2, Khasra No. 141 to 143
&amp; 145, Mohabewala Indl. Area, 
Dehradun-248110 (U.K.)
R.O.:40/1, Mohabewala
Indl. Area, Dehradun.</t>
  </si>
  <si>
    <t>M/s Penta Kraft, Plot No. 9,10 &amp; 12, Sector-3A, SIDCUL, Haridwar-249403 &amp; M/s SYNOKEM PHARMACEUTICALS LTD PLOT NO. 56-57, SECTOR-6A, I.I.E. (SIDCUL), RANIPUR (BHEL), HARIDWAR-249403 (UTTARAKHAND)</t>
  </si>
  <si>
    <t>1 SACHET</t>
  </si>
  <si>
    <t>M/s Hetero Labs Limited (Unit-II),  Village Kalyanpur, Chakkan Road, Tehsil Baddi, Distt Solan (H.P.)-173205 &amp; M/s Precise Biopharma Pvt. Ltd. At: Plot No. 29, Pharma City,
Selaqui Industrial Area, Dehradun-248011, Uttarakhand.</t>
  </si>
  <si>
    <t>M/s SYNOKEM PHARMACEUTICALS LTD PLOT NO. 56-57, SECTOR-6A, I.I.E. (SIDCUL), RANIPUR (BHEL), HARIDWAR-249403 (UTTARAKHAND) &amp; M/s Ravenbhel Healthcare Pvt Ltd, At: EPIP, SIDCO, Kartholi, Bari Brahmana, Jammu-181133</t>
  </si>
  <si>
    <t>M/s SYNOKEM PHARMACEUTICALS LTD PLOT NO. 35-36, SECTOR-6A, I.I.E. (SIDCUL), RANIPUR (BHEL), HARIDWAR-249403 (UTTARAKHAND) &amp; M/s Ravenbhel Healthcare Pvt Ltd, At: EPIP, SIDCO, Kartholi, Bari Brahmana, Jammu-181133</t>
  </si>
  <si>
    <t>10 MG + 1 MG + 500 MG</t>
  </si>
  <si>
    <t>10 MG + 2 MG + 500 MG</t>
  </si>
  <si>
    <t>1.5 MG + 4 MG + 3 MG</t>
  </si>
  <si>
    <t>10 MG + 10 MG</t>
  </si>
  <si>
    <t>20 MG + 10 MG</t>
  </si>
  <si>
    <t>10 MG + 500 MG</t>
  </si>
  <si>
    <t xml:space="preserve">Dapagliflozin 10 mg + Glimepiride IP 1 mg + Metformin Hydrochloride IP 500 mg
</t>
  </si>
  <si>
    <t xml:space="preserve">Dapagliflozin 10 mg + Glimepiride IP 2 mg + Metformin Hydrochloride IP 500 mg
</t>
  </si>
  <si>
    <t>Sodium Hyaluronate 1.5 mg + Polyethylene Glycol 400 4.0 mg + Propylene Glycol 3.0 mg</t>
  </si>
  <si>
    <t>Lactobacillus Rhamnosus 6 Billinon CFU</t>
  </si>
  <si>
    <t>Rosuvastatin 10 mg + Ezetimibe IP 10 mg</t>
  </si>
  <si>
    <t>Rosuvastatin 20 mg + Ezetimibe IP 10 mg</t>
  </si>
  <si>
    <t>Metoprolol Tartrate 25 MG</t>
  </si>
  <si>
    <t>Metoprolol Tartrate 50 MG</t>
  </si>
  <si>
    <t>LECOPE-AD NEW</t>
  </si>
  <si>
    <t>GLIMESTAR-DM 1 FORTE</t>
  </si>
  <si>
    <t>GLIMESTAR-DM 2 FORTE</t>
  </si>
  <si>
    <t>TELMIKIND-LN 40/20</t>
  </si>
  <si>
    <t>NUROKIND-GOLD SUSPENSION</t>
  </si>
  <si>
    <t>RANIDOM-DSR</t>
  </si>
  <si>
    <t>CILAHEART-T 20/40</t>
  </si>
  <si>
    <t>SITABLESS-50</t>
  </si>
  <si>
    <t>SITABLESS-100</t>
  </si>
  <si>
    <t>SITABLESS-M 50/500</t>
  </si>
  <si>
    <t>SITABLESS-M 50/1000</t>
  </si>
  <si>
    <t>COLONCOP-800</t>
  </si>
  <si>
    <t>COLONCOP-1200</t>
  </si>
  <si>
    <t>MIRABLAD-25</t>
  </si>
  <si>
    <t>MIRABLAD-50</t>
  </si>
  <si>
    <t>SILOGREAT-4</t>
  </si>
  <si>
    <t>SILOGREAT-8</t>
  </si>
  <si>
    <t>EACH FILM COATED TABLET CONTAINS:
LEVOCETIRIZINE
HYDROCHLORIDE I.P.………………..  5 MG
AMBROXOL HYDROCHLORIDE IP………..60 MG</t>
  </si>
  <si>
    <t>Each film coated bilayered tablet contains:
Dapagliflozin Propanediol USP Eq. to Dapagliflozin. ............10 mg
Glimepiride IP1 mg
Metformin Hydrochloride IP.1000 mg
(As Extended release)
Excipients.q.s.</t>
  </si>
  <si>
    <t>Each film coated bilayered tablet contains:
Dapagliflozin Propanediol USP Eq. to Dapagliflozin. ..............10 mg
GlimepirideIP 2 mg
Metformin Hydrochloride IP.1000 mg
(As Extended release)
Excipients.q.s.</t>
  </si>
  <si>
    <t>Each film coated tablet contains:
Cilnidipine IP.20 mg
Telmisartan IP40 MG
Excipientsq.s.</t>
  </si>
  <si>
    <t>L-lysine (22mg), Vitamin C (20mg), Vitamin B3(11mg), Taurine (10mg), L-leucine (6.4mg), Zinc (5mg), Vitamin B5 (3mg),L-
Valine (2.35mg), L-Isoleucine (2.065 mg), Vitamin E (1.68mg), Vitamin B2 (1.1mg), Letein (40%) (1.0mg), Lycopene (10%) (1mg),
Vitamin B1( 1mg), Vitamin B6 (1mg), Manganese (0.8mg), vitamin A (330mcg), Folic Acid (60mcg), Iodine (38mcg), Copper (0.025mg),
Chromium (10mcg), Selenium (10mcg), Biotin (10mcg), Molybdenum (8mcg), Vitamin D (5mcg), Vitamin B12 (1mcg)</t>
  </si>
  <si>
    <t>EACH HARD GELATIN CAPSULE CONTAINS:
ESOMEPRAZOLE MAGNESIUM TRIHYDRATE IP
EQUIVALENT TO ESOMEPRAZOLE...........40 MG
(AS ENTERIC COATED PELLETS)
DOMPERIDONE............................30 MG
(AS SUSTAINED RELEASE TABLET)
EXCIPIENTS........................Q.S.</t>
  </si>
  <si>
    <t>Each film coated tablet contains:
Cilnidipine IP20mg
Telmisartan IP40mg
Colours: Ferric Oxide USP-NF (Red) &amp; Titanium Dioxide IP</t>
  </si>
  <si>
    <t>Each film coated tablet contains:
Sitagliptin Phosphate Monohydrate IP
Equivalent to Sitagliptin.50 mg
Excipients..q.s.</t>
  </si>
  <si>
    <t>Each film coated tablet contains:
Sitagliptin Phosphate Monohydrate IP
Equivalent to Sitagliptin.100 mg
Excipients..q.s.</t>
  </si>
  <si>
    <t>Each film coated tablet contains:
Sitagliptin Phosphate Monohydrate IP
Equivalent to Sitagliptin. 50mg
MetforminHydrochlorideIP500 mg
Excipients..q.s.</t>
  </si>
  <si>
    <t>Each film coated tablet contains:
Sitagliptin Phosphate Monohydrate IP
Equivalent to Sitagliptin.50mg
MetforminHydrochlorideIP1000 mg
Excipients..q.s.</t>
  </si>
  <si>
    <t>Each Delayed Release Tablet Contains:
Mesalamine IP800 mg
Colours: Iron Oxide (Ferric Oxide USNF) Red &amp; Titanium Dioxide</t>
  </si>
  <si>
    <t>Each Enteric Coated Prolonged  Release Tablet Contains:
Mesalamine IP1200 mg
Colours: Iron Oxide (Ferric Oxide USNF) Red &amp; Titanium Dioxide</t>
  </si>
  <si>
    <t>Each Film coated extended release tablet conatins:
Mirabegron Ph.Eur..25mg</t>
  </si>
  <si>
    <t>Each Film coated extended release tablet conatins:
Mirabegron Ph.Eur..50mg</t>
  </si>
  <si>
    <t>Each Film Coated Tablet Contains:
Silodosin JP4mg</t>
  </si>
  <si>
    <t>Each Film Coated Tablet Contains:
Silodosin JP8mg</t>
  </si>
  <si>
    <t>Dapagliflozin.10 mg
Glimepiride IP1 mg
Metformin Hydrochloride IP.1000 mg</t>
  </si>
  <si>
    <t>ESOMEPRAZOLE 40 MG
DOMPERIDONE 30 MG</t>
  </si>
  <si>
    <t>Cilnidipine IP20mg
Telmisartan IP40mg</t>
  </si>
  <si>
    <t>Sitagliptin.50 mg</t>
  </si>
  <si>
    <t>Sitagliptin.100 mg</t>
  </si>
  <si>
    <t>Sitagliptin. 50mg
MetforminHydrochlorideIP500 mg</t>
  </si>
  <si>
    <t>Sitagliptin.50mg
MetforminHydrochlorideIP1000 mg</t>
  </si>
  <si>
    <t>Mesalamine IP800 mg</t>
  </si>
  <si>
    <t>Mesalamine IP1200 mg</t>
  </si>
  <si>
    <t>Mirabegron Ph.Eur..25mg</t>
  </si>
  <si>
    <t>Mirabegron Ph.Eur..50mg</t>
  </si>
  <si>
    <t>Silodosin JP4mg</t>
  </si>
  <si>
    <t>Silodosin JP8mg</t>
  </si>
  <si>
    <t>20 MG + 40 MG</t>
  </si>
  <si>
    <t>40 MG + 30 MG</t>
  </si>
  <si>
    <t>M/s Mankind Pharma Ltd. Village- Kishanpura, P.O Jamniwala, Tehsil- Paonta Sahib, District Sirmour-173025, Himachal Pradesh (INDIA)  Unit-1. &amp; M/s Nitin Lifesciences Ltd., Rampur Road, Paonta Sahib, Distt.Sirmour (HP)-173025 &amp; M/s Nichepharm Lifesciences Private Limited,
Khasra No. 1/1/4/1, Mauza Central Hope Town,
Pargana Pachwadoon, Teshil Vikas Nagar,
Dehradun Uttarakhand-248197.</t>
  </si>
  <si>
    <t>M/s R.K. Laboratories (P) Ltd., VPO Manpura, Nalagarh, Distt Solan (H.P.)-174101 &amp; M/s Axa Parenterals Ltd. Plot No. 936,937 &amp; 939, Village Kishanpur, Jamalpur, Roorkee-247667 Distt. Haridwar, Uttarakhand &amp; M/s Abaris Healthcare Pvt. Ltd. Plot No. 1407-11, Village-Rajpur,
TAL: KADI, DIST: MEHSANA-382740, GUJRAT</t>
  </si>
  <si>
    <t>M/s Mankind Pharma Ltd. Village- Kishanpura, P.O Jamniwala, Tehsil- Paonta Sahib, District Sirmour-173025, Himachal Pradesh (INDIA)  Unit-1. &amp; M/s Nichepharm Lifesciences Private Limited,
Khasra No. 1/1/4/1, Mauza Central Hope Town,
Pargana Pachwadoon, Teshil Vikas Nagar,
Dehradun Uttarakhand-248197.</t>
  </si>
  <si>
    <t>M/s Sirmour Remedies Pvt. Ltd., Village Kayarda, PO Missarwala, Poanta Sahib, Distt. Sirmour (HP)-173025 &amp; M/s Penta Kraft, Plot No. 9,10 &amp; 12, Sector-3A, SIDCUL, Haridwar-249403 &amp; M/s Mankind Pharma Ltd., Doring Block, Bermoik Elaka, South-Sikkim 737126 &amp; M/s Mediforce Healthcare Pvt. Ltd., Plot No. 8-13, Phase-III, Industrial Area, Gondpur, Paonta Sahib, Distt Sirmour, HP-173025</t>
  </si>
  <si>
    <t>TELMIKIND-LN 80/10</t>
  </si>
  <si>
    <t>ASTHAKIND-LDP SYRUP</t>
  </si>
  <si>
    <t>SILOGREAT-M25</t>
  </si>
  <si>
    <t>Each film coated tablet contains:
Cilnidipine IP.10 mg
Telmisartan IP80 MG
Excipientsq.s.</t>
  </si>
  <si>
    <t>Each 5ml contains:
Levodroproizine IP30mg
Chlorpheniramine Maleate IP.2mg</t>
  </si>
  <si>
    <t>Each film coated bilayered tablet contains:
Mirabegron Ph.Eur25mg
(As Extended Release Form)
Silodosin JP 8mg
Excipients q.s.</t>
  </si>
  <si>
    <t>M/s Crest Lifesciences Pvt. Ltd.
Plot No. 127-128, EPIP Phase-1, Jharmajri, Tehsil Baddi, Distt. Solan, 
Himachal Pradesh-174103</t>
  </si>
  <si>
    <t>Mirabegron 25 MG + Silodosin 8 MG</t>
  </si>
  <si>
    <t>25 MG + 8 MG</t>
  </si>
  <si>
    <t>Levodroproizine 30 MG + Chlorpheniramine Maleate 2 MG</t>
  </si>
  <si>
    <t>30 MG + 2 MG</t>
  </si>
  <si>
    <t>Cilnidipine IP.20 mg + Telmisartan IP40 MG</t>
  </si>
  <si>
    <t>Cilnidipine IP 10 mg + Telmisartan IP 80 MG</t>
  </si>
  <si>
    <t>10 MG + 80 MG</t>
  </si>
  <si>
    <t>Mirabegron 50 MG + Solifenacin 5 MG</t>
  </si>
  <si>
    <t>50 MG + 5 MG</t>
  </si>
  <si>
    <t>DAFFY BABY NAPPY RASH CREAM</t>
  </si>
  <si>
    <t>MAHAGABA-D</t>
  </si>
  <si>
    <t>STATPURE-EZ 40</t>
  </si>
  <si>
    <t>FLOKIND-Z</t>
  </si>
  <si>
    <t>SILOGREAT-D</t>
  </si>
  <si>
    <t>SILOGREAT-M50</t>
  </si>
  <si>
    <t>Aqua, Light Liquid Paraffin, Zinc Oxide (Micronised), Cera Alba, Cera Microcristallina, Petrolatum, Sorbitan Sesquioleate, Peg-
30Dipolyhydroxystearate, Glycine Soja (Soybean) Oil (and) Calendula Officianlis Flower Extract (and) Tocopherol, Dimethicone,
Magnesium</t>
  </si>
  <si>
    <t>Each Hard Gelatin Capsule Contains:
Pregabalin IP............. 75 mg
Duloxetine Hydrochloride IP
Equivalent to Duloxetine....... 20mg
(as delayed release pellets)
Excipients............................. q.s.</t>
  </si>
  <si>
    <t>Each film coated tablet contains:
Rosuvastatin Calcium IP
Eq. to Rosuvastatin.......40 mg
Ezetimibe..........10 mg
Excipients.........q.s.</t>
  </si>
  <si>
    <t>Each hard gelatin capsule contains:
Tamsulosin Hydrochloride IP0.4 mg
(As film coated modified-release tablet)
Colour:
TitaniumDioxide IP
Deflazacort.30 mg</t>
  </si>
  <si>
    <t>Each uncoated bilayered tablet contains:
Silodosin JP8mg
Dutastreride IP.0.5mg
Excipientsq.s.</t>
  </si>
  <si>
    <t>Each film coated bilayered tablet contains:
Mirabegron Ph.Eur50mg
(As Extended Release Form)
Silodosin JP8mg
Excipientsq.s.</t>
  </si>
  <si>
    <t>M/s Pritam International Pvt. Ltd., 
Khasra No. 138, Raipur Industrial Area, Bhagwanpur, Roorkee,
Haridwar, Uttarakhand - 247667</t>
  </si>
  <si>
    <t>M/s Akums Drugs &amp; Pharmaceuticals Ltd. 
At: Plot No-16, Vardhman Indl. Estate, Vill-Bahadarpur Saini, N.H. 58, Haridwar-247667 (Uttarakhand)</t>
  </si>
  <si>
    <t>M/s Mankind Pharma Ltd. Village- Kishanpura, P.O Jamniwala, Tehsil- Paonta Sahib, District Sirmour-173025,  UNIT-2 &amp; M/s Mankind Pharma Ltd., Doring Block, Bermoik Elaka, South-Sikkim 737126 &amp; M/s Pharma Force Lab. (Unit-II), Plot No. 83-86 Indl. Area, Gondpur, Paonta Sahib, Distt. Sirmour (HP)-173025</t>
  </si>
  <si>
    <t xml:space="preserve">M/s Indu Drugs Pvt Ltd., 5-5-35/278, 279 &amp; 281/1 (Part), Prasanthi Nagar IDA, Kukatpally, Hyderabad-500072 &amp; M/s Cris Pharma (India) Limited, E-11 UPSIDC Ind. Area, Selaqui Dehradun-248197 </t>
  </si>
  <si>
    <t>M/s Mankind Pharma Ltd. Village- Kishanpura, P.O Jamniwala, Tehsil- Paonta Sahib, District Sirmour-173025,  UNIT-2 &amp; M/s Mankind Pharma Ltd., Doring Block, Bermoik Elaka, South-Sikkim 7</t>
  </si>
  <si>
    <t>EACH UNCOATED TABLET CONTAINS :
ISOXSUPRINE HYDROCHLORIDE IP …………..10 MG</t>
  </si>
  <si>
    <t>M/s Encube Ethicals Pvt. Ltd,
Plot No. C-1, Madkaim Industrial Estate,
Post: Mardol Ponda Goa-403 404 &amp; M/s Om Sai Pharma Pack, Plot No. 38 &amp; 39 Sector 11, IIE, SIDCUL, Haridwar-249403</t>
  </si>
  <si>
    <t>M/s Pharma Force Lab. (Unit-II), Plot No. 83-86 Indl. Area, Gondpur, Paonta Sahib, Distt. Sirmour (HP)-173025 &amp; M/s Relax Pharmaceuticals Pvt. Ltd.,(Unit-II) 49-A-B, Industrial Area, Gondpur, Poanta Sahib, Distt. Sirmour (HP)-173025</t>
  </si>
  <si>
    <t>75 MG + 20 MG</t>
  </si>
  <si>
    <t>40 MG + 10 MG</t>
  </si>
  <si>
    <t>0.4 MG + 30 MG</t>
  </si>
  <si>
    <t>8 MG + 0.5 MG</t>
  </si>
  <si>
    <t>50 MG + 8 MG</t>
  </si>
  <si>
    <t>DISCONTINUED AS PER GAURAV JI ON 11-12-2024</t>
  </si>
  <si>
    <t>DISCONTINUED AS PER GAURAV JI ON 03-01-2025</t>
  </si>
  <si>
    <t>DISCONTINUED AS PER SUDHIR JI ON 08-01-2025</t>
  </si>
  <si>
    <t>Pregabalin 75 MG + Duloxetine 20 MG</t>
  </si>
  <si>
    <t>Rosuvastatin 40 MG + Ezetimide 10 MG</t>
  </si>
  <si>
    <t>Tamsulosin 0.4 MG + Deflazacort 30 MG</t>
  </si>
  <si>
    <t>Silodosin 8 MG + Dutastereride 0.5 MG</t>
  </si>
  <si>
    <t>Mirabegron 50 MG + Silodosin 8 MG</t>
  </si>
  <si>
    <t>Yes</t>
  </si>
  <si>
    <t>Dapagliflozin 10 mg
GlimepirideIP 2 mg
Metformin Hydrochloride IP.1000 mg</t>
  </si>
  <si>
    <t>SHIFTED</t>
  </si>
  <si>
    <t>DISCONTINUED AS PER DEEPAK SHARMA ON 30-01-2025</t>
  </si>
  <si>
    <t>TELMIKIND-AM BETA 50</t>
  </si>
  <si>
    <t>HAIRBLESS DIVA</t>
  </si>
  <si>
    <t>THYRONEED-37.5</t>
  </si>
  <si>
    <t>Each film coated Bilayered Tablet Contains:
Amlodipine Besilate IP
Eq. to Amlodipine 5 mg
Telmisartan IP..40 mg
Metoprolol
Succinate IP.47.5 mg
Eq. to Metoprolol Tartrate 50 mg
(As Extended Release form)</t>
  </si>
  <si>
    <t>Each 0.830g film coated tablet contains:
Evening Primrose Oil 20 mg
(Containing GLA 2 mg)
Millet Seed Extract 50 mg
Grape Seed Extract 20 mg
N-Acetyl Cysteine 50 mg
L-Lysine Hydrochloride 30 mg
L-Arginine 10 mg
L-Methionine 50 mg
Niacin 11 mg
Inositol 5 mg
Vitamin B6 1.5 mg
Vitamin B1 1.1 mg
Folic Acid 100 mcg
Biotin 40 mcg
Vitamin D2 600 IU
Iron 29 mg
Copper 1 mg
Selenium 40 mcg
Zinc 10 mg</t>
  </si>
  <si>
    <t>Each uncoated tablet contains:
Thyroxine Sodium IP
equivalent to Anhydrous Thyroxine Sodium.37.5 mcg
(Synthetic Thyroid Hormone)
Excipientsq.s.</t>
  </si>
  <si>
    <t>M/s Sirmour Remedies Pvt. Ltd., Village Kayarda, PO Missarwala, Poanta Sahib, Distt. Sirmour (HP)-173021 &amp; M/s Pharma Force Lab. (Unit-II), Plot No. 83-86 Indl. Area, Gondpur, Paonta Sahib, Distt. Sirmour (HP)-173025</t>
  </si>
  <si>
    <t>M/s Puerto Life Sciences Pvt. Ltd. Plot No. A 206-207,
RIICO Industrial Area Ghiloth Tehsil Neemrana,
District Alwar-301705, Rajasthan &amp; M/s Ahlcon Parenterals (India) Ltd., SP-917-918,Phase III, Ind. Area, Bhiwadi-301019, Dist. (Alwar), Rajasthan. India &amp; M/s Akums Drugs &amp; Pharmaceuticals Ltd., Plot No - 2,3,4&amp;5, Sector-6B, I.I.E., SIDCUL, Ranipur, Haridwar-249403 Unit-III</t>
  </si>
  <si>
    <t>M/s Biogenetic Drugs Pvt. Ltd. Vill. Jharmajri, Baddi, Distt. Solan (H.P.)-174103 &amp; M/s Tirupati Medicare Private Limited Nahan Road, Paonta Sahib, Distt, Sirmour (H.P.)-173025</t>
  </si>
  <si>
    <t>M/s Vasistha Pharmaceuticals., 173 Phase-I Udyog Vihar, HSIDC Complex, Gurgaon-122016 &amp; M/s Pharma Force Lab. (Unit-II), Plot No. 83-86 Indl. Area, Gondpur, Paonta Sahib, Distt. Sirmour (HP)-173025 &amp; M/s Om Sai Pharma Pack, Plot No. 38 &amp; 39 Sector 11, IIE, SIDCUL, Haridwar-249403</t>
  </si>
  <si>
    <t>AMLODIPINE 5 MG + TELMISARTAN IP 40 MG + Metoprolol 50 MG</t>
  </si>
  <si>
    <t>5 MG + 40 MG + 50 MG</t>
  </si>
  <si>
    <t>Millet Seed Extract 50 mg
Grape Seed Extract 20 mg
N-Acetyl Cysteine 50 mg
L-Lysine Hydrochloride 30 mg
L-Arginine 10 mg
L-Methionine 50 mg
Niacin 11 mg
Inositol 5 mg
Vitamin B6 1.5 mg
Vitamin B1 1.1 mg
Folic Acid 100 mcg
Biotin 40 mcg
Vitamin D2 600 IU
Iron 29 mg
Copper 1 mg
Selenium 40 mcg
Zinc 10 mg</t>
  </si>
  <si>
    <t>THYROXINE SODIUM 37.5MCG</t>
  </si>
  <si>
    <t>37.5MCG</t>
  </si>
  <si>
    <t>50 MG + 20 MG + 50 MG + 30 MG+ 10 MG +  50 mg
+ 11 mg
+ 5 mg
+ 1.5 mg
+ 1.1 mg
+ 100 mcg
+ 40 mcg
+ 600 IU
+29 mg
+ 1 mg
+ 40 mcg
+ 10 mg</t>
  </si>
  <si>
    <t>NEW LAUNCH PRODUCT OF JAN-2025</t>
  </si>
  <si>
    <t>Dosage Form</t>
  </si>
  <si>
    <t>TAB</t>
  </si>
  <si>
    <t>CAP</t>
  </si>
  <si>
    <t>INJ</t>
  </si>
  <si>
    <t>SYRUP</t>
  </si>
  <si>
    <t>CREAM</t>
  </si>
  <si>
    <t>DROP</t>
  </si>
  <si>
    <t>LOTION</t>
  </si>
  <si>
    <t>SUSPENSION</t>
  </si>
  <si>
    <t>SPRAY</t>
  </si>
  <si>
    <t>GEL</t>
  </si>
  <si>
    <t>SHAMPOO</t>
  </si>
  <si>
    <t>SOAP</t>
  </si>
  <si>
    <t>SACHET</t>
  </si>
  <si>
    <t>POWDER</t>
  </si>
  <si>
    <t>STRIP</t>
  </si>
  <si>
    <t>KIT</t>
  </si>
  <si>
    <t>OINTMENT</t>
  </si>
  <si>
    <t>BUCCAL PASTE</t>
  </si>
  <si>
    <t>RESPULE</t>
  </si>
  <si>
    <t>INHALER</t>
  </si>
  <si>
    <t>GARGLE</t>
  </si>
  <si>
    <t>MOUTH WASH</t>
  </si>
  <si>
    <t>HUSK</t>
  </si>
  <si>
    <t>WASH</t>
  </si>
  <si>
    <t>NUROKIND HS PRE-FILLED SYRINGE</t>
  </si>
  <si>
    <t>Each ml contains:
Mecobalamin I.P..1500 mcg
Excipients</t>
  </si>
  <si>
    <t>OSSOPAN-D SUSPENSION (200 ML)</t>
  </si>
  <si>
    <t>Each 5ml Contains:
Micro Crystalline Hydroxy apatite Complex (MCHC) 500mg providing
Calcium. 125 mg
Phosphorus........................55 mg
Vitamin D3 IP.....................200 IU</t>
  </si>
  <si>
    <t>OSSOPAN-D SUSPENSION (200 ML) (MANGO)</t>
  </si>
  <si>
    <t>Each 5ml Contains:
Micro Crystalline Hydroxy apatite Complex (MCHC) 500mg providing
Calcium. 125 mg
Phosphorus…........................55 mg
Vitamin D3 IP........................200 IU</t>
  </si>
  <si>
    <t>VIRILEX TABLETS</t>
  </si>
  <si>
    <t>Each silver coated dragee (Tablet) contains:
Mucuna pruriens (Seeds)............155mg
Withania somnifera (Roots) ........100mg
Glycyrrhiza glabra (Roots) ..........25mg
Myristicafragrans (Seeds) ..........15mg
Tribulus terrestris (Fruits).............25mg
Tinospora cordifolia (Stems) ........30mg
Ipomoea digitata (Tub. Roots) ......50mg
Curculigo orchioides (Roots) .......50mg
Excipients ..................................q.s.</t>
  </si>
  <si>
    <t>ENERBLESS-M SACHET</t>
  </si>
  <si>
    <t>Each sachet (5g) contains:
Myo- inositol....1000 mg
N-Acetyl-L-Cysteine.600 mg
L-Carnitine.......30 mg L-
arginine............30 mg
Selenium.......40 mcg
Folic acid...........100 mcg
Zinc.......................10 mg
Excipient............q.s</t>
  </si>
  <si>
    <t>LRZIN SACHET</t>
  </si>
  <si>
    <t>Each sachet (6g) contains:
L-Arginine IP ..3 g
Zinc Sulphate Monohydrate IP
equivalent toElemental
Zinc .10 mg
Folic Acid IP ...2.5 mg</t>
  </si>
  <si>
    <t>LRZIN-FORTE SACHET</t>
  </si>
  <si>
    <t>TAMIK BC</t>
  </si>
  <si>
    <t>Each film coated tablet contains:
Tranexamic acid IP ..500 mg
Mefenamic acid. IP ...250 mg</t>
  </si>
  <si>
    <t>TAMIK- INJ</t>
  </si>
  <si>
    <t>Each Ml contains:
Tranexamic acid IP ..100 mg
Water for Injections IP .................................q.s.</t>
  </si>
  <si>
    <t>TAMIK-500 TABLET</t>
  </si>
  <si>
    <t>Each film coated tablet contains:
Tranexamic acid IP ..500 mg
Excipients ....................q.s.</t>
  </si>
  <si>
    <t>Mecobalamin I.P..1500 mcg</t>
  </si>
  <si>
    <t>6 GM</t>
  </si>
  <si>
    <t>M/s Prochem Pharmaceuticals (P) LTD.
140-141, Makkanpur, Bhagwanpur, Roorkee, Dist. Haridwar,
Uttarakhand-247661</t>
  </si>
  <si>
    <t>M/s Maxcure nutravedics limited
13, sector-6a, i.i.e., sidcul,
Haridwar-249403, uttarakhand.</t>
  </si>
  <si>
    <t>M/s WELLOUS PHARMA PRIVATE LIMITED, (WHO GMP CERTIFIED COMPANY)
(ISO 9001:2015, ISO 22000:2018 CERTIFIED)
R.S. NO. 333-2A&amp;2B2, NAVAMAL MATHUR VILLAGE VILLUPURAM, TAMIL NADU-605102.</t>
  </si>
  <si>
    <t>M/s Dr. Miltons Laboratories Private Limited R.S. No,: 135/6, 
Sanyasikuppam Village, Thirubuvanai (Post), Mannadipet Commune, 
Puducherry-605107.</t>
  </si>
  <si>
    <t>M/s CELON LABORATORIES PVT. LTD. PLOT NO. 2, ALEAP INDUSTRIAL ESTATE,
GAJULARAMARAM (V), QUTHBULLAPUR (M), MEDCHAL-MALKAJGIRI (DIST)-TELANGANA-500090, INDIA</t>
  </si>
  <si>
    <t>EACH 5 ML CONTAINS :
MAGALDRATE IP
EQ. TO ANHYDROUS MAGALDRATE...…. 400 MG
SIMETHICONE I.P. ……………………………60 MG
IN A PLEASANTLY FLAVOURED SORBITOL BASE 
(SUGAR FREE)</t>
  </si>
  <si>
    <t xml:space="preserve">12500CS </t>
  </si>
  <si>
    <t>M/s Mediforce Healthcare Pvt. Ltd., Plot No. 8-13, Phase-III, Industrial Area, Gondpur, Paonta Sahib, Distt Sirmour, HP-173025 &amp; M/s SYNOKEM PHARMACEUTICALS LTD PLOT NO. 56-57, SECTOR-6A, I.I.E. (SIDCUL), RANIPUR (BHEL), HARIDWAR-249403 (UTTARAKHAND) &amp;
M/s Mankind Pharma Ltd., Doring Block, Bermoik Elaka, South-Sikkim 737126</t>
  </si>
  <si>
    <t>M/s Sirmour Remedies Pvt. Ltd., Village Kayarda, PO Missarwala, Poanta Sahib, Distt. Sirmour (HP)-173025 &amp; M/s Hetero Labs Limited (Unit-II),  Village Kalyanpur, Chakkan Road, Tehsil Baddi, Distt Solan (H.P.)-173205 &amp; M/s Mediforce Healthcare Pvt. Ltd., Plot No. 8-13, Phase-III, Industrial Area, Gondpur, Paonta Sahib, Distt Sirmour, HP-173025 &amp; M/s Mankind Pharma Ltd., Doring Block, Bermoik Elaka, South-Sikkim 737126</t>
  </si>
  <si>
    <t>M/s Akums Drugs &amp; Pharmaceuticals Ltd., Plot
No.47 &amp; 48, Sector-6A,I1E,SIDCUL,Ranipur, Haridwar,Uttarakhand Unit-IV &amp; V &amp; M/s Akums Drugs &amp; Pharmaceuticals Ltd.
At: Plot No. 26A, 27-30, Sector-8A, I.I.E., SIDCUL, Ranipur, Haridwar-249403, Uttarakhand.</t>
  </si>
  <si>
    <t xml:space="preserve">M/s Akums Drugs &amp; Pharmaceuticals Ltd., Plot
No.47 &amp; 48, Sector-6A,I1E,SIDCUL,Ranipur, Haridwar,Uttarakhand Unit-IV &amp; V </t>
  </si>
  <si>
    <t>M/s J.K Print Packs (Pharma Division), C-14 to 17, Sara Industrial Estate Ltd., Vill Rampur, Selaqui, Distt Dehradun-248197 &amp; M/s Pharma Force Lab, (Unit-I) 53-55, Ind. Area,Gondpur, Paonta Sahib (H.P)-173025 &amp; M/s Mankind Pharma Ltd., Doring Block, Bermoik Elaka, South-Sikkim 737126</t>
  </si>
  <si>
    <t>M/s Synokem Pharmaceuticals Ltd., Plot No.56-57, Sector 6-A, IIE, SIDCUL, Ranipur (BHEL), Haridwar-249403 &amp; M/s Mediforce Healthcare Pvt. Ltd., Plot No. 8-13, Phase-III, Industrial Area, Gondpur, Paonta Sahib, Distt Sirmour, HP-173025 &amp; M/s Mankind Pharma Ltd., Doring Block, Bermoik Elaka, South-Sikkim 737126</t>
  </si>
  <si>
    <t>JULY'2024</t>
  </si>
  <si>
    <t>SHIFTED TO PRIME MANKIND W-E-F. 01-10-2024</t>
  </si>
  <si>
    <t>SHIFTED TO PRIME MANKIND W-E-F. 01-12-2024</t>
  </si>
  <si>
    <t>SHIFTED TO PRIME MANKIND W-E-F. 01-02-2025</t>
  </si>
  <si>
    <t>Empagreat 10</t>
  </si>
  <si>
    <t>Empagreat 25</t>
  </si>
  <si>
    <t>Empagliflozin 10mg</t>
  </si>
  <si>
    <t>Empagliflozin 25mg</t>
  </si>
  <si>
    <t>Empagliflozin 12.5mg + Metformin 500mg</t>
  </si>
  <si>
    <t>Empagliflozin 12.5mg + Metformin 1000mg</t>
  </si>
  <si>
    <t>Empagliflozin 10mg + Sitagliptin 100mg</t>
  </si>
  <si>
    <t>Empagliflozin 25mg + Sitagliptin 100mg</t>
  </si>
  <si>
    <t>DYNADUO-10 TAB</t>
  </si>
  <si>
    <t>DYNADUO-25 TAB</t>
  </si>
  <si>
    <t>Empagliflzoin 25 mg + Linagliptin 5 mg</t>
  </si>
  <si>
    <t>EMPAGLYDE-10 TAB</t>
  </si>
  <si>
    <t>EMPAGLYDE-25 TAB</t>
  </si>
  <si>
    <t>EMPAGLYDE-L 10 TAB</t>
  </si>
  <si>
    <t>EMPAGLYDE-L 25 TAB</t>
  </si>
  <si>
    <t>EMPAGLYDE-M 500 TAB</t>
  </si>
  <si>
    <t>EMPAGLYDE-M 1000 TAB</t>
  </si>
  <si>
    <t>Empagliflozin 10 mg + Linagliptin 5 mg</t>
  </si>
  <si>
    <t>Empagliflozin 25 mg + Linagliptin 5 mg</t>
  </si>
  <si>
    <t>Syringe</t>
  </si>
  <si>
    <t>DMF Status</t>
  </si>
  <si>
    <t>Paint</t>
  </si>
  <si>
    <t>Solution</t>
  </si>
  <si>
    <t>Suppository</t>
  </si>
  <si>
    <t>Oil</t>
  </si>
  <si>
    <t>Insulin Cart</t>
  </si>
  <si>
    <t>Each film coated tablet contains:
Empagliflozin10 mg
Linagliptin5 mg
Excipientsq.s.</t>
  </si>
  <si>
    <t>Each film coated tablet contains:
Empagliflozin25 mg
Linagliptin5 mg
Excipientsq.s.</t>
  </si>
  <si>
    <t>Empagliflzoin 10 mg + Linagliptin 5 mg</t>
  </si>
  <si>
    <t>Mono Carton Size</t>
  </si>
  <si>
    <t>GLIMESTAR-SM1 FORTE</t>
  </si>
  <si>
    <t>GLIMESTAR-SM2 FORTE</t>
  </si>
  <si>
    <t>LEVOKAST-AX TABLETS</t>
  </si>
  <si>
    <t>LEVOKAST-KID TABLETS</t>
  </si>
  <si>
    <t>LEVOKAST SUSPENSION (60 ML)</t>
  </si>
  <si>
    <t>LEVOKAST TABLETS</t>
  </si>
  <si>
    <t>HISTAFREE-MAX EYE DROPS</t>
  </si>
  <si>
    <t>THYRONEED-88</t>
  </si>
  <si>
    <t>Each film coated tablet contains:
Sitagliptin Phosphate Monohydrate IP
Eqv.  to Sitagliptin50mg
Metformin HydrochlorideIP1000mg
Glimepride IP..1mg
Excipientsq.s.</t>
  </si>
  <si>
    <t>Each film coated tablet contains:
Sitagliptin Phosphate Monohydrate IP
Eqv.  to Sitagliptin50mg
Metformin
HydrochlorideIP1000mg
Glimepride IP..2mg
Excipientsq.s.</t>
  </si>
  <si>
    <t>Each film coated tablet contains:
Levocetirizine Hydrochloride IP ...5 mg
Montelukast Sodium IP
equivalenttoMontelukast .10 mg
Ambroxol Hydrochloride IP
(as Sustained Release Form) ...75 mg .
Excipients.............................. q.s.</t>
  </si>
  <si>
    <t>Each uncoated dispersible tablet contains:
Levocetirizine Hydrochloride IP ...2.5 mg
Montelukast Sodium IP eq. to Montelukast .4 mg
Excipients................................... q.s.</t>
  </si>
  <si>
    <t>Each 5ml contains:
Levocetirizine Hydrochloride IP ...2.5 mg
Montelukast Sodium IP
eq. to Anhydrous Montelukast…..4 mg
Flavoured Syrupy Base.............. q.s.</t>
  </si>
  <si>
    <t>Each film coated tablet contains:
Levocetirizine Hydrochloride IP ...5 mg
Montelukast Sodium IP eq. to Montelukast 10 mg</t>
  </si>
  <si>
    <t>Composition:
Olopatadine Hydrochloride IP
Equivalent to Olopatadine0.7%w/v
Cetrimide IP....0.01%w/v
(Aspreservative)
Sterile Aqueous vehicle..q.s.</t>
  </si>
  <si>
    <t>EACH UNCOATED TABLET CONTAINS:
THYROXINE SODIUM IP EQ. TO ANHYDROUS THYROXINE SODIUM………..88 MCG
(SYNTHETIC THYROID HORMONE)
EXCIPIENTS………………………Q.S.</t>
  </si>
  <si>
    <t>EMPAGREAT-M 500</t>
  </si>
  <si>
    <t>EMPAGREAT-M 1000</t>
  </si>
  <si>
    <t>EMPAGREAT-S 10</t>
  </si>
  <si>
    <t>EMPAGREAT-S 25</t>
  </si>
  <si>
    <t>EMPAGLYDE S 10</t>
  </si>
  <si>
    <t>EMPAGLYDE S 25</t>
  </si>
  <si>
    <t>Each film coated tablet contains:
Empagliflozin..10 mg</t>
  </si>
  <si>
    <t>Each film coated tablet contains:
Empagliflozin..25 mg</t>
  </si>
  <si>
    <t>Each film coated tablet contains:
Empagliflozin..12.5 mg
Metformin Hydrochloride..500 mg
Excipients..q.s.</t>
  </si>
  <si>
    <t>Each film coated tablet contains:
Empagliflozin..12.5 mg
Metformin Hydrochloride..1000 mg
Excipients..q.s.</t>
  </si>
  <si>
    <t>Each Film coated tablet contains:
Empagliflozin.10 mg
Sitagliptin..100 mg</t>
  </si>
  <si>
    <t>Each Film coated tablet contains:
Empagliflozin.25 mg
Sitagliptin..100 mg</t>
  </si>
  <si>
    <t>Each sachet (10g) contains:
L-Arginine IP ..5 g
Zinc Sulphate Monohydrate IP
equivalent to
Elemental Zinc .10 mg
Folic Acid IP...2.5 mg</t>
  </si>
  <si>
    <t>Each film coated tablet contains:
Empagliflozin..12.5 mg
Metformin Hydrochloride IP..1000 mg
Excipients..q.s.</t>
  </si>
  <si>
    <t>Each film coated bilayered tablet contains:
Empagliflozin.10 mg
Sitagliptin Phosphate Monohydrate IP
EquivalenttoSitagliptin100 mg</t>
  </si>
  <si>
    <t>Each film coated bilayered tablet contains:
Empagliflozin.25 mg
Sitagliptin Phosphate Monohydrate IP
EquivalenttoSitagliptin100 mg</t>
  </si>
  <si>
    <t>88 MCG</t>
  </si>
  <si>
    <t>M/s Mankind Pharma Ltd. Village- Kishanpura, P.O Jamniwala, Tehsil- Paonta Sahib, District Sirmour-173025,  UNIT-2 &amp; M/s Mediforce Healthcare Pvt. Ltd., Plot No. 8-13, Phase-III, Industrial Area, Gondpur, Paonta Sahib, Distt Sirmour, HP-173025</t>
  </si>
  <si>
    <t xml:space="preserve">M/s Mediforce Healthcare Pvt. Ltd., Plot No. 8-13, Phase-III, Industrial Area, Gondpur, Paonta Sahib, Distt Sirmour, HP-173025 &amp; M/s SYNOKEM PHARMACEUTICALS LTD PLOT NO. 56-57, SECTOR-6A, I.I.E. (SIDCUL), RANIPUR (BHEL), HARIDWAR-249403 (UTTARAKHAND) </t>
  </si>
  <si>
    <t xml:space="preserve">M/s Pure &amp; Cure Healthcare Pvt. Ltd. (A Subsidiary of Akums Drugs &amp; Pharmaceuticals Ltd.)
Plot No. 26A, 27-30, Sector-8A, I.I.E., SIDCUL, Ranipur, Haridwar-249403, Uttarakhand. &amp; M/s Mediforce Healthcare Pvt. Ltd., Plot No. 8-13, Phase-III, Industrial Area, Gondpur, Paonta Sahib, Distt Sirmour, HP-173025 </t>
  </si>
  <si>
    <t xml:space="preserve">M/s Pure &amp; Cure Healthcare Pvt. Ltd. (A Subsidiary of Akums Drugs &amp; Pharmaceuticals Ltd.)
Plot No. 26A, 27-30, Sector-8A, I.I.E., SIDCUL, Ranipur, Haridwar-249403, Uttarakhand. &amp; M/s Mankind Pharma Ltd., Doring Block, Bermoik Elaka, South-Sikkim 737126 </t>
  </si>
  <si>
    <t>M/s J.K Print Packs (Pharma Division), C-14 to 17, Sara Industrial Estate Ltd., Vill Rampur, Selaqui, Distt Dehradun-248197 &amp; M/s Mankind Pharma Ltd. Village- Kishanpura, P.O Jamniwala, Tehsil- Paonta Sahib, District Sirmour-173025, Himachal Pradesh (INDIA)  UNIT-2 &amp; M/s Mankind Pharma Ltd., Doring Block, Bermoik Elaka, South-Sikkim 737126</t>
  </si>
  <si>
    <t>THYROXINE SODIUM 88MCG</t>
  </si>
  <si>
    <t>SITAGLIPTIN 50 MG + Metformin HYDROCHLORIDE 1000 MG + Glimepride 1 MG</t>
  </si>
  <si>
    <t>SITAGLIPTIN 50 MG + Metformin HYDROCHLORIDE 1000 MG + Glimepride 2 MG</t>
  </si>
  <si>
    <t>Inj</t>
  </si>
  <si>
    <t>Levocetirizine Hydrochloride IP 2.5 mg + Montelukast Sodium IP 4 mg</t>
  </si>
  <si>
    <t>Levocetirizine Hydrochloride IP ...5 mg + Montelukast Sodium IP 10 mg + Ambroxol ydrochloride IP  75 mg</t>
  </si>
  <si>
    <t>Levocetirizine Hydrochloride IP 5 mg + Montelukast Sodium IP 10 mg</t>
  </si>
  <si>
    <t>Micro Crystalline Hydroxy apatite Complex (MCHC) 500mg providing
Calcium 125 mg + Phosphorus 55 mg
+ Vitamin D3 200 IU</t>
  </si>
  <si>
    <t>Mucuna pruriens (Seeds) 155 mg +
Withania somnifera (Roots) 100 mg + Glycyrrhiza glabra (Roots) 25 mg +
Myristicafragrans (Seeds) 15 mg +
Tribulus terrestris (Fruits) 25 mg +
Tinospora cordifolia (Stems) 30 mg + Ipomoea digitata (Tub Roots) 50 mg + Curculigo orchioides (Roots)   50 mg</t>
  </si>
  <si>
    <t>Myo- inositol....1000 mg
N-Acetyl-L-Cysteine.600 mg
L-Carnitine.......30 mg
L-arginine............30 mg
Selenium.......40 mcg
Folic acid...........100 mcg
Zinc.......................10 mg</t>
  </si>
  <si>
    <t>L-arginine 3 GM + Zinc 10 MG</t>
  </si>
  <si>
    <t>L-arginine 5 GM + Zinc 10 MG</t>
  </si>
  <si>
    <t>Tranexamic Acid 100 MG</t>
  </si>
  <si>
    <t>Tranexamic Acid 500 MG</t>
  </si>
  <si>
    <t>Olopatadine Hydrochloride IP 0.7 % W/v + Cetrimide 0.01 % W/V</t>
  </si>
  <si>
    <t>DISCONTINUED AS PER RAJAT SOOD ON 02-05-2025</t>
  </si>
  <si>
    <t>DYNADUO-M 10/1000</t>
  </si>
  <si>
    <t>DYNADUO-M 25/1000</t>
  </si>
  <si>
    <t>COMBIHALE-FB 0.5 MG RESPULES</t>
  </si>
  <si>
    <t>GLIPTAGREAT-SITA 50</t>
  </si>
  <si>
    <t>GLIPTAGREAT-SITA M 500</t>
  </si>
  <si>
    <t xml:space="preserve">REHEPTIN-UD 150 </t>
  </si>
  <si>
    <t>REHEPTIN-UD 300</t>
  </si>
  <si>
    <t>RIFASMART-200</t>
  </si>
  <si>
    <t>RIFASMART-400</t>
  </si>
  <si>
    <t>RIFASMART-550</t>
  </si>
  <si>
    <t>EMPAGLYDE LM 10/1000</t>
  </si>
  <si>
    <t>EMPAGLYDE LM 25/1000</t>
  </si>
  <si>
    <t>EPLEBLESS-T 10</t>
  </si>
  <si>
    <t>SITABLESS-MXR 100/1000</t>
  </si>
  <si>
    <t>COLONCOP-1G SACHET</t>
  </si>
  <si>
    <t>Each film coated tablet contains:
Empagliflozin..........................10 mg
Linagliptin5 mg
Metformin
Hydrochloride IP.1000 mg
(As Extended Release)
Excipients ............................. q.s.</t>
  </si>
  <si>
    <t>Each film coated tablet contains:
Empagliflozin..............................25 mg
Linagliptin5 mg
Metformin
Hydrochloride IP………….1000 mg
(As Extended Release)
Excipients ...................... q.s.</t>
  </si>
  <si>
    <t>Each 2 ml contains:
Budesonide IP0….5 mg
Formoterol Fumarate Dihydrate IP
Equivalent to Formoterol Fumarate…..20 mcg
Aqueous Vehicle.q.s.</t>
  </si>
  <si>
    <t>Each film coated tablet contains:
Ursodeoxycholic Acid IP…...150 mg
Excipientsq.s</t>
  </si>
  <si>
    <t>Each film coated tablet contains:
Ursodeoxycholic Acid IP…..300 mg
Excipients.q.s.</t>
  </si>
  <si>
    <t>EACH FILM COATED TABLET CONTAINS:
RIFAXIMIN PH. EUR.200 MG
EXCIPIENTSQ.S.</t>
  </si>
  <si>
    <t>EACH FILM COATED TABLET CONTAINS:
RIFAXIMIN PH. EUR.400 MG
EXCIPIENTSQ.S.</t>
  </si>
  <si>
    <t>EACH FILM COATED TABLET CONTAINS:
RIFAXIMIN PH. EUR.550 MG
EXCIPIENTSQ.S.</t>
  </si>
  <si>
    <t>Each film coated bilayered tablet contains:- Empagliflozin…..10mg 
Linagliptin……...5mg 
Metformin Hydrochloride IP…..1000mg 
(As Extended Release) Colour: Ferric oxide USP-NF (Red)</t>
  </si>
  <si>
    <t>Each film coated bilayered tablet contains: -
Empagliflozin...25mg
Linagliptin…...5mg
Metformin Hydrochloride IP…..1000mg
(As Extended Release)
Colour: Ferric oxide USP-NF (Yellow)</t>
  </si>
  <si>
    <t>Each combi kit contains:
Tablet A: Each film coated tablet contains:
Eplerenone IP…...25mg
Excipients………..q.s.
Colour: Yellow oxide of Iron, Iron Oxide Red &amp; Titanium Dioxide IP
Tablet B: Each uncoated tablet contains:Torsemide IP…...10mg
Excipients.....q.s.</t>
  </si>
  <si>
    <t>Each film coated tablet contains:
Metformin Hydrochloride…..1000 mg
(As prolonged release) + Sitagliptin Phosphate Monohydrate
Eq. to Sitagliptin…….100 mg</t>
  </si>
  <si>
    <t>Each sachet contains:
Mesalamine IP…..1g
(as pellets)
Excipients.q.s.</t>
  </si>
  <si>
    <t>10 TAB + 10 TAB</t>
  </si>
  <si>
    <t>M/s Athena Drug Delivery Solutions Pvt. Ltd.
Plot No. A-1 To A-5, M.I.D.C., Chemical Zone, Ambernath (W), 
Dist. Thane-421501, Maharashtra</t>
  </si>
  <si>
    <t>M/s Pharma Force Lab, (Unit-I) 53-55, Ind. Area,Gondpur, Paonta Sahib (H.P)-173025 &amp; M/s Mankind Pharma Ltd., Doring Block, Bermoik Elaka, South-Sikkim 737126 &amp; M/s Mediforce Healthcare Pvt. Ltd., Plot No. 8-13, Phase-III, Industrial Area, Gondpur, Paonta Sahib, Distt Sirmour, HP-173025</t>
  </si>
  <si>
    <t>M/s J.K Print Packs (Pharma Division), C-14 to 17, Sara Industrial Estate Ltd., Vill Rampur, Selaqui, Distt Dehradun-248197 &amp; M/s Innova Captab Ltd, 1281/1, Hilltop Industrial Estate, Near EPIP Phase-1 Jharmajri Baddi, Distt. Solan (H.P.)-173205</t>
  </si>
  <si>
    <t>M/s Shangrila Industries (P) Ltd, ( Pharma Division) Mining Rangpo, East-Sikkim 737132 &amp; M/s Sirmour Remedies Pvt. Ltd., Village Kayarda, PO Missarwala, Poanta Sahib, Distt. Sirmour (HP)-173025 &amp; M/s Mediforce Healthcare Pvt. Ltd., Plot No. 8-13, Phase-III, Industrial Area, Gondpur, Paonta Sahib, Distt Sirmour, HP-173025</t>
  </si>
  <si>
    <t>Empagliflozin 10 mg + Linagliptin 5 mg + Metformin 1000 mg</t>
  </si>
  <si>
    <t>Empagliflozin 25 mg + Linagliptin 5 mg + Metformin 1000 mg</t>
  </si>
  <si>
    <t>Sitagliptin 50 MG</t>
  </si>
  <si>
    <t>Sitagliptin 50 MG + Metformin 500 MG</t>
  </si>
  <si>
    <t>Mesalamine 1 G</t>
  </si>
  <si>
    <t>BUDESONIDE I.P. 5 MG + FORMOTEROL FUMARATE 20 MCG</t>
  </si>
  <si>
    <t>1 G</t>
  </si>
  <si>
    <t>10 MG + 5 MG</t>
  </si>
  <si>
    <t>25 MG + 5 MG</t>
  </si>
  <si>
    <t>10 MG + 5 MG + 1000 MG</t>
  </si>
  <si>
    <t>25 MG + 5 MG + 1000 MG</t>
  </si>
  <si>
    <t>1 % W/V</t>
  </si>
  <si>
    <t>5 MG + 20 MCG</t>
  </si>
  <si>
    <t>12.5 MG + 500 MG</t>
  </si>
  <si>
    <t>12.5 MG + 1000 MG</t>
  </si>
  <si>
    <t>25 MG + 100 MG</t>
  </si>
  <si>
    <t>50 MG + 500 MG</t>
  </si>
  <si>
    <t>L-LYSINE (22MG), VITAMIN C (20MG), VITAMIN B3(11MG), TAURINE (10MG), L-LEUCINE (6.4MG), ZINC (5MG), VITAMIN B5 (3MG),L-
VALINE (2.35MG), L-ISOLEUCINE (2.065 MG), VITAMIN E (1.68MG), VITAMIN B2 (1.1MG), LETEIN (40%) (1.0MG), LYCOPENE (10%) (1MG),
VITAMIN B1( 1MG), VITAMIN B6 (1MG), MANGANESE (0.8MG), VITAMIN A (330MCG), FOLIC ACID (60MCG), IODINE (38MCG), COPPER (0.025MG),
CHROMIUM (10MCG), SELENIUM (10MCG), BIOTIN (10MCG), MOLYBDENUM (8MCG), VITAMIN D (5MCG), VITAMIN B12 (1MCG)</t>
  </si>
  <si>
    <t>0.5 MG + 20 MCG</t>
  </si>
  <si>
    <t>6 BILLION</t>
  </si>
  <si>
    <t>0.25MCG</t>
  </si>
  <si>
    <t>0.5MCG</t>
  </si>
  <si>
    <t>1.0MCG</t>
  </si>
  <si>
    <t xml:space="preserve"> 0.25MG</t>
  </si>
  <si>
    <t>0.5MG</t>
  </si>
  <si>
    <t>250MG</t>
  </si>
  <si>
    <t>500MG</t>
  </si>
  <si>
    <t>750MG</t>
  </si>
  <si>
    <t xml:space="preserve">0.25MG </t>
  </si>
  <si>
    <t xml:space="preserve">0.5MG </t>
  </si>
  <si>
    <t>1.0MG</t>
  </si>
  <si>
    <t>2.0MG</t>
  </si>
  <si>
    <t>25MG</t>
  </si>
  <si>
    <t xml:space="preserve"> 50MG</t>
  </si>
  <si>
    <t xml:space="preserve">30 MG </t>
  </si>
  <si>
    <t xml:space="preserve">60 MG </t>
  </si>
  <si>
    <t>80 MG + 500 MG</t>
  </si>
  <si>
    <t>1200 MG</t>
  </si>
  <si>
    <t>1500MG</t>
  </si>
  <si>
    <t>10 G</t>
  </si>
  <si>
    <t>10 GM + 3.5 GM</t>
  </si>
  <si>
    <t>200MG</t>
  </si>
  <si>
    <t>4MG</t>
  </si>
  <si>
    <t>8MG</t>
  </si>
  <si>
    <t>5 MG + 12.5 MG</t>
  </si>
  <si>
    <t>50MG (24MG + 26MG)</t>
  </si>
  <si>
    <t>100MG (49MG + 51MG)</t>
  </si>
  <si>
    <t>200MG (97MG + 103MG)</t>
  </si>
  <si>
    <t>6 MG + 400 MG</t>
  </si>
  <si>
    <t>12 MG + 400 MG</t>
  </si>
  <si>
    <t>1.5 MG + 200 MG/5ML</t>
  </si>
  <si>
    <t>10 MG + 4 MG/5ML</t>
  </si>
  <si>
    <t>15 MG + 50 MG + 325 MG</t>
  </si>
  <si>
    <t xml:space="preserve">5 MG + 60 MG
</t>
  </si>
  <si>
    <t>75 MG + 20MG</t>
  </si>
  <si>
    <t>10 MG + 160 MG</t>
  </si>
  <si>
    <t>10 MG + 75 MG + 75 MG</t>
  </si>
  <si>
    <t>20 MG + 75 MG + 37.5 MG + 75 MG</t>
  </si>
  <si>
    <t>50 MG + 12.5 MG</t>
  </si>
  <si>
    <t>200 MG + 200 MG</t>
  </si>
  <si>
    <t>100 MG + 100 MG</t>
  </si>
  <si>
    <t>0.5 MG + 10 MG</t>
  </si>
  <si>
    <t>250 MG + 125 MG</t>
  </si>
  <si>
    <t>500 MG + 125 MG</t>
  </si>
  <si>
    <t>875 MG + 125 MG</t>
  </si>
  <si>
    <t>200 MG + 28.5 MG</t>
  </si>
  <si>
    <t>200 MG + 28.5 MG/5ML</t>
  </si>
  <si>
    <t>80 MG + 11.4 MG</t>
  </si>
  <si>
    <t>400 MG + 57 MG/5ML</t>
  </si>
  <si>
    <t>600 MG + 42.9 MG</t>
  </si>
  <si>
    <t>500 MG + 1500 MCG + 1.5 MG</t>
  </si>
  <si>
    <t>1500 MCG + 2% V/V</t>
  </si>
  <si>
    <t>500 MCG. + 2% W/V</t>
  </si>
  <si>
    <t>100 MG + 325 MG</t>
  </si>
  <si>
    <t>80 MG + 100 MG</t>
  </si>
  <si>
    <t>10 MG + 25 MG + 0.05% W/V</t>
  </si>
  <si>
    <t>0.025% W/W + 1% W/W + 0.5% W/W + 0.1% W/W</t>
  </si>
  <si>
    <t>0.5% W/V + 5% W/V + 2% W/V + 3% W/V + 2% W/V</t>
  </si>
  <si>
    <t>20 MG + 30 MG</t>
  </si>
  <si>
    <t>10 MG + 15 MG</t>
  </si>
  <si>
    <t>40 MG + 5 MG</t>
  </si>
  <si>
    <t>80 MG + 5 MG</t>
  </si>
  <si>
    <t>40 MG + 5 MG + 12.5 MG</t>
  </si>
  <si>
    <t>80 MG + 5 MG + 12.5 MG</t>
  </si>
  <si>
    <t>40 MG + 12.5 MG</t>
  </si>
  <si>
    <t>80 MG + 12.5 MG</t>
  </si>
  <si>
    <t>40 MG + 23.75 MG + 25 MG</t>
  </si>
  <si>
    <t>40 MG + 47.5 MG + 50 MG</t>
  </si>
  <si>
    <t>40 MG + 12.5 MG + 23.75 MG + 25 MG</t>
  </si>
  <si>
    <t>40 MG + 12.5 MG + 47.50 MG + 50 MG</t>
  </si>
  <si>
    <t>10 MG + 40 MG + 6.25 MG</t>
  </si>
  <si>
    <t>10 MG + 40 MG + 12.5 MG</t>
  </si>
  <si>
    <t>200 MG + 200 MCG</t>
  </si>
  <si>
    <t>2MG + 1.2MG + 0.15MG</t>
  </si>
  <si>
    <t>0.3% W/V + 0.02% W/V</t>
  </si>
  <si>
    <t>200 MG + 900 MG/100ML</t>
  </si>
  <si>
    <t>200 MG + 500 MG</t>
  </si>
  <si>
    <t>50 MG + 325 MG</t>
  </si>
  <si>
    <t>1000 MG + 100 MG + 200 IU + 4 MG</t>
  </si>
  <si>
    <t>500 MG + 0.25 MCG + 1500 MCG + 90 MG + 60 MG + 400 MCG + 1.5 MG</t>
  </si>
  <si>
    <t>250 MG + 25 MG + 1.25 MG + 125 IU/5ML</t>
  </si>
  <si>
    <t>300 MG + 150 MG + 75 MG + 4 MG + 200 IU/10ML</t>
  </si>
  <si>
    <t>10 MG + 1.25 MG</t>
  </si>
  <si>
    <t>10 MG + 5MG + 2 MG</t>
  </si>
  <si>
    <t>10MG + 2MG + 5MG</t>
  </si>
  <si>
    <t>7.5 MG + 0.25 MG + 12.5 MG</t>
  </si>
  <si>
    <t>100 MG + 325 MG + 250 MG</t>
  </si>
  <si>
    <t>10 MG + 20 MG</t>
  </si>
  <si>
    <t>2.5 MG + 500 MG</t>
  </si>
  <si>
    <t>2.5 MG + 1000 MG</t>
  </si>
  <si>
    <t>5 MG + 1000 MG</t>
  </si>
  <si>
    <t>20 MG + 500 MG</t>
  </si>
  <si>
    <t>20 MG + 1000 MG</t>
  </si>
  <si>
    <t>100 MG + 325 MG + 15 MG</t>
  </si>
  <si>
    <t xml:space="preserve"> 250 MG + 500 MG</t>
  </si>
  <si>
    <t>60 MG + 500 MG</t>
  </si>
  <si>
    <t xml:space="preserve"> 0.5 MG + 500 MG</t>
  </si>
  <si>
    <t>1 MG + 500 MG</t>
  </si>
  <si>
    <t>1 MG + 1000 MG</t>
  </si>
  <si>
    <t>2 MG + 500 MG</t>
  </si>
  <si>
    <t>2 MG + 1000 MG</t>
  </si>
  <si>
    <t>3 MG + 500 MG</t>
  </si>
  <si>
    <t>3 MG + 1000 MG</t>
  </si>
  <si>
    <t>4 MG + 500 MG</t>
  </si>
  <si>
    <t>4 MG + 1000 MG</t>
  </si>
  <si>
    <t>1 MG + 15 MG + 500 MG</t>
  </si>
  <si>
    <t>2 MG + 15 MG + 500 MG</t>
  </si>
  <si>
    <t>5 MG + 15 MG + 500 MG</t>
  </si>
  <si>
    <t>75.50 MG
 + 38 MG
 + 38 MG
 + 18 MG
 + 18.75 MG
 + 18.75 MG
 + 18.75 MG
 + 18.75 MG
 + 18.75 MG
 + 0.20% W/V
 + 0.12% W/V
 + 0.02% W/V /5ML</t>
  </si>
  <si>
    <t>100 MG + 62.5 MG</t>
  </si>
  <si>
    <t>200 MG + 125 MG</t>
  </si>
  <si>
    <t>10 MG + 5 MG + 75 MG</t>
  </si>
  <si>
    <t>4 MG + 2.5 MG</t>
  </si>
  <si>
    <t>4 MG + 2.5 MG/5ML</t>
  </si>
  <si>
    <t>500 MG + 150 MG</t>
  </si>
  <si>
    <t>1500 MCG + 100 MG + 3 MG + 1.5 MG</t>
  </si>
  <si>
    <t>1500 MCG + 100 MG + 100 MG + 2% V/V</t>
  </si>
  <si>
    <t>300 MG + 500 MCG</t>
  </si>
  <si>
    <t>100 MG + 500 MCG</t>
  </si>
  <si>
    <t>1.16% W/W
 + 1.00% W/W)
3.00% W/W
10.00% W/W
 + 5.00% W/W
 + 1.00% W/W</t>
  </si>
  <si>
    <t>1.16% W/W
 + 1.00% W/W
 + 3.00% W/W
 + 10.00% W/W
 + 5.00% W/W
 + 1.00% W/W</t>
  </si>
  <si>
    <t>2.32 % W/W + 2 % W/W + 10% W/W + 5% W/W + 1% W/W</t>
  </si>
  <si>
    <t>125 MG + 50 MG/5ML</t>
  </si>
  <si>
    <t>250 MG + 100 MG/5ML</t>
  </si>
  <si>
    <t>5000 IU + 4 MG + 1 MG + 0.001% W/V</t>
  </si>
  <si>
    <t>40 MG + 3 MG</t>
  </si>
  <si>
    <t>40 MG + 10 ML</t>
  </si>
  <si>
    <t xml:space="preserve"> 250MG
 + 133.5 MG
 + 80 MG</t>
  </si>
  <si>
    <t>15 MG + 500 MG</t>
  </si>
  <si>
    <t>48 MG + 90 MG + 100 MG</t>
  </si>
  <si>
    <t>48 MG + 90 MG + 100 MG + 50 MG</t>
  </si>
  <si>
    <t>10 MG + 1000 MG</t>
  </si>
  <si>
    <t>10 MG + 100 MG + 500MG</t>
  </si>
  <si>
    <t>10MG + 100MG + 1000MG</t>
  </si>
  <si>
    <t>100 MG + 500 MG</t>
  </si>
  <si>
    <t>100 MG + 1000 MG</t>
  </si>
  <si>
    <t>100 MG + 50 MG</t>
  </si>
  <si>
    <t>80% (V/V) + 10MG + 0.315-0.825MG + 1.26-4.40MG</t>
  </si>
  <si>
    <t>100 MG + 3.15-8.25 MG + 12.6-44.0 MG + 500 MG</t>
  </si>
  <si>
    <t xml:space="preserve">0.05% W/W + 0.05% W1.0% W/W
 + 0.1% W/W/W + </t>
  </si>
  <si>
    <t>500 MG + 250 MG</t>
  </si>
  <si>
    <t>60MG + 4.33MG + 4.27MG + 3.56MG + 2.91MG + 2.65MG + 2.54MG + 2.05MG + 1.40MG + 0.71MG + 0.65MG + 40MG + 0.60MG + 0.50MG + 5.0MCG + 1.0MCG/ML</t>
  </si>
  <si>
    <t>500 MG
 + 250 MG
 + 50 MG
 + 50 MG
 + 20 MG
 + 20 MG
 + 10 MG
 + 5 MG
 + 1.5 MG
 + 0.2 MG
 + 0.1 MG/5G SACHET</t>
  </si>
  <si>
    <t>40.0 MG + 26.25 MG + 19.21 MG + 12.0 MG + 9.66 MG + 7.035 MG + 6.195 MG + 5.25 MG + 5.25 MG + 5.0 MG + 4.41 MG + 1.5 MG + 1.1 MG + 1.0 MG + 0.2 MG + 1.0 MCG/15ML</t>
  </si>
  <si>
    <t>23.75 MG + 25 MG + 5 MG</t>
  </si>
  <si>
    <t>47.5 MG + 50 MG + 5 MG</t>
  </si>
  <si>
    <t>1 MG + 0.2 MG + 500 MG</t>
  </si>
  <si>
    <t>2 MG + 0.2 MG + 500 MG</t>
  </si>
  <si>
    <t>50MG + 1000MG + 1MG</t>
  </si>
  <si>
    <t>50MG + 1000MG + 2MG</t>
  </si>
  <si>
    <t>200 MG + 5% W/V /100ML</t>
  </si>
  <si>
    <t>75 MG + 750 MCG</t>
  </si>
  <si>
    <t>1500 MCG + 75 MG</t>
  </si>
  <si>
    <t>10.0 MG + 75.0 MG</t>
  </si>
  <si>
    <t>61.8 MG + 500 MCG + 3 MG + 1.5 MG + 50 MG + 50 MCG</t>
  </si>
  <si>
    <t>10 GM (83.33% W/W) + 1500 MG (12.5% W/W) + 35 MG (0.29% W/W)/12G</t>
  </si>
  <si>
    <t>100 MG + 10 MG</t>
  </si>
  <si>
    <t>10 MG + 100 MG + 1000MG</t>
  </si>
  <si>
    <t>50 MG + 1000 MG</t>
  </si>
  <si>
    <t>100 MG + 15 MG + 500 MG</t>
  </si>
  <si>
    <t>100 MG
 + 15 MG
 + 1000 MG</t>
  </si>
  <si>
    <t>40 MG + 6.25 MG</t>
  </si>
  <si>
    <t>10 MG + 40 MG</t>
  </si>
  <si>
    <t>40 MG + 10 MG + 23.75 MG + 25 MG</t>
  </si>
  <si>
    <t>40 MG + 10 MG + 47.50 MG + 50 MG</t>
  </si>
  <si>
    <t>10000 PH. EUR. UNITS + 60000 PH. EUR. UNITS + 350 PH. EUR. UNITS</t>
  </si>
  <si>
    <t>25000 PH. EUR. UNITS + 18000 PH. EUR. UNITS + 1000 PH. EUR. UNITS</t>
  </si>
  <si>
    <t>50 MG + 25 MG + 10 MG + 10 MG/5ML</t>
  </si>
  <si>
    <t>100MG + 600MG</t>
  </si>
  <si>
    <t>6 MCG + 100 MCG</t>
  </si>
  <si>
    <t>6 MCG + 200 MCG</t>
  </si>
  <si>
    <t>6 MCG + 400 MCG</t>
  </si>
  <si>
    <t>12 MCG + 400 MCG</t>
  </si>
  <si>
    <t>6 MCG + 250 MCG</t>
  </si>
  <si>
    <t>6 MCG + 500 MCG</t>
  </si>
  <si>
    <t>6 MCG + 125 MCG</t>
  </si>
  <si>
    <t>12 MCG + 25 MCG + 400 MCG</t>
  </si>
  <si>
    <t>27.5 MCG + 140 MCG + 0.0275 % W/W + 0.140 % W/W + 0.01 % W/W</t>
  </si>
  <si>
    <t>25 MCG + 12 MCG</t>
  </si>
  <si>
    <t>120.4 MG + 100 MG</t>
  </si>
  <si>
    <t>180.6 MG + 150 MG</t>
  </si>
  <si>
    <t>100 MG + 3 MG + 1500 MCG + 1.5 MG + 1000 IU</t>
  </si>
  <si>
    <t xml:space="preserve">80 MCG + 4.5 MCG + 810 MCG </t>
  </si>
  <si>
    <t xml:space="preserve">160 MCG + 4.5 MCG + 730 MCG </t>
  </si>
  <si>
    <t>320 UG + 9 UG + 491 UG</t>
  </si>
  <si>
    <t>30 UG + 35.5 UG + 4.25 MG + 0.5 ML + 632.5 UG/0.55 ML</t>
  </si>
  <si>
    <t>100 MCG + 25 MCG</t>
  </si>
  <si>
    <t>200 MCG + 25 MCG</t>
  </si>
  <si>
    <t>10 MG + 0.5 MG</t>
  </si>
  <si>
    <t>10 MG + 0.25 MG</t>
  </si>
  <si>
    <t>5 MG + 0.5 MG</t>
  </si>
  <si>
    <t>500 MG + 820 MG</t>
  </si>
  <si>
    <t>75 MG + 10 MG + 1500 MCG</t>
  </si>
  <si>
    <t>1500 MCG
 + 100 MG
 + 50 MG
 + 3 MG
 + 5 MG
 + 1.5 MG
 + 200 MCG</t>
  </si>
  <si>
    <t>0.5 MG + 20 MG</t>
  </si>
  <si>
    <t>400 MG + 10 MG</t>
  </si>
  <si>
    <t>2 MG + 275 MG + 2 GM/5ML</t>
  </si>
  <si>
    <t>2% W/V + 8.38% V/V</t>
  </si>
  <si>
    <t>5 MG + 5 MG</t>
  </si>
  <si>
    <t>2.5 MG + 5 MG</t>
  </si>
  <si>
    <t>5MG + 40MG</t>
  </si>
  <si>
    <t>2.5MG + 40MG</t>
  </si>
  <si>
    <t>0.50 MG + 20 MG</t>
  </si>
  <si>
    <t>40 MG + 2% W/V + 12.6% V/V/24ML</t>
  </si>
  <si>
    <t>3 MG + 50 MG + 1.5 MG + 40X106 SPORES</t>
  </si>
  <si>
    <t>40X106 + 15 MG + 100 MCG + 1.5 MG + 5 MG/5ML</t>
  </si>
  <si>
    <t>40 MG + 0.005 ML + 0.0007 ML</t>
  </si>
  <si>
    <t>60 MG + 20 MG + 25 MG</t>
  </si>
  <si>
    <t>100 MG + 10 MG + 500 MG</t>
  </si>
  <si>
    <t>100 MG + 10 MG + 1000 MG</t>
  </si>
  <si>
    <t>1.25 ML + 3.75 ML + 3.33 MG/5ML</t>
  </si>
  <si>
    <t>120 MG + 10 MG</t>
  </si>
  <si>
    <t>5 MG + 145 MG</t>
  </si>
  <si>
    <t>10 MG + 145 MG</t>
  </si>
  <si>
    <t>20 MG + 75 MG + 75 MG</t>
  </si>
  <si>
    <t>5000 MCG + 10.33 MG + 25 MG + 27.45 MG + 75 MCG</t>
  </si>
  <si>
    <t>2000 MCG + 25 MG + 1.5 MG + 1 MCG + 100 MCG + 35 MCG + 3 MG + 2 MG + 100 MCG + 500 MCG/10ML</t>
  </si>
  <si>
    <t>400 MG + 57 MG</t>
  </si>
  <si>
    <t>43.5 MG
 + 217.5 MG + 25 MG + 1 MG + 500 MCG + 200 IU + 0.15 MG + 75 MG + 58 MG + 30 MG + 10 MG + 3 MG + 0.5 MG + 0.5 MG + 0.1 MG + 2 MG</t>
  </si>
  <si>
    <t>1500 MCG + 100 MG + 100 MG + 2% V/V/2ML</t>
  </si>
  <si>
    <t>5000 MCG + 1500 MCG + 30 MG + 100 MG + 10 MG + 50 MCG + 1.5 MG + 1 G + 1 G + 50 MG/5G</t>
  </si>
  <si>
    <t>20 MG + 5 MG</t>
  </si>
  <si>
    <t>20 MG + 5 MG + 12.5 MG</t>
  </si>
  <si>
    <t>20 MG + 12.5 MG</t>
  </si>
  <si>
    <t>8.7% W/W
 + 2% W/W
 + 0.01% W/W</t>
  </si>
  <si>
    <t>1.0%W/W + 0.25%W/W</t>
  </si>
  <si>
    <t>40 MG
 + 30 MG</t>
  </si>
  <si>
    <t>2% W/W + 0.25% W/W + 3% W/W
 + 0.25% W/W
 + 5% W/W
 + 0.1% W/W</t>
  </si>
  <si>
    <t xml:space="preserve"> 100MG + 12.6-44.0MG + 500 MG</t>
  </si>
  <si>
    <t>2.5 MG + 12.5 MG</t>
  </si>
  <si>
    <t>400 MG + 60 MG/5ML</t>
  </si>
  <si>
    <t xml:space="preserve"> 540 MG + 20 MG + 10 MG/5ML</t>
  </si>
  <si>
    <t>250 MG + 133.5 MG + 80 MG</t>
  </si>
  <si>
    <t>500 MG + 140 MG + 150 MG + 3 MG + 1.5 MG</t>
  </si>
  <si>
    <t>20.16 KCAL + 0.20 G + 4.84 G + 3.52 G + 0.00 G + 
150 MG + .35 MG + 10 MG/10ML</t>
  </si>
  <si>
    <t>2.5 MG + 50 MG</t>
  </si>
  <si>
    <t>37.5 MG + 325 MG</t>
  </si>
  <si>
    <t>5% W/W + 0.7% W/W + 0.3% W/W</t>
  </si>
  <si>
    <t>0.20% W/V + 0.05% W/V + 0.09% W/V</t>
  </si>
  <si>
    <t>1500 MCG + 1 MG + 0.5 MG</t>
  </si>
  <si>
    <t xml:space="preserve">250 MG + 10 MG </t>
  </si>
  <si>
    <t>10.0% + 0.6% + 1.0% + 0.1%</t>
  </si>
  <si>
    <t>3 GM + 75 MG/6.5GM</t>
  </si>
  <si>
    <t>2.5 MG + 4 MG + 100 MG</t>
  </si>
  <si>
    <t>15 MG + 2 MG + 5 MG/5ML</t>
  </si>
  <si>
    <t>5MG + 2.5MG + 1MG/ 5 ML</t>
  </si>
  <si>
    <t>20 MG + 2.7 MG</t>
  </si>
  <si>
    <t>10.0% W/W + 10.0% W/W + 8.0% W/W</t>
  </si>
  <si>
    <t>50 MG + 31.25 MG/5ML</t>
  </si>
  <si>
    <t>100 MG + 62.50 MG/5ML</t>
  </si>
  <si>
    <t>100 MG + 162.5 MG/5ML</t>
  </si>
  <si>
    <t>2% W/V + 1 % W/V</t>
  </si>
  <si>
    <t>2% W/W + 0.15% W/W + 0.05% W/W</t>
  </si>
  <si>
    <t>2.0% + 0.5% W/W</t>
  </si>
  <si>
    <t>5 MG + 10 MG + 75 MG</t>
  </si>
  <si>
    <t>2.5 MG + 4 MG</t>
  </si>
  <si>
    <t>5 MG + 10 MG</t>
  </si>
  <si>
    <t>500 MG + 325 MG</t>
  </si>
  <si>
    <t>250 MG + 10 MG</t>
  </si>
  <si>
    <t>2% W/W + 0.025% W/W + 0.1% W/W</t>
  </si>
  <si>
    <t>125 MG + 55 MG + 200 IU</t>
  </si>
  <si>
    <t>100 MG
 + 100 MG + 100 MG + 50 MG
 + 40 MG
 + 40 MG
 + 14 MG
 + 10 MG
 + 10 MG
 + 8 MG
 + 3 MG
 + 2 MG
 + 1.3 MG
 + 1 .1 MG
 + 700 MCG
 + 600 MCG
 + 500 MCG
 + 200 MCG
 + 100 MCG
 + 40 MCG
 + 33 MCG
 + 10 MCG</t>
  </si>
  <si>
    <t>1% W/V + 0.1% W/V</t>
  </si>
  <si>
    <t>1% W/W + 1% W/W</t>
  </si>
  <si>
    <t>1% W/W + 0.1%W/W</t>
  </si>
  <si>
    <t>1100 MG + 334 MG/5ML</t>
  </si>
  <si>
    <t>400 MG + 30 MG</t>
  </si>
  <si>
    <t>155MG + 100MG + 25MG
 + 15MG
 + 25MG + 30MG + 50MG
 + 50MG</t>
  </si>
  <si>
    <t>1000 MG + 600 MG + 30 MG + 30 MG + 40 MCG + 100 MCG + 10 MG</t>
  </si>
  <si>
    <t>60 MG
 + 30 MG
 + 20 MG
 + 20 MG + 17.5 MG + 12.5 MG
 + 10 MG
 + 10 MG
 + 10 MG
 + 10 MG
 + 10 MG
 + 10 MG
 + 10 MG
 + 10 MG
 + 8 MG
 + 8 MG
 + 8 MG
 + 8 MG
 + 8 MG
 + 5 MG
 + 10 MG
 + 10 MG/5ML</t>
  </si>
  <si>
    <t>60 MG
 + 35 MG
 + 20 MG
 + 20 MG
 + 20 MG
 + 17.5 MG
 + 12.5 MG
 + 10 MG
 + 10 MG
 + 10 MG
 + 10 MG
 + 8 MG
 + 5 MG
 + 2.5 MG
 + 2.5 MG
 + 2 MG
 + 2 MG
 + 10 MG
 + 10 MG + 10 MG</t>
  </si>
  <si>
    <t>100 MG + 1.5 MG</t>
  </si>
  <si>
    <t>100 MG + 0.5 MG</t>
  </si>
  <si>
    <t>40 + 60 + 70%</t>
  </si>
  <si>
    <t>15.0 G + 1.0 G + 1.0 G + 1.5 G + 2.5 G + 0.5 G + 1.0 G/100G</t>
  </si>
  <si>
    <t>3 G + 10 MG + 2.5 MG</t>
  </si>
  <si>
    <t>5 G + 10 MG + 2.5 MG</t>
  </si>
  <si>
    <t>1250 MG + 500 MG + 250 I.U.</t>
  </si>
  <si>
    <t>550 MG + 13.8 MG + 33 MCG
 + 266 MCG)
 + 400 IU</t>
  </si>
  <si>
    <t>75 MG + 75 MG</t>
  </si>
  <si>
    <t>10MG + 10MG</t>
  </si>
  <si>
    <t>10 MG + 10 MG + 2.5 MG</t>
  </si>
  <si>
    <t>20 MG + 20 MG + 5 MG</t>
  </si>
  <si>
    <t>15 MG + 10.70 MG</t>
  </si>
  <si>
    <t>10 MG + 2 MG</t>
  </si>
  <si>
    <t>0.2%W/V + 0.5%W/V + 0.02%W/V</t>
  </si>
  <si>
    <t>0.1% W/V + 0.02% V/V</t>
  </si>
  <si>
    <t>0.7%W/V + 0.01%W/V</t>
  </si>
  <si>
    <t>0.1% W/V + 0.005% W/V</t>
  </si>
  <si>
    <t>0.4% W/V + 0.3% W/V + 0.005% W/V</t>
  </si>
  <si>
    <t>0.5% W/V + 0.005% W/V</t>
  </si>
  <si>
    <t>1.0% W/V + 0.0075% W/V</t>
  </si>
  <si>
    <t>0.5% W/V + 0.1% W/V + 0.01% V/V</t>
  </si>
  <si>
    <t>0.5% W/V + 0.4% W/V + 0.01% V/V</t>
  </si>
  <si>
    <t>0.5% W/V + 0.5% W/V + 0.02% V/V</t>
  </si>
  <si>
    <t>5.0% W/V + 0.02% V/V</t>
  </si>
  <si>
    <t>0.1% W/V + 0.1% W/V</t>
  </si>
  <si>
    <t>0.3% W/V + 0.01% V/V</t>
  </si>
  <si>
    <t>0.3% W/V + 0.001% W/V</t>
  </si>
  <si>
    <t>0.3% W/V + 0.1% W/V + 0.02% W/V</t>
  </si>
  <si>
    <t>4 MG + 0.8 MG + 10 MG + 500 MCG + 40 MG + 2 MG + 40 MCG</t>
  </si>
  <si>
    <t>100 MG + 600 MG</t>
  </si>
  <si>
    <t>10 MG + 200 MG</t>
  </si>
  <si>
    <t>0.25 MG + 7.5 MG + 12.5 MG</t>
  </si>
  <si>
    <t>1 MG + 30 MG + 50 MG/5 ML</t>
  </si>
  <si>
    <t>0.5 MG + 15 MG + 50 MG/ 5 ML</t>
  </si>
  <si>
    <t>20 MCG + 10 MG</t>
  </si>
  <si>
    <t>80 MG + 250 MG</t>
  </si>
  <si>
    <t>20 MG + 8.0% V/V</t>
  </si>
  <si>
    <t>10 MG + 100 MCG</t>
  </si>
  <si>
    <t>100 MG + 1.1 MG + 1500 MCG + 22.5 MG</t>
  </si>
  <si>
    <t>30 MG + 500 MCG + 500 MCG/5 ML</t>
  </si>
  <si>
    <t>75 MG + 750 MCG / 1.5 ML</t>
  </si>
  <si>
    <t>50 MG + 50 MG + 40 MG
 + 40 MG
 + 25 MG
 + 25 MG + 25 MG
 + 25 MG
 + 25 MG
 + 25 MG
 + 20 MG
 + 20 MG
 + 10 MG
 + 10 MG
 + 10 MG
 + 8 MG</t>
  </si>
  <si>
    <t>30 MG + 20 MG
 + 20 MG
 + 20 MG
 + 20 MG
 + 20 MG
 + 10 MG
 + 10 MG
 + 10 MG
 + 10 MG
 + 10 MG
 + 10 MG
 + 10 MG
 + 10 MG
 + 10 MG
 + 10 MG/ 5 ML</t>
  </si>
  <si>
    <t>1.25 MG + 500 MCG</t>
  </si>
  <si>
    <t>1250 MG + 500 MG + 2000 IU + 1 MG + 20 MG</t>
  </si>
  <si>
    <t>5 MG + 2 MG</t>
  </si>
  <si>
    <t>5 MG + 2 MG/ 5 ML</t>
  </si>
  <si>
    <t>125 MG + 2.5 MG + 1 MG</t>
  </si>
  <si>
    <t>500 MG + 5 MG + 30 MG + 25 MG</t>
  </si>
  <si>
    <t>0.65% W/V + 0.03% W/V</t>
  </si>
  <si>
    <t>125 MG + 5 MG + 1 MG + 60 MG/ 5 ML</t>
  </si>
  <si>
    <t>200 MG + 100 MG</t>
  </si>
  <si>
    <t>10MG + 5MG + 2MG</t>
  </si>
  <si>
    <t>200 MG (4%W/W) + 300 MG (6%W/W)
 + 978 MG (19.56%W/W)
 + 714.9 MG
 + 263.10 MG)/5G</t>
  </si>
  <si>
    <t>1100 MG + 375 MG + 20 MG/ 5 ML</t>
  </si>
  <si>
    <t>20 MG + 400 MCG + 200 MCG + 400 MCG + 40 MG + 10 MG</t>
  </si>
  <si>
    <t>0.25% W/W + 1% W/W</t>
  </si>
  <si>
    <t>10.0% W/V + 40% V/V</t>
  </si>
  <si>
    <t>10 % W/V + 0.1 % W/V</t>
  </si>
  <si>
    <t>5% W/V + 0.1% W/V</t>
  </si>
  <si>
    <t>5.0% W/V + 40% V/V</t>
  </si>
  <si>
    <t>50 MG + 
 + 50 MG
 + 40 MG
 + 20 MG
 + 16 MG
 + 12 MG
 + 10 MG
 + 10 MG
 + 10 MG
 + 5 MG
 + 2 MG
 + 40 MCG</t>
  </si>
  <si>
    <t>1% W/V + 46 %</t>
  </si>
  <si>
    <t>0.1 G + 50 I.U. + 0.01 G</t>
  </si>
  <si>
    <t>70 MG + 40 MG + 20 MG + 10 MG + 10 MG + 70 MCG + 65 MCG</t>
  </si>
  <si>
    <t>0.25 MCG
 + 500 MG
 + 200 MG
 + 1500 MCG
 + 90 MG + 60 MG
 + 400MCG
 + 1.5 MG</t>
  </si>
  <si>
    <t>2.32% W/W + 2% W/W + 10% W/W + 5% W/W + 1% W/W</t>
  </si>
  <si>
    <t>60 MG + 4 MG</t>
  </si>
  <si>
    <t>60 MG + 325 MG</t>
  </si>
  <si>
    <t>75 MG + 60 MG</t>
  </si>
  <si>
    <t>2.5 MG + 5 MG + 10 MG</t>
  </si>
  <si>
    <t>100 MG + 325MG</t>
  </si>
  <si>
    <t>28% V/V 
 + 11% W/V 
 + 5% W/V
 + 6% V/V 
 + 6% V/V 
 + 6% V/V 
 + 5% V/V 
 + 5% V/V
 + 5% V/V
 + 3% V/V 
 + 10% V/V</t>
  </si>
  <si>
    <t>4 MG + 100 MG</t>
  </si>
  <si>
    <t>8 MG + 100 MG</t>
  </si>
  <si>
    <t>2.5 MG + 30 MG + 50 MG/ 5 ML</t>
  </si>
  <si>
    <t>10 MG + 4 MG/ 5 ML</t>
  </si>
  <si>
    <t>30 MILLION
 + 2 MILLION
 + 1 MILLION
 + 50 MILLION/ 5 ML</t>
  </si>
  <si>
    <t>30 MILLION
 + 2 MILLION
 + 1 MILLION
 + 50 MILLION</t>
  </si>
  <si>
    <t>60 MILLION
 + 4 MILLION
 + 2 MILLION
 + 100 MILLION</t>
  </si>
  <si>
    <t>250 MG + 2 MG + 200 MG + 100 MCG + 45 MCG + 400 I.U.</t>
  </si>
  <si>
    <t>1800 MG
 + 500 MG
 + 250 MG
 + 140 MG
 + 20 MG
 + 20 MG
 + 20 MG
 + 20 MG
 + 20 MG
 + 20 MG
 + 20 MG
 + 10 MG
 + 10 MG
 + 10 MG
 + 10 MG
 + 10 MG/ 5 ML</t>
  </si>
  <si>
    <t>1800 MG
 + 250 MG
 + 70 MG
 + 62.5 MG
 + 50 MG 
 + 25 MG
 + 20 MG
 + 20 MG
 + 10 MG
 + 10 MG
 + 20 MG</t>
  </si>
  <si>
    <t>500 MG + 5 MG + 25 MG</t>
  </si>
  <si>
    <t>125 MG + 5 MG + 0.5 MG + 60 MG + 1 MG/ 5 ML</t>
  </si>
  <si>
    <t>1.50% W/W
 + 1.00% W/W
 + 6.00% W/W</t>
  </si>
  <si>
    <t>2 MG + 275 MG + 2 GM/ 5 ML</t>
  </si>
  <si>
    <t>1500 MCG + 100 MG + 100 MG + 2% V/V/ 2 ML</t>
  </si>
  <si>
    <t>61.8MG + 1500 MCG + 3 MG + 1.5MG + 50MG + 50MCG</t>
  </si>
  <si>
    <t>20 MG + 15 MG</t>
  </si>
  <si>
    <t>15 MG + 2.5 BILLION/ 1 GM</t>
  </si>
  <si>
    <t>40 MG + 75 MG</t>
  </si>
  <si>
    <t>10 G + 0.0225 G/ 15 ML</t>
  </si>
  <si>
    <t>40 MG
 + 10 MG
 + 8.0 MG
 + 6.0 MG
 + 5.0 MG
 + 3.0 MG
 + 1.8 MG
 + 0.9 MG
 + 0.6 MG
 + 0.5 MG
 + 0.4 MG
 + 10 MCG
 + 8 MCG
 + 1 MCG</t>
  </si>
  <si>
    <t>370.8 KCAL
 + 20 G
 + 70 G
 + 36.97 G
 + 1.2 G
 + 83 MG
 + 12 MG
 + 7 MG
 + 3.66 MG
 + 3.3 MG
 + 2 MG
 + 1833 MCG
 + 200 MCG
 + 10 MCG
 + 1 MCG
 + 1330 MG
 + 30 MG
 + 2 MG
 + 2 MG/ 100 GM</t>
  </si>
  <si>
    <t>30 MG + 500 MG</t>
  </si>
  <si>
    <t>100 I.U. + 2.7 MG</t>
  </si>
  <si>
    <t>0.2 MG + 1 MG + 500 MG</t>
  </si>
  <si>
    <t>1 MG + 0.3 MG + 500 MG</t>
  </si>
  <si>
    <t>0.2 MG + 2 MG + 500 MG</t>
  </si>
  <si>
    <t>0.2 MG + 2 MG + 1000 MG</t>
  </si>
  <si>
    <t>0.2 MG + 500 MG</t>
  </si>
  <si>
    <t>0.3 MG + 500 MG</t>
  </si>
  <si>
    <t>100 MG (49MG + 51MG)</t>
  </si>
  <si>
    <t>20 MG + 37.5 MG</t>
  </si>
  <si>
    <t>20 MG + 145 MG</t>
  </si>
  <si>
    <t>100 MG + 90 MG + 73.5 MG + 7.0MG + 10ML</t>
  </si>
  <si>
    <t>500 MG + 450 MG + 367.5 MG + 35MG + 50 ML</t>
  </si>
  <si>
    <t>80 MG + 500MG + 0.2MG</t>
  </si>
  <si>
    <t xml:space="preserve"> 500MG + 60 MG + 15MG</t>
  </si>
  <si>
    <t>30 MG + 500MG</t>
  </si>
  <si>
    <t>60 MG + 500MG</t>
  </si>
  <si>
    <t>60 MG + 1000MG</t>
  </si>
  <si>
    <t>100 MG + 1500 MCG + 1.5 MG + 100MG</t>
  </si>
  <si>
    <t>75 MG + 1500 MCG + 5MG + 20MG</t>
  </si>
  <si>
    <t>50 MG + 850 MG</t>
  </si>
  <si>
    <t>3750 IU + 225 MG + 21.25 MG</t>
  </si>
  <si>
    <t>50 MG + 50 MG</t>
  </si>
  <si>
    <t>150 MG + 136.2 MG + 3.36 MG + 2.16 MG + 0.6 MG + 1.1% V/V</t>
  </si>
  <si>
    <t>440 MG
 + 400 MG
 + 9.9 MG
 + 6.4 MG
 + 1.8 MG
 + 1.1% V/V</t>
  </si>
  <si>
    <t>50MG + 500 MG</t>
  </si>
  <si>
    <t>50MG + 1000 MG</t>
  </si>
  <si>
    <t>1500MG + 50MG</t>
  </si>
  <si>
    <t>10G + 1500MG + 35MG</t>
  </si>
  <si>
    <t>40MG + 10MG + 10MG</t>
  </si>
  <si>
    <t>10MG + 0.315-0.825MG + 1.26-4.40MG</t>
  </si>
  <si>
    <t>100MG + 3.15-8.25MG + 12.6-44.0MG + 500MG</t>
  </si>
  <si>
    <t>10MG + 0.315-0.825MG + 1.26-4.40MG + 30MG</t>
  </si>
  <si>
    <t>100MG + 3.15-8.25MG + 12.6-44.0MG</t>
  </si>
  <si>
    <t>1 GM + 20 MG</t>
  </si>
  <si>
    <t>100MG + 325MG</t>
  </si>
  <si>
    <t>100 MG + 15 MG + 325 MG</t>
  </si>
  <si>
    <t>100MG + 4MG</t>
  </si>
  <si>
    <t>0.4 MG + 0.5MG</t>
  </si>
  <si>
    <t>325 MG + 100 MG + 2 MG.</t>
  </si>
  <si>
    <t>27.5 MCG + 0.0306 % W/W + 0.015 % W/W</t>
  </si>
  <si>
    <t>350 MILLION + 200 MILLION + 150 MILLION + 150 MILLION + 150 MILLION + 150 MILLION + 150 MILLION + 150 MILLION + 200 MILLION + 0.05 BILLION + 100 MG + 10 MG /1G</t>
  </si>
  <si>
    <t>1.25 MG + 2 MG + 50 MG/5ML</t>
  </si>
  <si>
    <t>978 MG + 714.9 MG + 263.10 MG + 300 MG + 200 MG/ 15 ML</t>
  </si>
  <si>
    <t>250MCG
 + 1.5 MG
 + 45 MG
 + 300MCG
 + 7.5 MG
 + 75 MCG
 + 18MG
 + 0.45 MG
 + 1.0 MG
 + 25MCG
 + 50MG
 + 40MCG
 + 5% V/V/ 15 ML</t>
  </si>
  <si>
    <t>100MG + 100MG</t>
  </si>
  <si>
    <t>2MG + 20MG</t>
  </si>
  <si>
    <t>Each film coated tablet contains:
Sitagliptin Phosphate Monohydrate IP
Equivalent to Sitagliptin…….50 mg
Excipientsq.s.</t>
  </si>
  <si>
    <t>Each film coated tablet contains:
Sitagliptin Phosphate Monohydrate IP
Equivalent to Sitagliptin…..50 mg
Metformin Hydrochloride…...500 mg
Excipientsq.s.</t>
  </si>
  <si>
    <t>MAHACEF-200 DRY SYRUP</t>
  </si>
  <si>
    <t>ZENFLOX-UTI SACHET</t>
  </si>
  <si>
    <t>COMBIHALE-FB 1 MG RESPULES</t>
  </si>
  <si>
    <t>GLYCOBREEZ-NEB RESPULES</t>
  </si>
  <si>
    <t>GLIPTAGREAT-SITA 100</t>
  </si>
  <si>
    <t>OCTJUNO-20 INJ.</t>
  </si>
  <si>
    <t>OCTJUNO-30 INJ.</t>
  </si>
  <si>
    <t>ROMPLIO 125 MCG INJ.</t>
  </si>
  <si>
    <t>ROMPLIO 250 MCG INJ.</t>
  </si>
  <si>
    <t>SUPDENO 60 INJ.</t>
  </si>
  <si>
    <t>COLONCOP-2G SACHET</t>
  </si>
  <si>
    <t>Each film coated bilayered tablet contains:
Glimepiride IP…..1 mg
Metformin Hydrochloride IP..500 mg
(In Prolonged release form)
Excipients…...q.s.
Colours:Ferric Oxide Yellow USP-NF &amp;Titanium Dioxide IP</t>
  </si>
  <si>
    <t>Each film coated bilayered tablet contains:
Glimepiride IP…...2 mg
Metformin Hydrochloride IP.....500 mg
(In Prolonged release form)
Excipients..q.s.
Colours: Ferric Oxide Red USP-NF &amp; Titanium Dioxide IP</t>
  </si>
  <si>
    <t>Each Combipack Contains:
(A) Cefixime Oral Suspension IP
Each 5 ml Reconstituted Suspension Contains:
Cefixime IP as Trihydrate Eq. to Anhydrous Cefixime.....200 mg
(B) 1 vial of sterile water for injections IP
Each vial contains:
sterile water for injection</t>
  </si>
  <si>
    <t>Each sachet contains:
Fosfomycin Trometamol BP
equivalent to Fosfomycin…....3 gm
Excipientsq.s.</t>
  </si>
  <si>
    <t>Each 2 ml contains:
Glycopyrrolate IP
Eq. to Glycopyrronium….25 mcg
in isotonic solutionq.s.</t>
  </si>
  <si>
    <t>Each combi pack contains:
A) One vial of Octreotide for injection 20 mg
Each vial contains:
Octreotide Acetate USP Eq. to Octreotide base.....20 mg
Excipientsq.s.
B) Diluent for Octreotide for injection
Each ml contains:
Sodium Cabrboxymethylcellulose USP......5 mg
Mannitol BP...........50 mg
Polysorbate 80 BP..........1mg
Water for injection IP...........q.s.</t>
  </si>
  <si>
    <t>Each combi pack contains:
A) One vial of Octreotide for injection.....30 mg
Each vial contains:
Octreotide Acetate USP
Eq. to
Octreotide base......20 mg
Excipientsq.s.
B) Diluent for Octreotide for injection
Each ml contains:
Sodium
Cabrboxymethylcellulose USP......5 mg
Mannitol BP...........50 mg
Polysorbate 80 BP..........1mg
Water for injection IP...........q.s.</t>
  </si>
  <si>
    <t>Each vial contains:
Romiplostim Drug Substance (r-DNA origin IH......0.23 mg
Mannitol IP......18 mg
Sucrose IP......9 mg
L-Histidine EP......0.7 mg
Polysorbate 20 IP......0.02 mg
Hydrochloric acid IP.q.s. to pH 5.0
Each pack contains:
Sterile water for injection IP....5ml,
1mlsyringe, Two 26X 1/2 inch needles and Two Alcohol Swabs</t>
  </si>
  <si>
    <t>Each vial contains:
Romiplostim Drug Substance (r-DNA origin ) IH..........0.375 mg
Mannitol IP.........30 mg
Sucrose IP.......15 mg
L-Histidine EP......1.2 mg
Polysorbate 20 IP......0.03 mg
Hydrochloric acid IP.q.s. to pH 5.0
Each pack contains:
Sterile water for injection IP 5ml,
1mlsyringe, Two 26X 1/2 inch needles and Two Alcohol Swabs</t>
  </si>
  <si>
    <t>Each 1.0 ml single dose pre-filled syringe contains:
Denosumab Dfrug substance (r-DNA Origin in house)..........60 mg
Sorbitol IP.....47.0 mg (4.7%)
Glacial acetic acid IP......1.0 mg (17nM)
Polysorbate 20 IP...........0.1 mg (0.01%)
Sodium Hydroxide IP.q.s. to adjust pH to......5.2
Water for injections IP...........q.s. to 1ml</t>
  </si>
  <si>
    <t>Each sachet contains:
Mesalamine IP…...2g
(as pellets) Excipients.q.s.</t>
  </si>
  <si>
    <t>8 GM</t>
  </si>
  <si>
    <t>3.33 GM</t>
  </si>
  <si>
    <t>M/s Alps Communication Pvt. Ltd.
Village-Johron, Trilokpur Road, Kala-Amb, Distt. Sirmour-173030 (H.P.)</t>
  </si>
  <si>
    <t>M/s Swiss Garnier Genexiaa Sciences Pvt Ltd. (Unit-II) Plot No.: 568-569 &amp; 576-579, Tarpin Block, Rhenock, Rongli, East Sikkim-737133</t>
  </si>
  <si>
    <t>M/s Enzene Biosciences Limited, Unit-I, Plot No. A-22/A1/2, Phase-2, 
Khalumbre, Khed, Pune, Maharashtra, India-410501.</t>
  </si>
  <si>
    <t>M/s Mankind Pharma Ltd., Doring Block, Bermoik Elaka, South-Sikkim 737126 &amp; M/s Pharma Force Lab, (Unit-I) 53-55, Ind. Area,Gondpur, Paonta Sahib (H.P)-173025 &amp; M/s Mediforce Healthcare Pvt. Ltd., Plot No. 8-13, Phase-III, Industrial Area, Gondpur, Paonta Sahib, Distt Sirmour, HP-173025</t>
  </si>
  <si>
    <t>M/s Sirmour Remedies Pvt. Ltd., Village Kayarda, PO Missarwala, Poanta Sahib, Distt. Sirmour (HP)-173025 &amp; M/s Next Wave (India), Rampur Ghat, Paonta Sahib, Distt. Sirmour (HP)-173025 &amp;M/s Pharma Force Lab. (Unit-II), Plot No. 83-86 Indl. Area, Gondpur, P</t>
  </si>
  <si>
    <t>M/s Sirmour Remedies Pvt. Ltd., Village Kayarda, PO Missarwala, Poanta Sahib, Distt. Sirmour (HP)-173025 &amp; M/s Next Wave (India), Rampur Ghat, Paonta Sahib, Distt. Sirmour (HP)-173025 &amp; M/s Pharma Force Lab. (Unit-II), Plot No. 83-86 Indl. Area, Gondpur, Paonta Sahib, Distt. Sirmour (HP)-173025</t>
  </si>
  <si>
    <t>M/s Om Sai Pharma Pack, Plot No. 38 &amp; 39 Sector 11, IIE, SIDCUL, Haridwar-249403 &amp; M/s Sirmour Remedies Pvt. Ltd., Village Kayarda, PO Missarwala, Poanta Sahib, Distt. Sirmour (HP)-173025 &amp; M/s Pharma Force Lab. (Unit-II), Plot No. 83-86 Indl. Area, Gondp</t>
  </si>
  <si>
    <t>M/s Acme Life Tech-LLP Plot No. 103, 104, 105-EPIP, Phase-1, 
Jharmajri, Baddi, Dist. Solan (H.P.) 173205 &amp; M/s Penta Kraft, Plot No. 9,10 &amp; 12, Sector-3A, SIDCUL, Haridwar-249403</t>
  </si>
  <si>
    <t>M/s Axa Parenterals Ltd. Plot No. 936,937 &amp; 939, Village Kishanpur, Jamalpur, Roorkee-247667 Distt. Haridwar, Uttarakhand &amp; M/s Higgs Healthcare Khasra No. 480/1, Bhatolikalan, Baddi (H.P.) 173205</t>
  </si>
  <si>
    <t>M/s Pharma Force Lab. (Unit-II), Plot No. 83-86 Indl. Area, Gondpur, Paonta Sahib, Distt. Sirmour (HP)-173025 &amp; M/s Sirmour Remedies Pvt. Ltd., Village Kayarda, PO Missarwala, Poanta Sahib, Distt. Sirmour (HP)-173021</t>
  </si>
  <si>
    <t xml:space="preserve">M/s J.K Print Packs (Pharma Division), C-14 to 17, Sara Industrial Estate Ltd., Vill Rampur, Selaqui, Distt Dehradun-248197 &amp; M/s Pure &amp; Cure Healthcare Pvt. Ltd. (A Subsidiary of Akums Drugs &amp; Pharmaceuticals Ltd.)
Plot No. 26A, 27-30, Sector-8A, I.I.E., SIDCUL, Ranipur, Haridwar-249403, Uttarakhand. &amp; M/s Mankind Pharma Ltd., Doring Block, Bermoik Elaka, South-Sikkim 737126 </t>
  </si>
  <si>
    <t>M/s Next Wave (India), Rampur Ghat, Paonta Sahib, Distt. Sirmour (HP)-173025 &amp; M/s Mankind Pharma Ltd., Doring Block, Bermoik Elaka, South-Sikkim 737126</t>
  </si>
  <si>
    <t>M/s Lupin Ltd, 4th Mile, Bhasmey, Karmarey - Bhasmey Block, Duga Ilaka, East Sikkim-737132 &amp; M/s Mediforce Healthcare Pvt. Ltd., Plot No. 8-13, Phase-III, Industrial Area, Gondpur, Paonta Sahib, Distt Sirmour, HP-173025</t>
  </si>
  <si>
    <t>Fosfomycin Trometamol 3 GM</t>
  </si>
  <si>
    <t>Sitagliptin 100 MG</t>
  </si>
  <si>
    <t>Mesalamine 2 G</t>
  </si>
  <si>
    <t>2 G</t>
  </si>
  <si>
    <t>Glycopyrrolate 25 mcg</t>
  </si>
  <si>
    <t>25 mcg</t>
  </si>
  <si>
    <t>Octreotide 20 MG</t>
  </si>
  <si>
    <t>Octreotide 30 MG</t>
  </si>
  <si>
    <t>Denosumab 60 MG</t>
  </si>
  <si>
    <t>125 mcg</t>
  </si>
  <si>
    <t>250 mcg</t>
  </si>
  <si>
    <t>Romiplostim 125 mcg</t>
  </si>
  <si>
    <t>Romiplostim 250 mcg</t>
  </si>
  <si>
    <t>Each 2 ml contains:
Budesonide IP 1 mg
Formoterol Fumarate Dihydrate IP
Equivalent to Formoterol Fumarate…..20 mcg
Aqueous Vehicle.q.s.</t>
  </si>
  <si>
    <t>BUDESONIDE I.P. 1 MG + FORMOTEROL FUMARATE 20 MCG</t>
  </si>
  <si>
    <t>1 MG + 20 MCG</t>
  </si>
  <si>
    <t>DISCONTINUED AS NEW PACK RECEIVE ON 24-06-2025</t>
  </si>
  <si>
    <t>DISCONTINUED AS NEW PACK RECEIVE ON 17-06-2025</t>
  </si>
  <si>
    <t>Each uncoated extended release tablet contains:
Gliclazide IP…...30 mg</t>
  </si>
  <si>
    <t>Each uncoated extended release tablet contains:
Gliclazide IP……..60 mg</t>
  </si>
  <si>
    <t>CALDIKIND-60K NANO ORAL SOLUTION</t>
  </si>
  <si>
    <t>Each 5 ml contains:
Cholecalciferol IP……...60000 IU
(In Nano Droplet form)
In a flavoured Syrup base q.s.</t>
  </si>
  <si>
    <t>Cholecalciferol 60000 IU</t>
  </si>
  <si>
    <t>60000 IU</t>
  </si>
  <si>
    <t>AGPTOY</t>
  </si>
  <si>
    <t>Each  film coated tablet approximately contains:
Palmitoylethanolamide…...300 mg
Agamtine…….500mg
Cytidine Monophosphate…....2.5mg
Uridine Monophosphate……..1.5 mg</t>
  </si>
  <si>
    <t>Palmitoylethanolamide 300 mg + 
Agamtine 500mg +
Cytidine Monophosphate 2.5mg + 
Uridine Monophosphate  1.5 mg</t>
  </si>
  <si>
    <t>300 mg + 500mg + 2.5mg + 1.5 mg</t>
  </si>
  <si>
    <t>THERMOKIND-ADVANCE TOOTHPASTE</t>
  </si>
  <si>
    <t>Composition:
Glycerin, Silica, PEG 400, Calcium Sodium Phospho Silicate, Flavour, Cocamido
Propyl Betaine, Sodium
MethylCocoylTaurate, Titanium Dioxide,Potassium Acesulfame &amp; Carbomer</t>
  </si>
  <si>
    <t>DROGYNA-20 SR</t>
  </si>
  <si>
    <t>DYROGESTERONE 20 MG</t>
  </si>
  <si>
    <t>CILAHEART-TM 25</t>
  </si>
  <si>
    <t>Each film coated bilayered tablet contains:
Telmisartan IP…...40 mg
Cilnidipine IP…….10 mg
Metoprolol Succinate IP…….23.75 mg
Equivalent to Metoprolol IP….25 mg
(as extended release)
Excipients..q.s</t>
  </si>
  <si>
    <t>Telmisartan 40 mg + 
Cilnidipine  10 mg + 
Metoprolol Succinate 23.75 mg</t>
  </si>
  <si>
    <t xml:space="preserve"> 40 mg +   10 mg +  23.75 mg</t>
  </si>
  <si>
    <t>CILAHEART-TM 50</t>
  </si>
  <si>
    <t>Each film coated bilayered tablet contains:
Telmisartan IP…….40 mg
Cilnidipine IP…….10 mg
Metoprolol Succinate IP……...47.50
mg
Equivalent to Metoprolol IP…..50 mg
(as extended release)
Excipients..q.s</t>
  </si>
  <si>
    <t>Telmisartan 40 mg + 
Cilnidipine 10 mg +
Metoprolol Succinate 47.50</t>
  </si>
  <si>
    <t>40 mg +  10 mg + 47.50</t>
  </si>
  <si>
    <t>Gliclazide 30 mg</t>
  </si>
  <si>
    <t>30 mg</t>
  </si>
  <si>
    <t>Gliclazide 60 mg</t>
  </si>
  <si>
    <t>60 mg</t>
  </si>
  <si>
    <t>ROMPLIO 500 MCG INJ.</t>
  </si>
  <si>
    <t>Each vial contains:
Romiplostim Drug Substance (r-DNA origin )IH.......0.625 mg
Mannitol IP.......50 mg
Sucrose IP.......25 mg
L-Histidine EP.....1.9 mg
Polysorbate 20 IP.......0.05 mg
Hydrochloric acid IP.q.s. to pH 5.0
Each pack contains:
Sterile water for injection IP.....5ml, 2.5
ml syringe, Two 26X 1/2 inch needles and Two Alcohol Swabs</t>
  </si>
  <si>
    <t>Romiplostim Drug Substance (r-DNA origin )IH 0.625 mg +
Mannitol 50 mg +
Sucrose 25 mg +
L-Histidine EP 1.9 mg +
Polysorbate 20 0.05 mg +
Hydrochloric acid IP.q.s. to pH 5.0</t>
  </si>
  <si>
    <t xml:space="preserve"> 0.625 mg +
50 mg +
25 mg +
1.9 mg +
20 0.05 mg +pH 5.0</t>
  </si>
  <si>
    <t>CORABRAD-OD 10</t>
  </si>
  <si>
    <t>Each film coated prolonged release tablet contains:
Ivabradine Hydrochloride equivalent to Ivabradine 10……...mg
Excipients.q.s.
Colours : Ferric Oxide Red USP-NF,
Ferric Oxide Yellow USP-NF &amp; Titanium Dioxide IP</t>
  </si>
  <si>
    <t>Ivabradine 10  mg</t>
  </si>
  <si>
    <t>10  mg</t>
  </si>
  <si>
    <t>EPLEBLESS-T 20</t>
  </si>
  <si>
    <t>Each combi kit contains:
Tablet A:
Each film coated tablet contains:
Eplerenone IP…..25mg
Excipients…...q.s.
Colour:
Yellow oxide of Iron, Iron Oxide Red &amp; Titanium Dioxide IP
Tablet B:
Each uncoated tablet contains:
Torsemide IP…...20mg
Excipients........q.s.</t>
  </si>
  <si>
    <t>Eplerenone 25mg + Torsemide 20mg</t>
  </si>
  <si>
    <t>25mg + 20mg</t>
  </si>
  <si>
    <t>M/s Applied Communication and Controls, Khasra No. 122, Selaqui Industrial Area, Dehradun, Uttarakhand-248011</t>
  </si>
  <si>
    <t>M/s Group Pharmaceuticals Ltd. Plot No. 41, Nasigere Village, Kasaba Hobli, KIADB 
Industrial Area, Malur-563130, Kolar District, Karnataka.</t>
  </si>
  <si>
    <t>50 MG + 20 MG + 50 MG + 30 MG + 10 MG + 50 MG
 + 11 MG
 + 5 MG
 + 1.5 MG
 + 1.1 MG
 + 100 MCG
 + 40 MCG
 + 600 IU
 + 29 MG
 + 1 MG
 + 40 MCG
 + 10 MG</t>
  </si>
  <si>
    <t>M/s Zydus Healthcare Ltd. Unit-II
967 (P), 968 (P), 970 (P), Duga Circle,
Kamarey Bhasmay, Kumrek,
Sikkim-737132. &amp; M/s Respipure Pharma Pvt. Ltd.
Plot No. T-7, Chincholi MIDC, Solapur-413255 Maharashtra.</t>
  </si>
  <si>
    <t>M/s Akums Drugs &amp; Pharmaceuticals Ltd., Plot No - 22, Sector-6A, I.I.E., SIDCUL, Ranipur, Haridwar-249403 Unit-II &amp; M/s Pharma Force Lab. (Unit-II), Plot No. 83-86 Indl. Area, Gondpur, Paonta Sahib, Distt. Sirmour (HP)-173025</t>
  </si>
  <si>
    <t>M/s J.K Print Packs (Pharma Division), C-14 to 17, Sara Industrial Estate Ltd., Vill Rampur, Selaqui, Distt Dehradun-248197 &amp; M/s Pure &amp; Cure Healthcare Pvt Ltd. Plot No 26A-30, Sector-8A, IIE, SIDCUL, Haridwar-249403 &amp; M/s Mankind Pharma Ltd., Doring Block, Bermoik Elaka, South-Sikkim 737126</t>
  </si>
  <si>
    <t>M/s BDR Pharmaceuticals Intl. Pvt Ltd. At: Plot No. 58 To 67, Sec-B-1, 
Umariy- Dungaria Tehsil, Shahpura, Jabalpur M.P., (Dist.)-JABALPUR, 
Madhya Pradesh-482003 &amp; Panacea Biotec Pharma Ltd.
Malpur,Baddi,Distt.Solan (H.P)-173205 &amp; M/s SPAL PRIVATE LIMITED
Plot No. 12, Biotech Park, Phase-II, Lalgadi Malakpet (V), Shamirpet (M),
Medchal- Malkajgiri District, Telangana State - 500101</t>
  </si>
  <si>
    <t>M/s, Synokem Lifesciences Pvt. Ltd.
Plot No. 11, Sector-4, LLE, SIDCUL, Ranipur, Haridwar-249403 (UTTARAKHAND) &amp; M/s Mediforce Healthcare Pvt. Ltd., Plot No. 8-13, Phase-III, Industrial Area, Gondpur, Paonta Sahib, Distt Sirmour, HP-173025</t>
  </si>
  <si>
    <t>Paste</t>
  </si>
  <si>
    <t>Each film coated tablet contains:
Sitagliptin Phosphate Monohydrate IP
Equivalent to Sitagliptin…...100 mg
Excipientsq.s.</t>
  </si>
  <si>
    <t>VENTIDOX-NAC TAB</t>
  </si>
  <si>
    <t>Each film coated bilayer tablet contains:
Acebrophylline……...100 mg
Acetylcysteine BP…..600 mg</t>
  </si>
  <si>
    <t>LUBISTAR OMEGA EYE DROPS</t>
  </si>
  <si>
    <t>Composition:
Sodium Carboxymethylcellulose IP..0.5%w/v
Sterile Aqueous Vehicle..........q.s.
(Preservedthesolutionwith Ionic buffer system)
Inactive Ingredients: Glycerin IP, Virgin Linseed Oil BP(Omega-3),
Levocarnitine IP,
Polysorbate80,Erythritol USP-NF, Trehalose USP-NF with Ionic buffer system.</t>
  </si>
  <si>
    <t>ZITBLOW FACEWASH</t>
  </si>
  <si>
    <t>Composition:
Aqua, Sodium C14-16 Olefin Sulfonate, Salicylic Acid, Cocamidopropyl Hydroxysultaine, Glycerin, Butylene Glycol,
Propylene Glycol, Mandelic Acid, Maltooligosyl Glucoside, Hydrogenated Starch Hydrolysate, Sodium Hyaluronate, Disodium EDTA,
Hydrogenated Palm Glycerides Citrate, Sodium Chloride, Glucose, Coco-Glucoside, Glyceryl Oleate, Sodium Cocoyl Glutamate,
Ethylhexylglycerin, Xanthan Gum, Zinc PCA, Phenoxyethanol, Allantoin, Tetrasodium EDTA, Tocopherol, Sodium Hydroxide, Citric Aci</t>
  </si>
  <si>
    <t>THYRONEED-112</t>
  </si>
  <si>
    <t>Each uncoated tablet contains:
Thyroxine Sodium IP
equivalent to anhydrous Thyroxine Sodium…...112 mcg
(Synthetic Thyroid Hormones)</t>
  </si>
  <si>
    <t xml:space="preserve">FLOKIND-F </t>
  </si>
  <si>
    <t>Each hard gelatin capsule contains: Tamsulosin Hydrochloride IP 0.4mg (as modified release pellets) Finasteride IP .
5mg (as film coated Tablet) Excipients . q.s. Colours: Ferric oxide USP-NF red &amp; Titanium Dioxide IP</t>
  </si>
  <si>
    <t>MANKIND'S HEALTHOK PRO PLUS</t>
  </si>
  <si>
    <t>Each 100gm powder contains:
L-carnitine260.00mg
Taurine1666.67mg
Resveratrol40.00mg
Lactobacillus rhamnosus0.33
BillionCFU Lactobacillus reuteri 0.33
Billion CFU CoQ10....200.00 mg
Vitamins
Vitamin A.....500.00 mcg
Vitamin D2.....7.50 mcg
Vitamin E....5.00 mg
Vitamin B1.....0.70 mg
Vitamin B2.....1.00 mg
Niacin.....7.00 mg
Vitamin B6....0.95 mg
Folic acid.....180.00 mcg
Pantothenic acid.....2.50 mg
Biotin......20.00 mcg
Vitamin B12.....1.10 mcg
Vitamin C.....40.00 mg
Minerals^^
Calcium......600.00 mg
Phosphorous.....680.00 mg
Magnesium.....220.00 mg
Potassium.....600.00 mg
Iron.....15.00 mg
Iodine.....70.00 mcg
Zinc.....8.50 mg
Copper.....1.00 mg
Selenium....40.00 mcg
Chromium.....50.00 mcg
Molybdenum.....45.00 mcg</t>
  </si>
  <si>
    <t>400 GM</t>
  </si>
  <si>
    <t>Activus Mankind (A Division of Mankind Pharma Ltd.)</t>
  </si>
  <si>
    <t>M/s Hitech Formulations PVT. LTD. 
Sai Road, Baddi, Distt. Solan (H.P.) 173205, India.</t>
  </si>
  <si>
    <t xml:space="preserve">M/s TIRUPATI WELLNESS PVT. LTD. SURAJPUR, NAHAN ROAD, 
PAONTA SAHIB, DIST. SIRMAUR-173025, H.P. (INDIA), </t>
  </si>
  <si>
    <t>Thyroxine 112 MCG</t>
  </si>
  <si>
    <t>112 MCG</t>
  </si>
  <si>
    <t>Tamsulosin Hydrochloride 0.4 mg + Finasteride 5 MG</t>
  </si>
  <si>
    <t>0.4 MG + 5 MG</t>
  </si>
  <si>
    <t>Facewash</t>
  </si>
  <si>
    <t>M/s, Synokem Lifesciences Pvt. Ltd.
Plot No. 11, Sector-4, LLE, SIDCUL, Ranipur, Haridwar-249403 (UTTARAKHAND) &amp; M/s Ravenbhel Healthcare Pvt Ltd, At: EPIP, SIDCO, Kartholi, Bari Brahmana, Jammu-181133</t>
  </si>
  <si>
    <t>M/s Windlas Biotech Limited, Plant-2, Khasra No 141 to 143 &amp; 145, Mohabewala Indl. Area, Dehradun-248110 (U.K.) &amp; M/s Sirmour Remedies Pvt. Ltd., Village Kayarda, PO Missarwala, Poanta Sahib, Distt. Sirmour (HP)-173021</t>
  </si>
  <si>
    <t>0.5%w/v</t>
  </si>
  <si>
    <t>Mandate Brand Status</t>
  </si>
  <si>
    <t>CANDIFORCE DUSTING POWDER</t>
  </si>
  <si>
    <t>VERTISTAR-24 SR</t>
  </si>
  <si>
    <t>VERTISTAR-48 SR</t>
  </si>
  <si>
    <t>CEREIRA-60 INJECTION</t>
  </si>
  <si>
    <t>EMPAGREAT-TRIO 10/1000</t>
  </si>
  <si>
    <t>GLIPTAGREAT-SITA DM 500</t>
  </si>
  <si>
    <t>TOTALAX-PLUS SUSP.</t>
  </si>
  <si>
    <t>EMPAGLYDE-SM 10/1000 TAB</t>
  </si>
  <si>
    <t>SITABLESS MXR 100/500</t>
  </si>
  <si>
    <t>BIFIOTA SACHET</t>
  </si>
  <si>
    <t>MANKIND'S HEALTHOK PRO PROTEIN VANILLA</t>
  </si>
  <si>
    <t>MANKIND'S HEALTHOK HIGH PROTEIN VANILLA</t>
  </si>
  <si>
    <t>Composition:
Clotrimazole IP…..1% w/w
Talc IP &amp; Starch IP base…...q.s.</t>
  </si>
  <si>
    <t>Each Film Coated Sustained Release Tablet Contains:
Betahistine Dihydrochloride IP....24 mg
Excipients...................... q.s.</t>
  </si>
  <si>
    <t>Each film coated sustained release tablet contains:
Betahistine Hydrochloride IP……..48mg
Excipients…………..q.s.</t>
  </si>
  <si>
    <t>Each Lyophilized vial contains:
Cerebroprotein Hydrolysed 2100 mg (approx.)
Eq. to Nitrogen.60 mg</t>
  </si>
  <si>
    <t>Each film coated bilayered tablet contains:
Empagliflozin................ 10 mg
Sitagliptin Phosphate Monohydrate IP
equivalent to Sitagliptin........... 100 mg
Metformin Hydrochloride IP (As Extended release)........ 500 mg
Excipients................ q.s.</t>
  </si>
  <si>
    <t>Each film coated bilayered tablet contains:
Sitagliptin Monohydrate IP
Equivalent to Sitagliptin…...100 mg
DapagliflozinPropanediolMonohydrate
Eq. to Dapagliflozin……..10 mg
Metformin Hydrochloride IP...500 mg
(As extended release) Excipients.q.s.</t>
  </si>
  <si>
    <t>Each 5ml Contains:
Liquid Paraffin IP….1.25 ml
Milk of Magnesia IP…..3.75 ml
Sodium Picosulphate BP.....3.33 mg
(Peppermint Flavour)</t>
  </si>
  <si>
    <t>Each film coated bilayered tablet contains:
Empagliflozin…..10 mg
Sitagliptin Phosphate Monohydrate IP equivalent to Sitagliptin…..100mg
Metformin Hydrochloride IP (As extended release)….1000 mg
Excipients..q.s.</t>
  </si>
  <si>
    <t>Each film coated tablet contains:
Sitagliptin Phosphate Monohydrate IP
Equivalent to Sitagliptin….100 mg
Metformin Hydrochloride IP….500 mg
(As prolonged release)
Excipients..q.s.</t>
  </si>
  <si>
    <t>Each 5gm sachet contains:
Bifidobacterium Longum…...W115 billion cells
Fructo-oligosaccharides…...2.5 gm</t>
  </si>
  <si>
    <t>Each 100gm powder contains:
L-Carnitine.....260.00mg
Taurine.......260.00mg
Lactobacillus salivarius......0.33
BillionCFU BifidobacteriumLactis.....0.33 Billion CFU
Vitamins^
Vitamin A.....500.00mcg
Vitamin D2.....7.50mcg
Vitamin E.....5.00mg
Vitamin B1......0.70mg
Vitamin B2....1.00mg
Niacin......7.00mg
Vitamin B6......0.95mg
Folic acid.......135.00mcg
Pantothenic acid.......2.50mg
Biotin.......20.00mcg
VitaminB12.......1.10mcg
Vitamin C.......40.00mg
Minerals^^
Calcium......600.00mg
Phosphorous......710.00mg
Magnesium......220.00mg
Potassium.......600.00mg
Iron......15.00mg
Iodine.....70.00mcg
Zinc......8.50mg
Copper.....1.00mg
Selenium.....20.00mcg
Chromium.....25.00mcg
Molybdenum.....23.00mcg</t>
  </si>
  <si>
    <t>Each 100gm powder contians:
L-Carnitine.....260.00 mg
Taurine.....260.00mg
Lactobacillus salivarius....0.33 BillionCFU
BifidobacteriumLactis.....0.33 Billion CFU
Vitamins
Vitamin A....500.00 mcg
Vitamin D2.....7.50 mcg
Vitamin E....5.00 mg
Vitamin B1.....0.70 mg
Vitamin B2....1.00 mg
Niacin......7.00 mg
Vitamin B6......0.95 mg
Folic acid.....135.00 mcg
Pantothenic acid......2.50 mg
Biotin......20.00 mcg
VitaminB12......1.10 mcg
Vitamin C.......40.00 mg
Minerals
Calcium......600.00 mg
Phosphorous.....710.00 mg
Magnesium.....220.00 mg
Potassium.......600.00 mg
Iron......15.00 mg
Iodine.....70.00 mcg
Zinc.....8.50 mg
Copper.....1.00 mg
Selenium.....20.00 mcg
Chromium.....25.00 mcg
Molybdenum.....23.00 mcg</t>
  </si>
  <si>
    <t>Each 100gm powder contains:
Probiotics
Lactobacillus casei Shirota.....0.33
Billion CFU Lactobacillus plantarum......0.33
Billion CFU
Vitamins^
Vitamin A.....500.00 mcg
Vitamin D2......7.50 mcg
Vitamin E.....5.00 mg
Vitamin B1.....0.70 mg
Vitamin B2......1.00 mg
Niacin....7.00 mg
Vitamin B6.....0.95 mg
Folic acid.....100.00 mcg
Pantothenic acid......2.50 mg
Biotin......20.00 mcg
Vitamin B12......1.10 mcg
Vitamin C......40.00 mg
Minerals^^
Calcium.....600.00 mg
Phosphorous.....680.00 mg
Magnesium....220.00 mg
Potassium.....600.00 mg
Iron......15.00 mg
Iodine.....70.00 mcg
Zinc......8.50 mg
Copper.....1.00 mg
Selenium.....40.00 mcg
Chromium.....50.00 mcg
Molybdenum.....45.00 mcg</t>
  </si>
  <si>
    <t>60 GM</t>
  </si>
  <si>
    <t>M/s The Madras Pharmaceuticals No. 137 B, Old Mahabalipuram Road, Karapakkam, Chennai-600096. Tamil Nadu</t>
  </si>
  <si>
    <t>M/s Nixi Laboratories Pvt. Ltd.
(A WHO-GMP Certified Company)
Vill. Mouza Ogli, Sadhaura Road, Kala-Amb, 
Distt. Sirmour-173030 (H.P.)</t>
  </si>
  <si>
    <t>M/s Synokem Lifesciences Pvt. Ltd.
Plot No. 11, Sector-4, LLE, SIDCUL, Ranipur, Haridwar-249403 (UTTARAKHAND)</t>
  </si>
  <si>
    <t>BETAHISTINE DIHYDROCHLORIDE 48 MG</t>
  </si>
  <si>
    <t>Cerebroprotein Hydrolysed 2100 mg</t>
  </si>
  <si>
    <t>Empagliflozin 10 MG
Sitagliptin 100 MG
Metformin Hydrochloride 500 MG</t>
  </si>
  <si>
    <t>Sitagliptin 100 MG
Dapagliflozin 10 MG
Metformin Hyderochloride 500 MG</t>
  </si>
  <si>
    <t>Empagliflozin 10 MG
Sitagliptin 100 MG
Metformin Hydrochloride 1000 MG</t>
  </si>
  <si>
    <t>Sitagliptin 100 MG
Metformin Hydrochlorider 500 MG</t>
  </si>
  <si>
    <t>Bifidobacterium Longum…...W115 billion cells</t>
  </si>
  <si>
    <t>48 Mg</t>
  </si>
  <si>
    <t>2100 MG</t>
  </si>
  <si>
    <t>M/s J.K Print Packs (Pharma Division), C-14 to 17, Sara Industrial Estate Ltd., Vill Rampur, Selaqui, Distt Dehradun-248197 &amp;  M/s Pharma Force Lab, (Unit-I) 53-55, Ind. Area,Gondpur, Paonta Sahib (H.P)-173025 &amp; M/s Mankind Pharma Ltd., Doring Block, Bermoik Elaka, South-Sikkim 737126</t>
  </si>
  <si>
    <t>M/s Pharma Force Lab, (Unit-I) 53-55, Ind. Area,Gondpur, Paonta Sahib (H.P)-173025 &amp; M/s Mediforce Healthcare Pvt. Ltd., Plot No. 8-13, Phase-III, Industrial Area, Gondpur, Paonta Sahib, Distt Sirmour, HP-173025 &amp; M/s Mankind Pharma Ltd., Doring Block, Bermoik Elaka, South-Sikkim 737126</t>
  </si>
  <si>
    <t>M/s Cris Pharma (India) Limited, E-11 UPSIDC Ind. Area, Selaqui Dehradun-248197 &amp; M/s Mankind Pharma Ltd., Doring Block, Bermoik Elaka, South-Sikkim 737126</t>
  </si>
  <si>
    <t xml:space="preserve">M/s J.K Print Packs (Pharma Division), C-14 to 17, Sara Industrial Estate Ltd., Vill Rampur, Selaqui, Distt Dehradun-248197 &amp; M/s Pure &amp; Cure Healthcare Pvt. Ltd. (A Subsidiary of Akums Drugs &amp; Pharmaceuticals Ltd.)
Plot No. 26A, 27-30, Sector-8A, I.I.E., SIDCUL, Ranipur, Haridwar-249403, Uttarakhand. </t>
  </si>
  <si>
    <t>M/s Penta Kraft, Plot No. 9,10 &amp; 12, Sector-3A, SIDCUL, Haridwar-249403 &amp; M/s Sirmour Remedies Pvt. Ltd., Village Kayarda, PO Missarwala, Poanta Sahib, Distt. Sirmour (HP)-173021</t>
  </si>
  <si>
    <t>M/s Sirmour Remedies Pvt. Ltd., Village Kayarda, PO Missarwala, Poanta Sahib, Distt. Sirmour (HP)-173025 &amp; M/s Pharma Force Lab. (Unit-II), Plot No. 83-86 Indl. Area, Gondpur, Paonta Sahib, Distt. Sirmour (HP)-173025 &amp; M/s Om Sai Pharma Pack, Plot No. 38 &amp; 39 Sector 11, IIE, SIDCUL, Haridwar-249403</t>
  </si>
  <si>
    <t>M/s SYNOKEM PHARMACEUTICALS LTD PLOT NO. 35-36, SECTOR-6A, I.I.E. (SIDCUL), RANIPUR (BHEL), HARIDWAR-249403 (UTTARAKHAND) &amp; M/s Mediforce Healthcare Pvt. Ltd., Plot No. 8-13, Phase-III, Industrial Area, Gondpur, Paonta Sahib, Distt Sirmour, HP-173025</t>
  </si>
  <si>
    <t>M/s, Synokem Lifesciences Pvt. Ltd.
Plot No. 11, Sector-4, LLE, SIDCUL, Ranipur, Haridwar-249403 (UTTARAKHAND) &amp; M/s Ravenbhel Biotech, EPIP, SIDCO, Kartholi, Bari Brahmana, Jammu-181133</t>
  </si>
  <si>
    <t>M/s Biocon Biologics Limited,
Plot No: 2,3,4 &amp; 5, Biocon Special Economic Zone, Bommasandra Jigani Link Road,
Bengaluru (Bangalore) Urban, Karnataka - 560099, India &amp; M/s Mediforce Healthcare Pvt. Ltd., Unit-II, Plot No. 46, Industrial Area, Gondpur, Tehsil Paonta Sahib, Distt Sirmour, HP-173025</t>
  </si>
  <si>
    <t>PTR</t>
  </si>
  <si>
    <t>NET PTR</t>
  </si>
  <si>
    <t>Hospital Margin%</t>
  </si>
  <si>
    <t>DPCO (Y/N)</t>
  </si>
  <si>
    <t>EMPAGLYDE-SM 25/1000 TAB</t>
  </si>
  <si>
    <t>Each uncoated chewable tablet contains:
Cholecalceferol IP (as stabilized) 60000 I.U</t>
  </si>
  <si>
    <t>Composition:
Each capsule contains:
Fluticasone Furoate Ph. Eur…...200 mcg
Vilanterol Trifenatate eq. to Vilanterol…..25 mcg
Excipient…….q.s.
Approved colours used in empty capsule shells.</t>
  </si>
  <si>
    <t>Each film coated bilayered tablet contains:
Empagliflozin….25 mg
Sitagliptin Phosphate Monohydrate IP
equivalentto
Sitagliptin…….100mg
Metformin Hydrochloride IP
(As extended release)…...1000 mg
Excipients..q.s.</t>
  </si>
  <si>
    <t>Cholecalceferol 60000 I.U</t>
  </si>
  <si>
    <t>60000 I.U.</t>
  </si>
  <si>
    <t>Fluticasone 200 MG + Vilanterol 25 MG</t>
  </si>
  <si>
    <t>200 MG + 25 MG</t>
  </si>
  <si>
    <t>Empagliflozin 25 MG + Sitagliptin 100 MG + Metformin 1000 MG</t>
  </si>
  <si>
    <t>25 MG + 100 MG + 1000 MG</t>
  </si>
  <si>
    <t>12 TAB</t>
  </si>
  <si>
    <t>UVSMART HYDRA SUNSCREEN</t>
  </si>
  <si>
    <t>Composition:
Purified Water, Uvinrl MC 80, Dow Corning ST Cyclomethicone 5 NF, C12 15 Alkyl
Benzoate, Arlacel 165, Parsol TX,Parsol
1789 (Avobenzone), Cetostearyl Alcohol,
Niacinamide, Valvance Touch 210, Tinosorb S, Uvinul T 150, Vitamin E Acetate,Hyaluronic
Acid Solution, Euxyl PE 9010, RH 60, Allantoin, Propylene Glycol, Propylene
Glycol, BHT, Ultrez 21, TEA, Citric Acid,Di Sodium EDTA,Xanthan Gum, Centella Asiatica
Leaf Extract, Esse.oil</t>
  </si>
  <si>
    <t>HER2-P INJ.</t>
  </si>
  <si>
    <t>Each ml contains
Pertuzumab Drug Substance (r-DNA) origin In-house..30 mg/mL
Succinic acid USP.............1.18 mg/mL
Sucrose IP..............41.1mg/mL
Polysorbate 20 IP................0.2 mg/mL
Sodium hydroxide IP...........q.s. to pH 6.0
Water for Injection IP........q.s. to 1.0mL</t>
  </si>
  <si>
    <t>Pertuzumab 30 MG</t>
  </si>
  <si>
    <t>14 ML</t>
  </si>
  <si>
    <t>JUSTOZA-B 2.5</t>
  </si>
  <si>
    <t>Each film coated tablet contains:
Bisoprolol Fumarate IP…....2.5 mg
Dapagliflozin Propanediol USP
Eq. to Dapagliflozin…...10mg
Excipients..q.s.</t>
  </si>
  <si>
    <t>Bisoprolol 2.5 mg + Dapagliflozin 10mg</t>
  </si>
  <si>
    <t>2.5 MG + 10 MG</t>
  </si>
  <si>
    <t>JUSTOZA-B 5</t>
  </si>
  <si>
    <t>Each film coated tablet contains:
Bisoprolol Fumarate IP…....5 mg
Dapagliflozin Propanediol USP
Eq. to Dapagliflozin……..10mg
Excipients..q.s.</t>
  </si>
  <si>
    <t>Bisoprolol 5 mg + Dapagliflozin 10mg</t>
  </si>
  <si>
    <t>MANKIND'S HEALTHOK-D DIABETES CARE</t>
  </si>
  <si>
    <t>MANKIND’S HEALTH OK-D
Each serving per 30gm contains: (approx.)
Vitamins
Vitamin A.150.00 mcg
Vitamin D32.25 mcg
Vitamin E1.50 mg
Vitamin K28.25 mcg
Vitamin B1.0.21 mg
Vitamin B2.0.30mg
Niacin.2.10 mg
Vitamin B60.29 mg
Folic Acid..28.50 mcg
Pantothenic Acid..0.75mg
Biotin..6.00 mcg
Vitamin B12...0.33 mcg
Vitamin C.12.00mg
Minerals
Calcium..150.00 mg
Phosphorus150.00 mg
Magnesium..66.00mg
Potassium.148.50 mg
Iron.4.50 mg
Zinc2.55 mg
Manganese..0.60mg
Copper.0.30 mg
Iodine..21.00 mcg
Selenium.12.00 mcg
Chromium9.00mcg
Molybdenum13.50 mcg
Amino Acid Taurine..15.00 mg
L-Carnitine.15.00 mg
Others
Lactobacillus acidophilus (MBLAM3)0.10 Billion CFU
Bifidobacterium lactis (MB BALM27).0.10 Billion CFU</t>
  </si>
  <si>
    <t>Gel</t>
  </si>
  <si>
    <t>INFO. NOT RECEIVE FOR DISCONTINUE</t>
  </si>
  <si>
    <t>IN BOTTLE</t>
  </si>
  <si>
    <t>ALBUKIND INFUSION</t>
  </si>
  <si>
    <t xml:space="preserve">EACH VIAL CONTAINS:
TOTAL PROTEIN............200 G/LIT.
SODIUM CAPRYLATE....6.65 G/LIT.
NA* NOT MORE THAN...160 MMOL/LIT.
K* NOT MORE THAN.....2 MMOL/LIT.
ALUMINIUM......................&lt;200 G/LIT.
SOURCE: HUMAN PLASMA
</t>
  </si>
  <si>
    <t>ALGLUTAM INFUSION</t>
  </si>
  <si>
    <t>EACH 100 ML CONCENTRATED SOLUTION
FOR INFUSION CONTAINS:
L-ALANYL-L-GLUTAMINE…..20.00G
(L-ALANINE 8.20 G L-GLUTAMINE 13.46 G)
WATER FOR INJECTIONS IP.…Q.S.</t>
  </si>
  <si>
    <t>L-ALANYL-L-GLUTAMINE 20.00G
(L-ALANINE 8.20 G L-GLUTAMINE 13.46 G)</t>
  </si>
  <si>
    <t>20.00G + 8.20 G + 13.46 G</t>
  </si>
  <si>
    <t>ARODCEFA INJECTION</t>
  </si>
  <si>
    <t>EACH VIAL CONTAINS:
CEFEPIME HCI IP (STERILE)
EQ. TO ANHYDROUS CEFEPIME……1000 MG
(A STERILE MIXTURE OF CEFEPIME HCI AND ARGININE)
TAZOBACTAM SODIUM IP (STERILE)
EQ. TO TAZOBACTAM…..125 MG</t>
  </si>
  <si>
    <t>CEFEPIME 1000 MG (A STERILE MIXTURE OF CEFEPIME HCI AND ARGININE) + 
TAZOBACTAM 125 MG</t>
  </si>
  <si>
    <t>1000 MG + 125 MG</t>
  </si>
  <si>
    <t>1.125 GM</t>
  </si>
  <si>
    <t>ARODCEFA-FORTE</t>
  </si>
  <si>
    <t>EACH VIAL CONTAINS:
CEFEPIME HYDROCHLORIDE IP (STERILE) EQ. TO CEFEPIME….2000 MG
(AS STERILE MIXTURE OF CEFEPIME HCI AND ARGININE)
TAZOBACTAM SODIUM IP (STERILE)
EQ. TO ANHYDROUS TAZOBACTAM……250 MG</t>
  </si>
  <si>
    <t>CEFEPIME 2000 MG (AS STERILE MIXTURE OF CEFEPIME HCI AND ARGININE) + 
TAZOBACTAM 250 MG</t>
  </si>
  <si>
    <t>2000 MG + 250 MG</t>
  </si>
  <si>
    <t>AZTROHIGH 500 INJECTION</t>
  </si>
  <si>
    <t>EACH VIAL CONTAINS:
AZTREONAM USP (STERILE)
EQ. TO ANHYDROUS AZTREONAM…….500 MG
(ADDED STERILE L-ARGININE AS BUFFER)</t>
  </si>
  <si>
    <t>AZTREONAM 500 MG</t>
  </si>
  <si>
    <t>AZTROHIGH 1 G INJECTION</t>
  </si>
  <si>
    <t>EACH VIAL CONTAINS:
AZTREONAM USP (STERILE)
EQ. TO ANHYDROUS AZTREONAM…….1000 MG
(ADDED STERILE L-ARGININE AS BUFFER)</t>
  </si>
  <si>
    <t>AZTREONAM 1000 MG</t>
  </si>
  <si>
    <t>AZTROHIGH 2 G INJECTION</t>
  </si>
  <si>
    <t>EACH VIAL CONTAINS:
AZTREONAM USP (STERILE)
EQ. TO ANHYDROUS AZTREONAM…….2000 MG
(ADDED STERILE L-ARGININE AS BUFFER)</t>
  </si>
  <si>
    <t>AZTREONAM 2000 MG</t>
  </si>
  <si>
    <t>2000 MG</t>
  </si>
  <si>
    <t>1 Vial</t>
  </si>
  <si>
    <t>CEFAKIND-XP 1000 INJ</t>
  </si>
  <si>
    <t>EACH VIAL CONTAINING :
STERILE CEFTRIAXONE SODIUM IP
EQ. TO ANHYDROUS CEFTRIAXONE …. 1000 MG
STERILE TAZOBACTAM SODIUM 
EQ. TO ANHYDROUS TAZOBACTAM ……..125 MG
AND 
ONE FFS AMPOULE CONTAINING :
STERILE WATER FOR INJECTION IP ….10 ML
FOR RECONSTITUTION</t>
  </si>
  <si>
    <t>CEFTRIAXONE 1000 MG + TAZOBACTAM  125 MG</t>
  </si>
  <si>
    <t>1000 MG + 125 MG + 10 ML</t>
  </si>
  <si>
    <t>COMBIPACK</t>
  </si>
  <si>
    <t>CLINDATIME-600</t>
  </si>
  <si>
    <t>EACH ML CONTAINS:
CLINDAMYCIN PHOSPHATE IP
EQ. TO CLINDAMYCIN…..150 MG
BENZYL ALCOHOL IP…….0.945% V/V
(AS PRESERVATIVE)
WATER FOR INJECTIONS IP….Q.S.</t>
  </si>
  <si>
    <t>CLINDAMYCIN 150 MG</t>
  </si>
  <si>
    <t>150 MG + 0.945% V/V</t>
  </si>
  <si>
    <t>COLIGYL 1 INJECTION</t>
  </si>
  <si>
    <t>EACH VIAL CONTAINS:
COLISTIMETHATE SODIUM IP…….1000000 IU
(IU: INTERNATIONAL UNITS)</t>
  </si>
  <si>
    <t>COLISTIMETHATE SODIUM IP 1000000 IU</t>
  </si>
  <si>
    <t>1000000 IU</t>
  </si>
  <si>
    <t>1 MIU</t>
  </si>
  <si>
    <t>COLIGYL 2 INJECTION</t>
  </si>
  <si>
    <t>EACH VIAL CONTAINS:
COLISTIMETHATE SODIUM IP…….2000000 IU
(IU: INTERNATIONAL UNITS)</t>
  </si>
  <si>
    <t>COLISTIMETHATE SODIUM IP 2000000 IU</t>
  </si>
  <si>
    <t>2000000 IU</t>
  </si>
  <si>
    <t>2 MIU</t>
  </si>
  <si>
    <t>COLIGYL 3 INJECTION</t>
  </si>
  <si>
    <t>EACH VIAL CONTAINS:
COLISTIMETHATE SODIUM IP…….3000000 IU
(IU: INTERNATIONAL UNITS)</t>
  </si>
  <si>
    <t>COLISTIMETHATE SODIUM IP 3000000 IU</t>
  </si>
  <si>
    <t>3000000 IU</t>
  </si>
  <si>
    <t>3 MIU</t>
  </si>
  <si>
    <t>COLIGYL 4.5 INJECTION</t>
  </si>
  <si>
    <t>EACH VIAL CONTAINS:
COLISTIMETHATE SODIUM IP…….4500000 IU
(IU: INTERNATIONAL UNITS)</t>
  </si>
  <si>
    <t>COLISTIMETHATE SODIUM IP 4500000 IU</t>
  </si>
  <si>
    <t>4500000 IU</t>
  </si>
  <si>
    <t>4.5 MIU</t>
  </si>
  <si>
    <t>ENOXAWAYS-40 INJECTION</t>
  </si>
  <si>
    <t>Each prefilled syringes contains:
Enoxaparin Sodium IP….40 mg
(Porcine Derived)
Equivalent to 4000IU anti-factor Xa activity
Waterfor injection IP..q.s. to 0.4 ml</t>
  </si>
  <si>
    <t>Enoxaparin Sodium IP 40 MG</t>
  </si>
  <si>
    <t>ENOXAWAYS-60 INJECTION</t>
  </si>
  <si>
    <t>Each prefilled syringes contains:
Enoxaparin Sodium IP…..60 mg
(Porcine Derived)
Equivalent to 4000IU anti-factor Xa
activity
Waterfor injection IP..q.s. to 0.4 ml</t>
  </si>
  <si>
    <t>Enoxaparin Sodium IP 60 MG</t>
  </si>
  <si>
    <t>ERTASAVE INJECTION</t>
  </si>
  <si>
    <t>EACH VIAL CONTAINS:
ERTAPENEM SODIUM
EQ TO ERTAPENEM………..1G</t>
  </si>
  <si>
    <t>ERTAPENEM 1G</t>
  </si>
  <si>
    <t>1G</t>
  </si>
  <si>
    <t>GLOBUGOLD INFUSION</t>
  </si>
  <si>
    <t>EACH VIAL CONTAINS:
HUMAN IMMUNOGLOBULIN...50 G/LIT.
MALTOSE.....................100 G/LIT.
WATER FOR INJECTION....Q.S.</t>
  </si>
  <si>
    <t>GLUTABLISS INJECTION</t>
  </si>
  <si>
    <t>EACH VIAL CONTAINS:
GLUTATHIONE JP……..600 MG
EXCIPIENTS………………Q.S.</t>
  </si>
  <si>
    <t>GLUTATHIONE JP 600 MG</t>
  </si>
  <si>
    <t>GRANIFORCE INJ</t>
  </si>
  <si>
    <t>EACH ML CONTAINS :
GRANISETRON HYDROCHLORIDE USP
EQUIVALENT TO GRANISETRON ……… 1 MG
WATER FOR INJECTION I.P. ……..Q.S.</t>
  </si>
  <si>
    <t>GRANISETRON 1 MG</t>
  </si>
  <si>
    <t>GUDCEF AV INJ</t>
  </si>
  <si>
    <t>Each vial contains:
Ceftazidime Pentahydrate equivalent to Ceftazidime2.0 gm
Avibactam Sodium equivalent to Avibactam.0.5 gm
Excipientsq.s.</t>
  </si>
  <si>
    <t>Ceftazidime2.0 gm
Avibactam Sodium .0.5 gm</t>
  </si>
  <si>
    <t>2 GM + 0.5 GM</t>
  </si>
  <si>
    <t>2.5 GM</t>
  </si>
  <si>
    <t>MAHACEF SB-1.5 INJ.</t>
  </si>
  <si>
    <t>EACH  VIAL CONTAINING :
CEFTRIAXONE SODIUM IP (STERILE)
EQ. TO ANHYDROUS CEFTRIAXONE ....1000 MG
SULBACTAM SODIUM USP (STERILE)
EQ. TO ANHYDROUS SULBACTAM ………500 MG
AND 
ONE FFS AMPOULE CONTAINING 
STERILE WATER FOR INJECTION IP … 10 ML</t>
  </si>
  <si>
    <t>CEFTRIAXONE  1000 MG + SULBACTAM SODIUM USP (STERILE)
EQ. TO ANHYDROUS SULBACTAM 500 MG</t>
  </si>
  <si>
    <t>1000 MG + 500 MG + 10 ML</t>
  </si>
  <si>
    <t>1.5 GM</t>
  </si>
  <si>
    <t>MEROHUGE-500 MG INJECTION</t>
  </si>
  <si>
    <t>EACH VIAL CONTAINS:
MEROPENEM IP (STERILE)
EQUIVALENT TO ANHYDROUS MEROPENEM….500 MG
SODIUM CARBONATE IP (STERILE)
EQUIVALENT TO SODIUM………..45.1 MG
(AS BUFFER)</t>
  </si>
  <si>
    <t>MEROPENEM 500 MG + SODIUM CARBONATE IP (STERILE)
EQUIVALENT TO SODIUM 45.1 MG (AS BUFFER)</t>
  </si>
  <si>
    <t>500 MG + 45.1 MG</t>
  </si>
  <si>
    <t>MEROHUGE-1GM INJECTION</t>
  </si>
  <si>
    <t>EACH VIAL CONTAINS:
MEROPENEM IP (STERILE)
EQUIVALENT TO ANHYDROUS MEROPENEM….1000 MG
SODIUM CARBONATE IP (STERILE)
EQUIVALENT TO SODIUM………..90.2 MG
(AS BUFFER)</t>
  </si>
  <si>
    <t>MEROPENEM 1000 MG + SODIUM CARBONATE IP (STERILE)
EQUIVALENT TO SODIUM 90.2 MG (AS BUFFER)</t>
  </si>
  <si>
    <t>1000 MG + 90.2 MG</t>
  </si>
  <si>
    <t>MEROHUGE-SB INJECTION</t>
  </si>
  <si>
    <t>EACH VIAL CONTAINS:
MEROPENEM IP (STERILE)
EQUIVALENT TO ANHYDROUS MEROPENEM….1000 MG
SODIUM CARBONATE IP (STERILE)
EQUIVALENT TO SODIUM………..90.2 MG
(AS BUFFER)
SULBACTAM SODIUM IP (STERILE)
EQ TO ANHYDROUS SULBACTAM 500 MG</t>
  </si>
  <si>
    <t>MEROPENEM 1000 MG + 
SODIUM CARBONATE IP (STERILE) EQUIVALENT TO SODIUM 90.2 MG (AS BUFFER) + 
SULBACTAM SODIUM IP (STERILE) EQ TO ANHYDROUS SULBACTAM 500 MG</t>
  </si>
  <si>
    <t>1000 MG + 90.2 MG + 500 MG</t>
  </si>
  <si>
    <t>MIKASTAR-100 INJ</t>
  </si>
  <si>
    <t>EACH 2 ML CONTAINS :
AMIKACIN SULPHATE I.P.
EQUIVALENT TO AMIKACIN ….. 100 MG
METHYL PARABEN I.P. …… 0.08% W/V
PROPYL PARABEN I.P. ……….0.02% W/V
(AS PRESERVATIVE)
WATER FOR INJECTION I.P. ……….Q.S.</t>
  </si>
  <si>
    <t>AMIKACIN 100 MG</t>
  </si>
  <si>
    <t>100 MG + 0.08% W/V + 0.02% W/V / 2ML</t>
  </si>
  <si>
    <t>MIKASTAR-250 INJ</t>
  </si>
  <si>
    <t>EACH 2 ML CONTAINS :
AMIKACIN SULPHATE I.P.
EQUIVALENT TO AMIKACIN ….. 250 MG
METHYL PARABEN I.P. …… 0.08% W/V
PROPYL PARABEN I.P. ……….0.02% W/V
(AS PRESERVATIVE)
WATER FOR INJECTION I.P. ……….Q.S.</t>
  </si>
  <si>
    <t>AMIKACIN 250 MG</t>
  </si>
  <si>
    <t>250 MG + 0.08% W/V + 0.02% W/V / 2ML</t>
  </si>
  <si>
    <t>MIKASTAR-500 INJ</t>
  </si>
  <si>
    <t>EACH 2 ML CONTAINS :
AMIKACIN SULPHATE I.P.
EQUIVALENT TO AMIKACIN ….. 500 MG
METHYL PARABEN I.P. …… 0.04% W/V
PROPYL PARABEN I.P. ……….0.01% W/V
(AS PRESERVATIVE)
WATER FOR INJECTION I.P. ……….Q.S.</t>
  </si>
  <si>
    <t>AMIKACIN 500 MG</t>
  </si>
  <si>
    <t>500 MG + 0.04% W/V + 0.01% W/V / 2ML</t>
  </si>
  <si>
    <t>MOXIKIND CV I.V.</t>
  </si>
  <si>
    <t>EACH VIAL CONTAINS:
AMOXYCILLIN SODIUM IP (STERILE)
EQ. TO ANHYDROUS 
AMOXYCILLIN……….1000 MG
POTASSIUM CLAVULANATE IP (STERILE)
EQ. TO CLAVULANIC ACID…….200 MG</t>
  </si>
  <si>
    <t>AMOXYCILLIN 1000 MG + 
POTASSIUM CLAVULANATE IP (STERILE) EQ. TO CLAVULANIC ACID 200 MG</t>
  </si>
  <si>
    <t>1000 MG + 200 MG</t>
  </si>
  <si>
    <t>1.2 GM</t>
  </si>
  <si>
    <t>PACEMERO-XP INJECTION</t>
  </si>
  <si>
    <t xml:space="preserve">EACH VIAL CONTAINS:
MEROPENEM IP (STERILE) 
EQ TO ANHYDROUS MEROPENEM……1000 MG
SODIUM CARBONATE IP (STERILE)
EQ. TO SODIUM…………………………..90.2 MG
(AS BUFFER)
SULBACTAM SODIUM IP (STERILE)
EQ. TO ANHYDROUS SULBACTAM……..500 MG 
</t>
  </si>
  <si>
    <t xml:space="preserve">MEROPENEM IP (STERILE)  EQ TO ANHYDROUS MEROPENEM 1000 MG + 
SODIUM CARBONATE IP (STERILE) EQ. TO SODIUM 90.2 MG
(AS BUFFER) + 
SULBACTAM SODIUM IP (STERILE) EQ. TO ANHYDROUS SULBACTAM 500 MG </t>
  </si>
  <si>
    <t>PIZOWAVE-2.25 G INJECTION</t>
  </si>
  <si>
    <t>PIPERACILLINE SODIUM IP (STERILE) EQ. TO ANHYDROUS
PIPERACILLINE 2000 MG + 
TAZOBACTAM SODIUM IP (STERILE) EQ. TO TAZOBACTAM 250 MG</t>
  </si>
  <si>
    <t>PIZOWAVE-4.5 G INJECTION</t>
  </si>
  <si>
    <t>PIPERACILLINE SODIUM IP (STERILE) EQ. TO ANHYDROUS
PIPERACILLINE 4000 MG + 
TAZOBACTAM SODIUM IP (STERILE) EQ. TO TAZOBACTAM 500 MG</t>
  </si>
  <si>
    <t>4000 MG + 500 MG</t>
  </si>
  <si>
    <t>POLIZKTA 5 INJ.</t>
  </si>
  <si>
    <t xml:space="preserve">EACH VIAL CONTAINS:
POLYMYXIN B SULPHATE IP EQ. TO POLYMYXIN B……….500000 UNITS
</t>
  </si>
  <si>
    <t>POLYMYXIN B 500000 UNITS</t>
  </si>
  <si>
    <t>500000 UNITS</t>
  </si>
  <si>
    <t>POLIZKTA 7.5 INJ.</t>
  </si>
  <si>
    <t xml:space="preserve">EACH VIAL CONTAINS:
POLYMYXIN B SULPHATE IP EQ. TO POLYMYXIN B……….750000 UNITS
</t>
  </si>
  <si>
    <t>POLYMYXIN B 750000 UNITS</t>
  </si>
  <si>
    <t>750000 UNITS</t>
  </si>
  <si>
    <t>SULBAGREAT-1 G INJECTION</t>
  </si>
  <si>
    <t>EACH VIAL CONTAINS:
CEFOPERAZONE SODIUM IP (STERILE)
EQ. TO CEFOPERAZONE ……..500 MG
SULBACTAM SODIUM IP (STERILE)
EQ. TO SULBACTAM…………….500 MG</t>
  </si>
  <si>
    <t>CEFOPERAZONE SODIUM IP (STERILE) EQ. TO CEFOPERAZONE 500 MG + 
SULBACTAM SODIUM IP (STERILE) EQ. TO SULBACTAM 500 MG</t>
  </si>
  <si>
    <t>500 MG + 500 MG</t>
  </si>
  <si>
    <t>SULBAGREAT-1.5 G INJECTION</t>
  </si>
  <si>
    <t>EACH VIAL CONTAINS:
CEFOPERAZONE SODIUM IP (STERILE)
EQ. TO CEFOPERAZONE ……..1000 MG
SULBACTAM SODIUM IP (STERILE)
EQ. TO SULBACTAM…………….500 MG</t>
  </si>
  <si>
    <t>CEFOPERAZONE SODIUM IP (STERILE) EQ. TO CEFOPERAZONE 1000 MG + 
SULBACTAM SODIUM IP (STERILE) EQ. TO SULBACTAM 500 MG</t>
  </si>
  <si>
    <t>1000 MG + 500 MG</t>
  </si>
  <si>
    <t>SULBAGREAT-2 G INJECTION</t>
  </si>
  <si>
    <t>EACH VIAL CONTAINS:
CEFOPERAZONE SODIUM IP (STERILE)
EQ. TO CEFOPERAZONE ……..1000 MG
SULBACTAM SODIUM IP (STERILE)
EQ. TO SULBACTAM…………….1000 MG</t>
  </si>
  <si>
    <t>CEFOPERAZONE SODIUM IP (STERILE) EQ. TO CEFOPERAZONE 1000 MG + 
SULBACTAM SODIUM IP (STERILE) EQ. TO SULBACTAM 1000 MG</t>
  </si>
  <si>
    <t>1000 MG + 1000 MG</t>
  </si>
  <si>
    <t>SULBAGREAT-3 G INJECTION</t>
  </si>
  <si>
    <t>EACH VIAL CONTAINS:
CEFOPERAZONE SODIUM IP (STERILE)
EQ. TO CEFOPERAZONE ……..2 G
SULBACTAM SODIUM IP (STERILE)
EQ. TO SULBACTAM…………….1 G</t>
  </si>
  <si>
    <t>CEFOPERAZONE SODIUM IP (STERILE) EQ. TO CEFOPERAZONE 2 G + 
SULBACTAM SODIUM IP (STERILE) EQ. TO SULBACTAM 1 G</t>
  </si>
  <si>
    <t>2 G + 1 G</t>
  </si>
  <si>
    <t>T-98 INFUSION</t>
  </si>
  <si>
    <t>EACH 100 ML CONTAINS:
PARACETAMOL IP……1000 MG
WATER FOR INJECTIONS IP….Q.S.</t>
  </si>
  <si>
    <t>PARACETAMOL IP 1000 MG</t>
  </si>
  <si>
    <t>TIGECROSS INJECTION</t>
  </si>
  <si>
    <t>EACH VIAL CONTAINS:
TIGECYCLINE USP…………..50 MG
EXCIPIENTS…………………..Q.S.</t>
  </si>
  <si>
    <t>TIGECYCLINE USP 50 MG</t>
  </si>
  <si>
    <t>VALCYCLIN-100 INJECTION</t>
  </si>
  <si>
    <t>Each vial contains:
Minocycline Hydrochloride USP
Equivalent to Minocycline.100mg
(As sterile free-dried powder forreconstitution)</t>
  </si>
  <si>
    <t>Minocycline 100 MG</t>
  </si>
  <si>
    <t>VENBRUTA-500 INJECTION</t>
  </si>
  <si>
    <t>EACH VIAL CONTAINS:
VANCOMYCIN HYDROCHLORIDE IP (STERILE)
EQ. TO VANCOMYCIN………500 MG</t>
  </si>
  <si>
    <t>VANCOMYCIN 500 MG</t>
  </si>
  <si>
    <t>ZORAFIBAN INJECTION</t>
  </si>
  <si>
    <t>EACH 100 ML CONTAINS:
TIROFIBAN HYDROCHLORIDE EQ. TO TIROFIBAN……………...…5 MG
SODIUM CHLORIDE IP…..0.9% W/V
WATER FOR INJECTION IP…Q.S.</t>
  </si>
  <si>
    <t>TIROFIBAN 5 MG + SODIUM CHLORIDE IP 0.9% W/V</t>
  </si>
  <si>
    <t>5 MG + 0.9% W/V</t>
  </si>
  <si>
    <t>5 MG/100 ML</t>
  </si>
  <si>
    <t>Saviour Mankind (A Division of Mankind Life Sciences Pvt. Ltd.)</t>
  </si>
  <si>
    <t>M/s Pace Biotech Vill, Surajpur, NahanRoad, Paonta Sahib, 
Dist. Sirmour-173025 (H.P.) &amp; M/s Nixi Laboratories Pvt. Ltd.
Vill. Mouza Ogli, Sadhaura Road, Kala-Amb, 
Distt. Sirmour-173030 (H.P.)</t>
  </si>
  <si>
    <t>M/s Pace Biotech Vill, Surajpur, NahanRoad, Paonta Sahib, 
Dist. Sirmour-173025 (H.P.)</t>
  </si>
  <si>
    <t>M/s Shamshree Lifesciences Ltd. Plot No. 11, Industrial Area, Katha-Bhatolikalan Baddi-173205</t>
  </si>
  <si>
    <t>M/s Akums Drugs &amp; Pharmaceuticals Ltd., Plot No - 2,3,4&amp;5, Sector-6B, I.I.E., SIDCUL, Ranipur, Haridwar-249403 Unit-III &amp; M/s Nixi Laboratories Pvt. Ltd.
Vill. Mouza Ogli, Sadhaura Road, Kala-Amb, 
Distt. Sirmour-173030 (H.P.)</t>
  </si>
  <si>
    <t>M/s BDR PHARMACEUTICALS INTERNATIONAL PVT. LTD. At: Plot No. 16, 
Pharmacity, Selaqui, Dehradun, Uttarakhand-248011 &amp; M/s Nixi Laboratories Pvt. Ltd.
Vill. Mouza Ogli, Sadhaura Road, Kala-Amb, 
Distt. Sirmour-173030 (H.P.)</t>
  </si>
  <si>
    <t>M/s Nixi Laboratories Pvt. Ltd.
Vill. Mouza Ogli, Sadhaura Road, Kala-Amb, 
Distt. Sirmour-173030 (H.P.)</t>
  </si>
  <si>
    <t>M/s Gufic Biosciences Limited Unit-2: Survey No. 171, 
N.H. No. 8, Near Grid, Kabilpore-396424, Navsari, Gujrat</t>
  </si>
  <si>
    <t>M/s BDR Pharmaceuticals Intl. Pvt Ltd., At: Plot No. 2, Industrial Area, Lodhimajra, Baddi Distt Solan Himachal Pradesh - 173205 &amp; M/s Gufic Biosciences Limited Unit-2: Survey No. 171, 
N.H. No. 8, Near Grid, Kabilpore-396424, Navsari, Gujrat</t>
  </si>
  <si>
    <t>M/s BDR Pharmaceuticals Int. Pvt. Ltd
At: Plot No. 130, Silvasa Road, G.I.D.C., Vapi-396195,
Dist. Valsad, Gujrat, India.</t>
  </si>
  <si>
    <t>M/s Nitin Lifesciences Ltd., Unit-III, Rampurghat Road, Paonta Sahib, Distt.Sirmour (HP)-173025 (H.P.)</t>
  </si>
  <si>
    <t>M/s Nitin Lifesciences Ltd., Rampur Road, Paonta Sahib, Distt.Sirmour (HP)-173025 &amp; M/s Nitin Lifesciences Ltd., Unit-III, Rampurghat Road, Paonta Sahib, Distt.Sirmour (HP)-173025 (H.P.)</t>
  </si>
  <si>
    <t>M/s Inject Care Parenterals Pvt. Ltd.
Plot No. 130, Silvassa Road, G.I.D.C., Vapi-396195, Gujrat &amp; M/s AQUA VITOE LABORATORIES 
Plot No-4, Vill. Kunjhal, Jharmajri, Baddi, Distt. Solan-173205 (H.P.)</t>
  </si>
  <si>
    <t>M/s Inject Care Parenterals Pvt. Ltd.
Plot No. 130, Silvassa Road, G.I.D.C., Vapi-396195, Gujrat &amp; M/s Nitin Lifesciences Ltd. 92-93, Sector-3, H.S.I.D.C.,  Industrial Area, Karnal-132001</t>
  </si>
  <si>
    <t>M/s AQUA VITOE LABORATORIES 
Plot No-4, Vill. Kunjhal, Jharmajri, Baddi, Distt. Solan-173205 (H.P.) &amp; M/s Inject Care Parenterals Pvt. Ltd.
Plot No. 130, Silvassa Road, G.I.D.C., Vapi-396195, Gujrat &amp; M/s Nitin Lifesciences Ltd., 92-93, Sec-3, HSIDC, Industrial Area, Karnal-132001</t>
  </si>
  <si>
    <t>M/s Lifespan Biotech Pvt. Ltd.
36, New Industrial Area-II, Mandideep, District-Raisen-462046 (M.P.)
Under Technical Collaboration with G.C. Chemie Pharmie Ltd.</t>
  </si>
  <si>
    <t>Parentral Nutrition</t>
  </si>
  <si>
    <t>EMPAGREAT-TRIO 25/1000</t>
  </si>
  <si>
    <t>HAIRBLESS HAIR GROWTH SERUM</t>
  </si>
  <si>
    <t>GLIZID-D XR 60 TABLETS</t>
  </si>
  <si>
    <t xml:space="preserve">MANKIND'S HEALTHOK-D VANILLA </t>
  </si>
  <si>
    <t>CARNI-Q 300 CAPSULES</t>
  </si>
  <si>
    <t>CARNI-Q TABLETS</t>
  </si>
  <si>
    <t>CCQ-25 KIT</t>
  </si>
  <si>
    <t>CHROMINAC-A TABLETS</t>
  </si>
  <si>
    <t>COATZ SUSPENSION (200 ML)</t>
  </si>
  <si>
    <t>COATZ-AF SUSPENSION (200 ML)</t>
  </si>
  <si>
    <t>DOXEBET-JR OD TABLETS</t>
  </si>
  <si>
    <t>DOXEBET-JR TABLETS</t>
  </si>
  <si>
    <t>ELCARIM ELIXIR (110 ML)</t>
  </si>
  <si>
    <t>EPIDOSIN INJECTION</t>
  </si>
  <si>
    <t>EPIDOSIN TABLETS</t>
  </si>
  <si>
    <t>EVAFACT TABLETS</t>
  </si>
  <si>
    <t>EVASERVE TABLETS</t>
  </si>
  <si>
    <t>HEMOJECT INJECTION (1G/20ML)</t>
  </si>
  <si>
    <t>HEMOJECT INJECTION (500MG/10ML)</t>
  </si>
  <si>
    <t>HEMOJECT-XT TABLETS</t>
  </si>
  <si>
    <t>LACTARE CAPSULES (30S)</t>
  </si>
  <si>
    <t>LACTARE GRANULES (KESAR BADAM)</t>
  </si>
  <si>
    <t>LACTARE GRANULES (VANILLA FLAVOUR)</t>
  </si>
  <si>
    <t>LACTARE GRANULES (CHOCOLATE)</t>
  </si>
  <si>
    <t>LACTARE GRANULES (ELAICHI)</t>
  </si>
  <si>
    <t>LACTARE-PLUS CAPSULES</t>
  </si>
  <si>
    <t>LUKURE TABLETS (30S)</t>
  </si>
  <si>
    <t>LYCO-Q 100 CAPSULES</t>
  </si>
  <si>
    <t>MIFIACT-10 TABLETS</t>
  </si>
  <si>
    <t>MIFIACT-25 TABLETS</t>
  </si>
  <si>
    <t>MIPROGEN 100 MG CAPSULES</t>
  </si>
  <si>
    <t>MIPROGEN 200 MG CAPSULES</t>
  </si>
  <si>
    <t>MIPROGEN-SR 200MG TABLETS</t>
  </si>
  <si>
    <t>MIPROGEN-SR 300MG TABLETS</t>
  </si>
  <si>
    <t>MYOCYST SACHET</t>
  </si>
  <si>
    <t>MYOCYST-M TABLETS</t>
  </si>
  <si>
    <t>NORMONAL-CR TABLETS</t>
  </si>
  <si>
    <t>NUTRICELL CAPSULES</t>
  </si>
  <si>
    <t>OFORD-LB TABLETS</t>
  </si>
  <si>
    <t>ORICITRAL SYRUP</t>
  </si>
  <si>
    <t>OSSOPAN-250 TABLETS</t>
  </si>
  <si>
    <t>OSSOPAN-500 TABLETS</t>
  </si>
  <si>
    <t>OSSOPAN-D 1000 TABLETS</t>
  </si>
  <si>
    <t>OSSOPAN-MCM TABLETS</t>
  </si>
  <si>
    <t>OSSOPAN-XT TABLETS</t>
  </si>
  <si>
    <t>PCO-360 TABLETS</t>
  </si>
  <si>
    <t>PRIMIWAL-E2 TABLETS</t>
  </si>
  <si>
    <t>PRIMIWAL-E4 TABLETS</t>
  </si>
  <si>
    <t>PRIMIWAL-S TABLETS</t>
  </si>
  <si>
    <t>SERUTAN TABLETS</t>
  </si>
  <si>
    <t>TEFROLIV-FORTE SYRUP</t>
  </si>
  <si>
    <t>TEFROLIV-FORTE TABLETS</t>
  </si>
  <si>
    <t>UROFIT SYRUP (100ML)</t>
  </si>
  <si>
    <t>UROFIT-UTI SUSPENSION</t>
  </si>
  <si>
    <t>UTRONORM SUSPENSION (200 ML)</t>
  </si>
  <si>
    <t>ZILARGYN SACHET (10 GM)</t>
  </si>
  <si>
    <t>ZILARGYN-Z5 SACHET (5GM) (ORANGE)</t>
  </si>
  <si>
    <t>Each 5ml Contains:
Sodium Alginate IP…………..250mg
Sodium Bicarbonate IP…….133.5 MG
Calcium Carbonate IP……….80 mg
Flavoured Base..q.s.</t>
  </si>
  <si>
    <t>Each film coated bilayered tablet contains:
Empagliflozin…...25 mg
Sitagliptin Phosphate Monohydrate
IPequivalentto
Sitagliptin…...100mg
Metformin Hydrochloride IP
(As extended release)…...1000 mg
Excipients..q.s.</t>
  </si>
  <si>
    <t>Empagliflozin 25 MG
Sitagliptin 100 MG
Metformin Hydrochloride 1000 MG</t>
  </si>
  <si>
    <t>Composition:
Redensyl, Procapil, Anagain, Liposome Caffeine, Ginger extract, Green tea extract, Propylene Glycol, Transcutol-P,
Lactic acid, Hydrogenated Castor oil, Sodium Sulphitde, Benzoic Acid, Aqua</t>
  </si>
  <si>
    <t>Each film coated bilayered tablet contains:
Dapagliflozin Propanediol Monohydrate
Equivalent to Dapagliflozin…...10mg
GliclazideIP…….60 mg
(As Sustained Release)
Excipients..q.s.</t>
  </si>
  <si>
    <t>Dapagliflozin 10 MG + Gliclazide 60 MG</t>
  </si>
  <si>
    <t>10 mg + 60 MG</t>
  </si>
  <si>
    <t>Each serving per 30gm contains: (approx.)
Vitamins
Vitamin A.150.00 mcg
Vitamin D32.25 mcg
VitaminE1.50 mg
Vitamin K28.25 mcg
Vitamin B1.0.21 mg
Vitamin B2.0.30mg
Niacin.2.10 mg
Vitamin B60.29 mg
Folic Acid..28.50 mcg
Pantothenic Acid..0.75mg
Biotin..6.00 mcg
Vitamin B12...0.33 mcg
Vitamin C.12.00mg
Minerals
Calcium..150.00 mg
Phosphorus150.00 mg
Magnesium..66.00mg
Potassium.148.50 mg
Iron.4.50 mg
Zinc2.55 mg
Manganese..0.60mg
Copper.0.30 mg
Iodine..21.00 mcg
Selenium.12.00 mcg
Chromium9.00mcg
Molybdenum13.50 mcg
Amino Acid
Taurine..15.00 mg
L-Carnitine.15.00mg
Others
Lactobacillus acidophilus (MBLAM3)0.10 Billion CFU
Bifidobacterium lactis (MB BALM27).0.10 Billion CFU</t>
  </si>
  <si>
    <t xml:space="preserve">Each film coated tablet contains:
Ubidecarenone USP (Co-enzyme Q10)..300 mg
Excipients..............q.s. </t>
  </si>
  <si>
    <t>10 CAPS</t>
  </si>
  <si>
    <t>Each film-coated tablet contains:
L-Carnitine (as L-Carnitine L-Tartrate)….500 mg
Ubiquinone BP (Co-enzyme Q-10)…..50mg
ElementalZinc (as Zinc Ascorbate)…..5 mg
5% Lycopene…...(2500 mcg)
1% Astaxanthin…...(8 mg)
Excepients…..QS</t>
  </si>
  <si>
    <t>10 TABS</t>
  </si>
  <si>
    <t>Each combi kit contains:
A). Clomifene Citrate Tablets IP
Each film coated tablet contains:
Clomifene Citrate IP.25
mg
Excipients.q.s.
Colour: Titanium Dioxide IP
B). Antioxidants, Multivitamin, Amino Acid and Minerals Tablets
Each film
coated tablet contains:
Ubidecarenone BP60 mg
Zinc Sulphate Monohydrate IP66 mg
Folic Acid IP5
mg
Methylcobalamin IP..1500 mcg
Pyridoxine Hydrochloride IP1.5 mg
Lycopene 6% USP4 mg
Selenium......200mcg
(As Sodium Selenite Pentahydrate BP)
Levocarnitine L-Tartrate USP.50 mg
Excipients...q.s.
Colours: Ferric Oxide
USP-NF (Red), Ferric Oxide USP-NF (Yellow),
Titanium Dioxide IP, Lake Brillant Blue</t>
  </si>
  <si>
    <t>55 TABS</t>
  </si>
  <si>
    <t>Each film coated tablet contains:
Chromium picolinate USP….500 mcg
N-Acetyl-L-Cysteine USP…..600 mg
Biotin USP….1.0mg
Alfacalcidol IP….0.5 mcg
Excipients….q.s.</t>
  </si>
  <si>
    <t>Each 5 ml contains: 
Sucralfate IP.............500 mg</t>
  </si>
  <si>
    <t>Each 5ml contains:
Sucralfate IP……..500mg
Oxetacaine BP…..10mg
Simethicone IP…….125mg</t>
  </si>
  <si>
    <t>Each Gastro-Resistant tablet contains:
Doxylamine Succinate USP….20 mg
Pyridoxal 5 Phosphate…..20 mg
Excipients: q.s.</t>
  </si>
  <si>
    <t>30 TABS</t>
  </si>
  <si>
    <t>Each Gastro-Resistant tablet contains:
Doxylamine Succinate….10 mg
Pyridoxal 5-Phosphate….10 mg</t>
  </si>
  <si>
    <t>Each 5 ml contains
Total water soluble extracts derived from:
Phyllanthus emblica (Fruits)….160 mg
Zingiber officinale (Rhizomes)…..7.5 mg
Embelia ribes (Fruits)…..15 mg
Acorus calamus (Rhizomes)…..5 mg
Terminalia chebula (Seeds)…..80 mg</t>
  </si>
  <si>
    <t>Each ml contains:
Valethamate Bromide.................8 mg
Sodium Chloride I.P....................8 mg
Water for Injection I.P. .....................q.s.</t>
  </si>
  <si>
    <t>Each sugar coated tablet contains:
Valethamate Bromide….10 mg
Excipients….q.s.
Colour: Titanium Dioxide IP</t>
  </si>
  <si>
    <t>Each film coated tablet contains:
Dienogest IP............2 mg
Excipients……………………….q.s.</t>
  </si>
  <si>
    <t>Each film coated tablet contains:
Dehydroepiandrosterone (Micronized)….75 mg
Folic Acid IP….4.5 mg
Vitamin D₃ (Stabilized)
(ascholecalciferol 300 IU)….7.5 mcg</t>
  </si>
  <si>
    <t>Each ml contains:
Ferric Carboxymaltose
Equivalent to elemental iron...........................50mg
Water for injection I.P...........q.s</t>
  </si>
  <si>
    <t>Each ml contains:
Ferric Carboxymaltose
Equivalent to elemental iron...........................50mg
Water for injection I.P...............q.s</t>
  </si>
  <si>
    <t>Each film coated tablet contains:
Ferrous Ascorbate IP
Eq. to elemental Iron………….100 mg
Folic Acid IP……………..1.5 mg
Excipients………………..q.s.</t>
  </si>
  <si>
    <t>Each hard gelatin capsule contains:
Asparagus racemosus (Roots)….200 mg
Withania somnifera (Roots)….100 mg
Trigonella foenumgraecum (Seeds)….50 mg
Glycyrrhiza glabra (Roots)….50 mg
Allium sativum (Bulb)…..20 mg
Excipients….q.s.</t>
  </si>
  <si>
    <t>30 CAPS</t>
  </si>
  <si>
    <t>Each g contains: 
Shatavari (Asparagus racemosus) Rt. Aq. Ext ..............................37.5 mg 
Gokhru (Tribulus terrestris) Fr. Hyd. Al. Ext. ............................... 2.0 mg 
Vidaaree Kanda (Ipomoea digitata) Rt. Hyd. Al. Ext. .................1.0mg 
Yashtimadhu (Glycyrrhiza glabra) Rt. Aq. Ext. .............2.0mg 
Chandrasura (Lepidium sativum) Sd. Hyd. Al. Ext...........1.0mg 
Jeeraka (Cuminum cyminum) Fr. Hyd. Al Ext............1.0mg 
Sowa (Anethum sowa) Fr. Aq. Ext. .....1.25mg 
Nagarmotha (Cyperus rotundus) Rz. Hyd. Al. Ext...........2.0mg 
Excipients.....................q.s</t>
  </si>
  <si>
    <t>250 GM</t>
  </si>
  <si>
    <t>Each g contains: 
Shatavari (Asparagus racemosus) Rt. Aq. Ext ..............................37.5 mg 
Gokhru (Tribulus terrestris) Fr. Hyd. Al. Ext. ............................... 2.0 mg 
Vidaaree Kanda (Ipomoea digitata) Rt. Hyd. Al. Ext. .................1.0mg 
Yashtimadhu (Glycyrrhiza glabra) Rt. Aq. Ext. ........2.0mg 
Chandrasura (Lepidium sativum) Sd. Hyd. Al. Ext. .......1.0mg 
Jeeraka (Cuminum cyminum) Fr. Hyd. Al Ext. ............1.0mg 
Sowa (Anethum sowa) Fr. Aq. Ext. ............1.25mg 
Nagarmotha (Cyperus rotundus) Rz. Hyd. Al. Ext........2.0mg 
Excipients..............q.s</t>
  </si>
  <si>
    <t xml:space="preserve">Each g contains: 
Shatavari (Asparagus racemosus) Rt. Aq. Ext ..............................37.5 mg 
Gokhru (Tribulus terrestris) Fr. Hyd. Al. Ext. ............................... 2.0 mg 
Vidaaree Kanda (Ipomoea digitata) Rt. Hyd. Al. Ext. .......1.0mg 
Yashtimadhu (Glycyrrhiza glabra) Rt. Aq. Ext. ......2.0mg 
Chandrasura (Lepidium sativum) Sd. Hyd. Al. Ext. ......1.0mg 
Jeeraka (Cuminum cyminum) Fr. Hyd. Al Ext. ..........1.0mg 
Sowa (Anethum sowa) Fr. Aq. Ext. ..............1.25mg 
Nagarmotha (Cyperus rotundus) Rz. Hyd. Al. Ext...........2.0mg 
Excipients...............q.s
</t>
  </si>
  <si>
    <t>Each g contains: 
Shatavari (Asparagus racemosus) Rt. Aq. Ext ..............................37.5 mg 
Gokhru (Tribulus terrestris) Fr. Hyd. Al. Ext. ............................... 2.0 mg 
Vidaaree Kanda (Ipomoea digitata) Rt. Hyd. Al. Ext. .................1.0mg 
Yashtimadhu (Glycyrrhiza glabra) Rt. Aq. Ext. ...................2.0mg 
Chandrasura (Lepidium sativum) Sd. Hyd. Al. Ext. ..............1.0mg 
Jeeraka (Cuminum cyminum) Fr. Hyd. Al Ext. ..................1.0mg 
Sowa (Anethum sowa) Fr. Aq. Ext. .................1.25mg 
Nagarmotha (Cyperus rotundus) Rz. Hyd. Al. Ext.................2.0mg 
Excipients...........................q.s</t>
  </si>
  <si>
    <t>Each hard gelatin capsule contains:
Asparagus racemosus (Roots)……...200 mg
Withania somnifera (Roots)……….100 mg
Trigonella foenum graecum (Seeds)…….50 mg
Glycyrrhiza glabra (Roots)…….......50 mg
Allium sativum (Bulb)..........20 mg
Excipients.........q.s.</t>
  </si>
  <si>
    <t>Each film coated tablet contains:
Extracts derived from:
Saraca indica (Barks)......500 mg
Asparagus racemosus (Roots)......300mg
Cucurbita maxima (Fruits)......300 mg
Asteracantha longifolia (Wholeplant)....150 mg
Mucuna pruriens (Seeds).....150mg
Daemia extensa(Leaves)....100 mg
Commiphora mukul (Gum).....100 mg</t>
  </si>
  <si>
    <t>Each soft gelatin capsule contains:
Lycopene USP.............5000 mcg
Ubidecarenone USP (Coenzyme Q10)............100 mg
Zinc Sulphate Monohydrate IP............62.5 mg
Selenium (as Selenium Dioxide Monohydrate USP)................100 mcg
Folic Acid IP..................1.5 mg
L-Arginine IP..................100 mg
Excipients....................q.s.</t>
  </si>
  <si>
    <t>Each uncoated tablet contains:
Mifepristone IP…...10 mg</t>
  </si>
  <si>
    <t>Each uncoated tablet contains:
Mifepristone IP…….25 mg</t>
  </si>
  <si>
    <t>Each soft gelatin capsule contains:
Progesterone I.P…………100 mg
(Micronised)
Approved colour used in capsule shell
Colour: Titanium Dioxide</t>
  </si>
  <si>
    <t>Each soft gelatin capsule contains:
Progesterone I.P…………200 mg
(Micronised)
Approved colour used in capsule shell
Colour: Titanium Dioxide</t>
  </si>
  <si>
    <t>Each film coated sustained release tablet contains:
Progesterone IP (Natural Micronized)…. 200 mg
Excipients…………. q.s.</t>
  </si>
  <si>
    <t>Each film coated sustained release tablet contains:
Progesterone IP (Natural Micronized).............300 mg
Excipients...........q.s
Colour: Titanium Dioxide IP</t>
  </si>
  <si>
    <t>Each serving of 3 g contains
Myo inositol................2.0 g
Folic Acid................100 mcg
Vitamin D2......................400 IU</t>
  </si>
  <si>
    <t xml:space="preserve">Each film coated bilayered tablet contains:
Myo-Inositol IP ………..600 mg
Metformin Hydrochloride IP (as sustained release)……... 500 mg
Excipients ……………..q.s. </t>
  </si>
  <si>
    <t>Each film coated controlled release tablet contains:
Norethindrone Acetate USP ....... 10 mg</t>
  </si>
  <si>
    <t>Each soft gelatin capsule contains:
Omega-3 Marine Triglycerides BP Providing Eicosapentaenoic Acid........... 90 mg
Docosahexaenoic Acid............................................ 60 mg
Alfacalcidol IP..................................................... 0.25 mcg
L-Arginine IP ..................................................500 mg
Vitamin B, IP ...........................................1.5 mg
Vitamin B, IP ................................................2.5 mcg
Folic Acid IP ........500 mcg
Refined Wheat Germ Oil BP providing d-Alpha Tocopherol .............75 IU
Zinc Gluconate USP eq. to Elemental Zinc.......................... 7.5 mg
Sodium Selenite Pentahydrate BP eq. to Elemental Selenium........... 100 mcg
Ubidecarenone USP (Coenzyme Q10)....30 mg
Levocarnitine IP ..............50 mg
Lycopene Preparation USP 10% ............2.5 mg
Piperine .............2.5 mg</t>
  </si>
  <si>
    <t>Each film coated tablet contains:
Ofloxacin IP..................200 mg
Ornidazole IP.............500 mg
Lactic Acid Bacillus..............2.5 Billion Spores
Colours: Erythrosine &amp; Titanium Dioxide IP</t>
  </si>
  <si>
    <t>Each 5ml Contains:
Disodium Hydrogen Citrate BP……………1.38gms</t>
  </si>
  <si>
    <t>Each film coated tablet contains:
Calcium Carbonate from an organic source (Oyster shell)
eq. to Elemental Calcium.............250 mg
Vitamin D3 IP................125IU</t>
  </si>
  <si>
    <t>15 TABS</t>
  </si>
  <si>
    <t>Each film coated tablet contains: 
Calcium Carbonate from an organic source (Oyster shell) 
equivalent to Elemental Calcium  ……..500mg
Vitamin D3 IP …………...250 IU</t>
  </si>
  <si>
    <t>Each film coated tablet contains: 
Calcium Carbonate from an organic source (Oyster shell) 
equivalent to Elemental Calcium  …...500mg
Vitamin D3 IP (as stabilized form)  ........1000 IU
Vitamin B12 IP (as 0.1% gelatin triturate) ..............15mcg 
Folic Acid IP ...............1.5mg</t>
  </si>
  <si>
    <t>Each film coated tablet contains: 
Calcium Citrate Malate 
Eq. to Elemental Calcium ……….250 mg 
Magnesium Hydroxide IP 
Eq. to Elemental Magnesium ………….50 mg 
Vitamin D3 IP …………...250 IU 
Excipients ………….q.s</t>
  </si>
  <si>
    <t>Each film coated tablet in tablet contains:
Calcium Carbonate IP…..1250 mg
Vitamin D₃ IP (As Inner tablet)…..2000IU
MethylcobalaminIP…..1500 mcg
L-Methylfolate Calcium…...1 mg
Pyridoxal-5-Phosphate…..20 mg</t>
  </si>
  <si>
    <t>Each (serving) of one film coated tablet contains:
Myo Inositol…..1100 mg
D-Chiro Inositol…...27.60 mg
Red Yeast Rice Extract
(Monacolin)…..100 mg
Folic Acid…...129.41 mcg (100% RDA)
Vitamin D₃…..200 IU (33.33% RDA)</t>
  </si>
  <si>
    <t>Each film coated tablet contains:
Estradiol Valerate USP…..2 mg
Excipients…..q.s.</t>
  </si>
  <si>
    <t>Each film coated tablet contains:
Estradiol Valerate USP…...4 mg
Excipients….q.s.</t>
  </si>
  <si>
    <t>Each uncoated tablet contains:
Sildenafil Citrate IP
eq. to Sildenafil..........25 mg</t>
  </si>
  <si>
    <t>Each enteric coated tablet contains:
Pancreatin IP…..212.5 mg
Standardised to contain enzyme activity as below:
Lipase…...8000FIPUnits
Amylase…..6500 FIP Units
Protease….450 FIP Units</t>
  </si>
  <si>
    <t>Each 5 ml contains:
Total Water Soluble Extracts derived from:
Phyllanthus niruri (Whole plant) – 90 mg
Tephrosia purpurea
(Wholeplant).....60 mg
Eclipta alba (Whole plant).....30 mg
Andrographis paniculata (Aerial parts)....30 mg
Picrorhiza kurroa (Rhizomes)....30mg
Solanum nigrum (Leaves).....10 mg
Piper longum (Fruits).....5 mg
Terminalia chebula (Seeds).....5 mg
Ocimum sanctum (Aerial parts)......5mg</t>
  </si>
  <si>
    <t>Each film coated tablet contains:
Phyllanthus niruri (Whole plant).....180 mg
Tephrosia purpurea (Whole plant)....120 mg
Eclipta alba (Whole plant)....60 mg
Andrographis paniculata (Aerial parts)...60 mg
Picrorhiza kurroa (Rhizomes).....60 mg
Solanum nigrum (Leaves)....20 mg
Piper longum (Fruits).....10 mg
Terminalia chebula (Seeds)....10 mg
Ocimum sanctum (Aerial parts)....10 mg</t>
  </si>
  <si>
    <t>20 TABS</t>
  </si>
  <si>
    <t>Each 5 ml contains:
Potassium Citrate IP ....................1100 mg
Magnesium Citrate USP ................. 375 mg
Vitamin B6 IP ...................................20 mg
(Each ml contains approx. 1 m Eq. Magnesium lon, 2 m Eq. Potassium ion and 3 m Eq, of Citrate lon)
Colour: Tartrazine</t>
  </si>
  <si>
    <t>Each serving of 15ml contains (approx)
Potassium Magnesium Citrate 978mg providing
Potassium...............................280mg
Magnesium.............................42mg
D-Mannose...............................300mg
Cranberry extract......................200mg</t>
  </si>
  <si>
    <t>Each 5 ml contains (Water Soluble Extracts):
Saraca indica (Barks)…..450 mg
Woodfordia floribunda (Flowers)….72 mg
Symplocosracemosa (Barks)….100 mg
Ficus glomerata (Root Barks)…..30 mg</t>
  </si>
  <si>
    <t xml:space="preserve">Each sachet (10g) contains:
L-Arginine IP……………….3 g
Zinc Sulphate Monohydrate IP
Equivalent to Elemental Zinc……10 mg
Folic acid IP…………….2.5 mg
Excipients………………….q.s.
</t>
  </si>
  <si>
    <t xml:space="preserve">Each sachet of 5g contains:
L-Arginine IP……………3 g
Excipients……………….q.s.
</t>
  </si>
  <si>
    <t>Famicare Mankind (A Division of Mankind Pharma Ltd.)</t>
  </si>
  <si>
    <t>BHARAT SERUMS AND VACCINES LIM</t>
  </si>
  <si>
    <t>DR MILTONS LABORATORIES</t>
  </si>
  <si>
    <t>AKUMS DRUGS &amp; PHARMACEUTICALS</t>
  </si>
  <si>
    <t>TIRUPATI MEDICARE LIMITED</t>
  </si>
  <si>
    <t>PURE &amp; CURE HEALTHCARE PVT. LT</t>
  </si>
  <si>
    <t>Serum</t>
  </si>
  <si>
    <t>Syrup</t>
  </si>
  <si>
    <t>Powder</t>
  </si>
  <si>
    <t>MRP Changed</t>
  </si>
  <si>
    <t>MAHAGABA GEL</t>
  </si>
  <si>
    <t>Topical Gel Contains:
Pregabalin IP…...8% w/w
Gel Base.q.s.
Preservatives:
Methylparaben……...0.2% w/w
Propylparaben IP…..0.02% W/W</t>
  </si>
  <si>
    <t>Pregabalin 8% W/W</t>
  </si>
  <si>
    <t>8% WW</t>
  </si>
  <si>
    <t>GLYCOBREEZ-I DPI CAPSULES</t>
  </si>
  <si>
    <t>EACH CAPSULE CONTAINS:
INDACATEROL MALEATE EQ. TO INDACATEROL…….110 MCG
GLYCOPYRROLATE IP EQ. TO GLYCOPYRRONIUM…..50 MCG
EXCIPIENTS……..Q.S.</t>
  </si>
  <si>
    <t>INDACATEROL 110 MCG + GLYCOPYRRONIUM 50 MCG</t>
  </si>
  <si>
    <t>110 MCG + 50 MCG</t>
  </si>
  <si>
    <t>LIPIROSE-40</t>
  </si>
  <si>
    <t>Each film coated tablets contains:
Rosuvastatin Calcium IP
eq. to Rosuvastatin..40 mg
Excipients..q.s.</t>
  </si>
  <si>
    <t>ROSUVASTATIN  40 MG</t>
  </si>
  <si>
    <t>LIPIROSE-EZ 10</t>
  </si>
  <si>
    <t>Each film coated tablet contains:
Rosuvastatin Calcium IP
Eq. to Rosuvastatin…….10mg
Ezetimbe IP…….10mg
Excipients……..q.s.
Color: Titanium Dioxide IP</t>
  </si>
  <si>
    <t>ROSUVASTATIN 10 MG + Ezetimbe 10 MG</t>
  </si>
  <si>
    <t>LIPIROSE-EZ 20</t>
  </si>
  <si>
    <t>Each film coated tablet contains:
Rosuvastatin Calcium IP
Eq. to Rosuvastatin…….20mg
Ezetimbe IP…...10mg
Excipients…...q.s.
Color: Titanium Dioxide IP</t>
  </si>
  <si>
    <t>ROSUVASTATIN 20 MG + Ezetimbe 10 MG</t>
  </si>
  <si>
    <t>EACH FILM COATED TABLET CONTAINS:
DYDROGESTERONE…...20 MG
(SUSTAINED RELEASE)</t>
  </si>
  <si>
    <t>Each film coated tablet contains:Calcium-3-methyl-2-oxo-valerate67mg(a-Ketoanalogue to Isoleucine, Calcium Salt)
Calcium-4-methyl-2-oxo-valerate101 mg(a-Ketoanalogue to Leucine, Calcium Salt)Calcium-2-oxo-3-
phenylpropionate.68 mg(a-Ketoanalogue to Phenylalanine, Calcium Salt)Calcium-3-methyl-2-oxo-butyrate.86 mg
(a-Ketoanalogue to naline, Calcium Salt)Calcium-DL-2-hydroxy-4-(methylthio) butyrate 59 mg(a-Hydroxyanalogue to methionine,
Calcium Salt)L-Lysine Acetate USP105 mg(Eq to Lysine 75 mg)L-Threonine USP 53 mgL-
TryptophanUSP...23 mgL-Histidine USP38 mgL-Tyrosine USP30 mgTotal
Nitrogencontent per tablet36 mgCalcium content per tablet..1.25 mmol=0.05
gExcipients...q.s.Colours: Quinoline Yellow FCF &amp; Titanium Dioxide IP</t>
  </si>
  <si>
    <t>THYRONEED-62.5</t>
  </si>
  <si>
    <t>EACH UNCOATED TABLET CONTAINS:
THYROXINE SODIUM IP
EQ. TO ANHYDROUS THYROXINE SODIUM….62.5 MCG
(SYNTHETIC THYROID HORMONE)
EXCIPIENTS……Q.S.</t>
  </si>
  <si>
    <t>THYROXINE SODIUM 62.5MCG</t>
  </si>
  <si>
    <t>62.5 MCG</t>
  </si>
  <si>
    <t>THYRONEED-125</t>
  </si>
  <si>
    <t>EACH UNCOATED TABLET CONTAINS:
THYROXINE SODIUM IP
EQUIVALENT TO ANHYDROUS THYROXINE SODIUM….125 MCG</t>
  </si>
  <si>
    <t>Thyroxine 125 MCG</t>
  </si>
  <si>
    <t>125 MCG</t>
  </si>
  <si>
    <t>THYRONEED-150</t>
  </si>
  <si>
    <t>Each uncoated tablet contains:
Thyroxine Sodium IP
equivalent to anhydrous Thyroxine Sodium….150 mcg
(Synthetic Thyroid Hormones)</t>
  </si>
  <si>
    <t>Thyroxine 1150 MCG</t>
  </si>
  <si>
    <t>150 MCG</t>
  </si>
  <si>
    <t>ADVAUD-500 MG</t>
  </si>
  <si>
    <t>Each film coated tablet contains:
Nor Ursodeoxycholic acid….500mg</t>
  </si>
  <si>
    <t>Nor Ursodeoxycholic acid….500mg</t>
  </si>
  <si>
    <t>DYDROTAB TABLETS</t>
  </si>
  <si>
    <t>Each film coated tablet contains:
Dydrogesterone IP…...10 mg
Excipients q.s.
Colour: Titanium Dioxide IP</t>
  </si>
  <si>
    <t>SACROFLORA CAPSULES</t>
  </si>
  <si>
    <t>Composition
Each capsule contains
Saccharomyces cerevisiae CNCM I-3856...2.5 Billion CFU
Zinc as Zinc sulphate monohydrate…..1.32mg</t>
  </si>
  <si>
    <t>M/s Mankind Pharma Ltd., Doring Block, Bermoik Elaka, South-Sikkim 737126 &amp; M/s Sirmour Remedies Pvt. Ltd., Village Kayarda, PO Missarwala, Poanta Sahib, Distt. Sirmour (HP)-173025 &amp; M/s Mediforce Healthcare Pvt. Ltd., Plot No. 8-13, Phase-III, Industrial Area, Gondpur, Paonta Sahib, Distt Sirmour, HP-173025</t>
  </si>
  <si>
    <t>M/s Mankind Pharma Ltd., Doring Block, Bermoik Elaka, South-Sikkim 737126 &amp; M/s Sirmour Remedies Pvt. Ltd., Village Kayarda, PO Missarwala, Poanta Sahib, Distt. Sirmour (HP)-173021 &amp; M/s Mediforce Healthcare Pvt. Ltd., Plot No. 8-13, Phase-III, Industrial Area, Gondpur, Paonta Sahib, Distt Sirmour, HP-173025</t>
  </si>
  <si>
    <t xml:space="preserve">M/s Mankind Pharma Ltd. Village- Kishanpura, P.O Jamniwala, Tehsil- Paonta Sahib, District Sirmour-173025, Himachal Pradesh (INDIA)  Unit-1. &amp; M/s Nichepharm Lifesciences Private Limited,
Khasra No. 1/1/4/1, Mauza Central Hope Town,
Pargana Pachwadoon, Teshil Vikas Nagar,
Dehradun Uttarakhand-248197. &amp; M/s Mankind Pharma Ltd., Doring Block, Bermoik Elaka, South-Sikkim 737126 &amp; M/s Nitin Lifesciences Ltd., Rampur Road, Paonta Sahib, Distt.Sirmour (HP)-173025 </t>
  </si>
  <si>
    <t xml:space="preserve">M/s Nanz Med Science Pharma Pvt Ltd.
Vill,- Rampur Ghat, Paonta Sahib, District- Sirmour (H.P.)-173025 &amp; M/s Pharma Force Lab, (Unit-I) 53-55, Ind. Area,Gondpur, Paonta Sahib (H.P)-173025  </t>
  </si>
  <si>
    <t>M/s Akums Drugs &amp; Pharmaceuticals Ltd., Plot No - 2,3,4&amp;5, Sector-6B, I.I.E., SIDCUL, Ranipur, Haridwar-249403 Unit-III &amp; M/s Pure &amp; Cure Healthcare Pvt. Ltd. (A Subsidiary of Akums Drugs &amp; Pharmaceuticals Ltd.)
Plot No. 26A, 27-30, Sector-8A, I.I.E., SIDCUL, Ranipur, Haridwar-249403, Uttarakhand. &amp; M/s Nitin Lifesciences Ltd., Unit-III, Rampurghat Road, Paonta Sahib, Distt.Sirmour (HP)-173025 (H.P.) &amp; M/s Mankind Pharma Ltd., Village Kishanpura, Paonta Sahib, Distt. Sirmour (HP)-173025</t>
  </si>
  <si>
    <t>M/s Relax Pharmaceuticals Pvt. Ltd.,(Unit-II) 49-A-B, Industrial Area, Gondpur, Poanta Sahib, Distt. Sirmour (HP)-173025 &amp; M/s Innova Captab Ltd, 1281/1, Hilltop Industrial Estate, Near EPIP Phase-1 Jharmajri Baddi, Distt. Solan (H.P.)-173205</t>
  </si>
  <si>
    <t>M/s Lyka Labs Limited, Plot No. 4801/B &amp; 4802/A GIDC INDUSTRIAL ESTATE, ANKLESHWAR-393002, DIST.BHARUCH, GUJARAT, INDIA.</t>
  </si>
  <si>
    <t>M/s Mankind Pharma Ltd. At: Plot No: 9 &amp; 10 &amp; 12, Sector-3A, I.I.E.,
Sidcul, Haridwar, Uttarakhand-249403</t>
  </si>
  <si>
    <t>M/s Glenmark Pharmaceuticals Ltd. Shop No. 10, Dilip Empire, Ground Floor, Dilip Nagar, Tin Batti, Nani Daman-396210. Mfg. At: 197/2, Athiyawad, Near Dargarh, Dabhel Village, Daman-396210. &amp; M/s Pure &amp; Cure Healthcare Pvt. Ltd. (A Subsidiary of Akums Drugs &amp; Pharmaceuticals Ltd.)
Plot No. 26A, 27-30, Sector-8A, I.I.E., SIDCUL, Ranipur, Haridwar-249403, Uttarakhand.</t>
  </si>
  <si>
    <t>M/s Pharma Force Lab. (Unit-II), Plot No. 84 &amp; 86 Indl. Area, Gondpur, Paonta Sahib, Distt. Sirmour (HP)-173025 &amp; M/s Relax Pharmaceuticals Pvt. Ltd.(Unit-II) , 49 A-B Industrial Area, Gondpur, Poanta Sahib, Distt. Sirmour (HP)-173025</t>
  </si>
  <si>
    <t xml:space="preserve">M/s Mankind Pharma Ltd. Village- Kishanpura, P.O Jamniwala, Tehsil- Paonta Sahib, District Sirmour-173025, Himachal Pradesh (INDIA)  UNIT-2 &amp; M/s Relax Pharmaceuticals Pvt. Ltd., Unit-I Plot No
48 A &amp; B, Gondpur Industrial Area, Tehsil Poonla-Sultib, Dislrict Sirmour-
173025, H.P. (INDIA) </t>
  </si>
  <si>
    <t>M/s Mankind Pharma Ltd. Village- Kishanpura, P.O Jamniwala, Tehsil- Paonta Sahib, District Sirmour-173025, Himachal Pradesh (INDIA)  UNIT-II &amp; M/s Akums Drugs &amp; Pharmaceuticals Ltd., Plot No - 22, Sector-6A, I.I.E., SIDCUL, Ranipur, Haridwar-249403 Unit-II</t>
  </si>
  <si>
    <t>M/s Pharma Force Lab. (Unit-II), Plot No. 84 &amp; 86 Indl. Area, Gondpur, Paonta Sahib, Distt. Sirmour (HP)-173025 &amp; M/s Mankind Pharma Ltd. Village- Kishanpura, P.O Jamniwala, Tehsil- Paonta Sahib, District Sirmour-173025, Himachal Pradesh (INDIA)  UNIT-2 &amp; M/s Akums Drugs &amp; Pharmaceuticals Ltd., Plot No - 22, Sector-6A, I.I.E., SIDCUL, Ranipur, Haridwar-249403 Unit-II</t>
  </si>
  <si>
    <t>M/s Mediforce Healthcare Pvt. Ltd., Plot No. 8-13, Phase-III, Industrial Area, Gondpur, Paonta Sahib, Distt Sirmour, HP-173025 &amp; M/s Sirmour Remedies Pvt. Ltd., Village Kayarda, PO Missarwala, Poanta Sahib, Distt. Sirmour (HP)-173025 &amp; M/s Mankind Pharma Ltd., Doring Block, Bermoik Elaka, South-Sikkim 737126</t>
  </si>
  <si>
    <t xml:space="preserve">M/s Akums Drugs &amp; Pharmaceuticals Ltd.
At: Plot No. 26A, 27-30, Sector-8A, I.I.E., SIDCUL, Ranipur, Haridwar-249403, Uttarakhand. </t>
  </si>
  <si>
    <t>M/s Pharma Force Lab. (Unit-II), Plot No. 83-86 Indl. Area, Gondpur, Paonta Sahib, Distt. Sirmour (HP)-173025 &amp; M/s Relax Pharmasceuticals Pvt. Ltd., Unit-I Plot No
48 A &amp; B, Gondpur Industrial Area, Tehsil Poonla-Sultib, Dislrict Sirmour-
173025, H.P. (INDIA) &amp; M/s Hema Laboratories Pvt. Ltd.,Plot No. : 29, Pharma City, Silaqui Indust. Area, Dehradun  -248011</t>
  </si>
  <si>
    <t>M/s T.M Thakore Pharmaceutical Laboratories, 15-A, Premson's Ind Estate, Caves Road, Jogeshwari (E), Mumbai-400060 &amp; M/s Om Sai Pharma Pack, Plot No. 38 &amp; 39 Sector 11, IIE, SIDCUL, Haridwar-249403</t>
  </si>
  <si>
    <t>M/s Mankind Specialities, Vill &amp; PO Nihalgarh, Khasra No.161/96, 162/96 The. Paonta Sahib, Distt. Sirmour (HP)-173025 &amp; M/s Om Sai Pharma Pack, Plot No. 38 &amp; 39 Sector 11, IIE, SIDCUL, Haridwar-249403</t>
  </si>
  <si>
    <t>M/s BDR Pharmaceuticals Intl. Pvt Vanseti Village, PO. Tajpura, Taluka: Halol, Dist: Panchmahal-389350. &amp; M/s Nixi Laboratories Pvt. Ltd.
(A WHO-GMP Certified Company)
Vill. Mouza Ogli, Sadhaura Road, Kala-Amb, 
Distt. Sirmour-173030 (H.P.)</t>
  </si>
  <si>
    <t>M/s Shilpa Medicare Limited, At: Plot No. 26A, 27-30, Sector-8A, IIE, SIDCUL, Ranipur,
Haridwar-249403, Uttarakhand.</t>
  </si>
  <si>
    <t>Net PTR Changed</t>
  </si>
  <si>
    <t>FLUCONAZOLE IP 50 MG</t>
  </si>
  <si>
    <t>Composition:
Each uncoated tablet contains:
Telmisartan IP…...40 mg
Excipientsq……q.s.</t>
  </si>
  <si>
    <t>EACH HARD GELATIN CAPSULE CONTAINS :
PANTOPRAZOLE SODIUM IP
EQ. TO PANTOPRAZOLE ……………..40 MG
(AS GASTRO-RESISTANT PELLETS)
DOMPERIDONE IP ……………………30 MG
(AS PROLONGED RELEASE PELLETS)</t>
  </si>
  <si>
    <t>Composition:
Each 5 ml contains:
Liquid Paraffin IP…….1.25 ml
Milk of Magnesia IP…..3.75 ml
Sodium Picosulfate BP…...3.33 ml
Colours: Ponceau 4R and Carmoisine</t>
  </si>
  <si>
    <t>NEPTAZ-D 50</t>
  </si>
  <si>
    <t>EACH FILM COATED TABLET CONTAINS:
SACUBITRIL AND VALSARTAN (24MG + 26MG)…....50MG
DAPAGLIFLOZIN PROPANEDIOL USP
EQUIVALENT
TODAPAGLIFLOZIN………..5 MG
EXCIPIENTS……...Q.S.</t>
  </si>
  <si>
    <t>SACUBITRIL AND VALSARTAN  50MG (24MG+26MG) + TODAPAGLIFLOZIN 5 MG</t>
  </si>
  <si>
    <t>NEPTAZ-D 100</t>
  </si>
  <si>
    <t>EACH FILM COATED TABLET CONTAINS:
SACUBITRIL AND VALSARTAN (49MG + 51MG)…...100MG
DAPAGLIFLOZIN PROPANEDIOL USP
EQUIVALENT
TODAPAGLIFLOZIN……..5 MG
EXCIPIENTS………..Q.S.</t>
  </si>
  <si>
    <t>SACUBITRIL AND VALSARTAN 100 MG (49MG+51MG) + TODAPAGLIFLOZIN 5 MG</t>
  </si>
  <si>
    <t>ALPHADOL-PLUS CAPSULES</t>
  </si>
  <si>
    <t>Each soft gelatin capsule contain:
Calcitriol IP…….0.25 MCG
Excipientsq.s.</t>
  </si>
  <si>
    <t>RENHOLD-DS TABLETS</t>
  </si>
  <si>
    <t>Each film coated tablet contains:
L-Threonine IP..........106 mg
L-Tyrosine USP ........60 mg
L-Histidine USP .........76 mg
L-Tryptophan IP............. 46 mg
L-Lysine Acetate USP ........ 210 mg
Calcium-3-methyl-2-oxovalerate ...... 134 mg
(α-ketoanalogue to Isoleucine, Calcium salt)
Calcium-4-methyl-2-oxovalerate .... 202 mg
(α-ketoanalogue to leucine, Calcium salt)
Calcium -3-methyl-2-oxobutyrate ..... 172 mg
(α-ketoanalogue to valine, Calcium salt)
Calcium –DL-2-hydroxy -4-(methylthio) butyrate ..........118 mg
(α-hydroxyanalogue to methionine, Calcium salt)
Calcium-2-oxo-3-phenyl propionate....... 136 mg
(α-ketoanalogue to phenylalanine, Calcium salt)
Excipients ..........  q.s.</t>
  </si>
  <si>
    <t>SEVBAIT-DT 400</t>
  </si>
  <si>
    <t>EACH UNCOATED DISPERSIBLE TABLET CONTAINS:
SEVELAMER CARBONATE…….400 MG</t>
  </si>
  <si>
    <t>SEVELAMER 400 MG</t>
  </si>
  <si>
    <t>SEVBAIT-DT 800</t>
  </si>
  <si>
    <t>EACH UNCOATED DISPERSIBLE TABLET CONTAINS:
SEVELAMER CARBONATE…….800 MG</t>
  </si>
  <si>
    <t>SEVELAMER 800 MG</t>
  </si>
  <si>
    <t>MANKIND'S HEALTHOK MOM PROTEIN VANILLA</t>
  </si>
  <si>
    <t>Each serving per 30gm contains: (approx.)
Vitamins
Vitamin A......270.00 mcg
Vitamin D3......4.50mcg
VitaminE.....1.50 mg
Vitamin K2.....8.40 mcg
Vitamin B1.....0.60 mg
Vitamin B2......0.81mg
Niacin...........3.90 mg
Vitamin B6.....0.69 mg
Folic Acid......102.60 mcg
PantothenicAcid....1.50 mg
Biotin.......12.00 mcg
Vitamin B12......0.74 mcg
Vitamin C.......24.00 mg
Minerals
Calcium......315.00 mg
Phosphorous.......214.50 mg
Potasium.......339.00 mg
Chloride........153.00 mg
Magnesium....132.00 mg
Iron..........8.10 mg
Zinc........4.35 mg
Manganese......0.60 mg
Copper......0.26 mg
Iodine......33.00 mcg
Selenium......12.00mcg
Chromium.....7.50 mcg
Molybdenum.....6.90 mcg
Others
DHA........30.00mg
Choline.....75.00 mg</t>
  </si>
  <si>
    <t>Each serving per 30gm contains: (approx.)
Vitamins
Vitamin......A270.00 mcg
Vitamin D3......4.50 mcg
VitaminE.........1.50 mg
Vitamin K2......8.40 mcg
Vitamin B1......0.60 mg
Vitamin B2......0.81mg
Niacin............3.90 mg
Vitamin B6......0.69 mg
Folic Acid.......102.60 mcg
PantothenicAcid...1.50 mg
Biotin..............12.00 mcg
Vitamin B12.....0.74 mcg
Vitamin C........24.00mg
Minerals
Calcium...........315.00 mg
Phosphorous....214.50 mg
Potasium.........339.00mg
Chloride..........153.00 mg
Magnesium......132.00 mg
Iron.................8.10 mg
Zinc.................4.35mg
Manganese.......0.60 mg
Copper.............0.26 mg
Iodine...............33.00 mcg
Selenium..........12.00mcg
Chromium.........7.50 mcg
Molybdenum......6.90 mcg
Others
DHA.................30.00mg
Choline.............75.00 mg</t>
  </si>
  <si>
    <t>Each film coated tablet contains:
Dehydroepiandrosterone (Micronized)….75 mg
Folic Acid IP….4.5 mg
Vitamin D₃ (Stabilized)
(ascholecalciferol 3000 IU)….7.5 mcg</t>
  </si>
  <si>
    <t>50MG (24MG + 26MG) + 5 MG</t>
  </si>
  <si>
    <t>100 MG (49MG + 51MG) + 5 MG</t>
  </si>
  <si>
    <t>Bharat Serums and Vaccines Limited
Ghar No. 372, Lower Ground Floor, Survey No. 14/4(P), 17/2A(P), Thane-Nashik
Highway, Nimbavali, Yewai, Bhiwandi-421302, Dist, Thane, India.</t>
  </si>
  <si>
    <t>Recontinued from 11-11-2025</t>
  </si>
  <si>
    <t>MOISAWAVE AC MOISTURIZING CREAM </t>
  </si>
  <si>
    <t>Aqua (Water), Glycerin, Coco-Caprylate/Caprate, Niacinamide, Triheptanoin, Cetyl Alcohol, Propylene Glycol, Stearyl Alcohol,
Glyceryl Glucoside, Sorbitan Isostearate, Betaine, Butyrospermum Parkii (Shea) Butter, Dimethicone, Polyacrylate-13,
GlycerylStearate, PEG-100 Stearate, Xanthan Gum, Maltodextrin, Polyisobutene, Sodium Acrylates Copolymer, Sodium Stearoyl Glutam
SodiumHyaluronate, Lecithin, Polysorbate 20, Punica Granatum Pericarp Extract, Ceramide 3, Phenoxyethanol, BHT, Disodium EDTA,
Fragrance,Citric Acid, Ethylhexylglycerin</t>
  </si>
  <si>
    <t>CANDIFORCE-AF INJ.</t>
  </si>
  <si>
    <t>Each Combipack Contains:
(A) Anidulafungin for injectio 100 mg (Lyophilized)
Each vial Contains:
Anidulafungin..100mg
Excipients.......q.s.
(B) Sterile water for injections IP….30 ml
Each Ampoule contains:
sterile water for injection IP…...30 ml</t>
  </si>
  <si>
    <t>Anidulafungin 100 MG</t>
  </si>
  <si>
    <t>100 mg</t>
  </si>
  <si>
    <t>1 COMBIPACK</t>
  </si>
  <si>
    <t>Calcitriol 0.25 mcg</t>
  </si>
  <si>
    <t>0.25 mcg</t>
  </si>
  <si>
    <t>Each film coated bilayered tablet contains:
Metformin Hydrochloride  500 mg
(As sustained release form)
Gliclazide  60 mg
(As
sustained release form)
Pioglitazone Hydrochloride
Equivalent to Pioglitazone 15 mg</t>
  </si>
  <si>
    <t>BISONICUS-2.5</t>
  </si>
  <si>
    <t>Each film coated tablet contains:
Bisoprolol Fumarate USP…....2.5 mg
Excipients…………………………....q.s.
Color: Titanium Dioxide IP</t>
  </si>
  <si>
    <t>Bisoprolol 2.5 mg</t>
  </si>
  <si>
    <t>2.5 mg</t>
  </si>
  <si>
    <t>BISONICUS-5</t>
  </si>
  <si>
    <t>Each film coated tablet contains:
Bisoprolol Fumarate USP…....5 mg
Excipients…………………………..q.s.
color: Ferric Oxide yellow USP-NF</t>
  </si>
  <si>
    <t>Bisoprolol 5 mg</t>
  </si>
  <si>
    <t>5 mg</t>
  </si>
  <si>
    <t>Mirabegron 25 MG + Solifenacin Succinate 5 MG</t>
  </si>
  <si>
    <t>500 mg</t>
  </si>
  <si>
    <t>500 mg + 10 mg + 125 mg</t>
  </si>
  <si>
    <t>20 mg + 20 mg</t>
  </si>
  <si>
    <t>10 mg + 10 Mg</t>
  </si>
  <si>
    <t>8 mg</t>
  </si>
  <si>
    <t>10 mg</t>
  </si>
  <si>
    <t>50 mg</t>
  </si>
  <si>
    <t>100 mg + 1.5 mg</t>
  </si>
  <si>
    <t>25 mg</t>
  </si>
  <si>
    <t>200 mg</t>
  </si>
  <si>
    <t>300 ,g</t>
  </si>
  <si>
    <t>600 mg + 500 mg</t>
  </si>
  <si>
    <t>1.38 gms</t>
  </si>
  <si>
    <t>2 mg</t>
  </si>
  <si>
    <t>3 g</t>
  </si>
  <si>
    <t>M/s Sirmour Remedies Pvt. Ltd., Village Kayarda, PO Missarwala, Poanta Sahib, Distt. Sirmour (HP)-173025 &amp; M/s Mediforce Healthcare Pvt. Ltd., Plot No. 8-13, Phase-III, Industrial Area, Gondpur, Paonta Sahib, Distt Sirmour, HP-173025 &amp; M/s Mankind Pharma Ltd., Doring Block, Bermoik Elaka, South-Sikkim 737126</t>
  </si>
  <si>
    <t>M/s Higgs Healthcare Khasra No. 480/1, Bhatolikalan, Baddi Dist. Solan-173205 (H.P.)</t>
  </si>
  <si>
    <t>M/s Copmed Pharmaceuticals Pvt. Ltd.,(Unit-I) Plot No-4 A-B Industrial Area, Gondpur, Poanta Sahib, Distt. Sirmour (HP)-173025 &amp; M/s Relax Pharmasceuticals Pvt. Ltd., Unit-I Plot No
48 A &amp; B, Gondpur Industrial Area, Tehsil Poonla-Sultib, Dislrict Sirmour-
173025, H.P. (INDIA) &amp; M/s Sirmour Remedies Pvt. Ltd., Village Kayarda, PO Missarwala, Poanta Sahib, Distt. Sirmour (HP)-173021</t>
  </si>
  <si>
    <t xml:space="preserve">M/s J.K Print Packs (Pharma Division), C-14 to 17, Sara Industrial Estate Ltd., Vill Rampur, Selaqui, Distt Dehradun-248197 &amp; &amp; M/s Mediforce Healthcare Pvt. Ltd., Plot No. 8-13, Phase-III, Industrial Area, Gondpur, Paonta Sahib, Distt Sirmour, HP-173025 &amp; M/s Mankind Pharma Ltd., Doring Block, Bermoik Elaka, South-Sikkim 737126 </t>
  </si>
  <si>
    <t xml:space="preserve">M/s Pure &amp; Cure Healthcare Pvt. Ltd. (A Subsidiary of Akums Drugs &amp; Pharmaceuticals Ltd.)
Plot No. 26A, 27-30, Sector-8A, I.I.E., SIDCUL, Ranipur, Haridwar-249403, Uttarakhand. &amp; M/s Akums Drugs &amp; Pharmaceuticals Ltd.
At: Plot No. 26A, 27-30, Sector-8A, I.I.E., SIDCUL, Ranipur, Haridwar-249403, Uttarakhand. </t>
  </si>
  <si>
    <t>M/s Copmed Pharmaceuticals Pvt. Ltd., Plot No-4 A-B Industrial Area, Gondpur, Poanta Sahib, Distt. Sirmour (HP)-173025 &amp; M/s Relax Pharmasceuticals Pvt. Ltd., Unit-I Plot No
48 A &amp; B, Gondpur Industrial Area, Tehsil Poonla-Sultib, Dislrict Sirmour-
173025, H.P. (INDIA)</t>
  </si>
  <si>
    <t>M/s Mankind Pharma Ltd. Village- Kishanpura, P.O Jamniwala, Tehsil- Paonta Sahib, District Sirmour-173025, Himachal Pradesh (INDIA)  UNIT-II &amp; M/s Mankind Pharma Ltd., Doring Block, Bermoik Elaka, South-Sikkim 737126</t>
  </si>
  <si>
    <t>M/s Appasamy Ocular Devices (P) Ltd.
Plot No. 74-D, Katha, Baddi, Dist. Solan (H.P.) - 173205, India &amp; M/s HAB Pharmaceuticals &amp; Research Limited 10, Pharmacity, Sidcul, Selaqui Industrial Area, Dehradun, Uttarakhand-248011</t>
  </si>
  <si>
    <t xml:space="preserve">M/s Innova Captab Pvt Ltd, 1281/1, Hilltop Indl. Estate, Near EPIP, Phase-I Jharmajri, Baddi Distt. Solan (HP) &amp; M/s Innove Captab Limited K.No. 11, SIDCO IND. Complex Phase-II Ghatti, Distt,
Kathua-184143 Jammu and kashmir. </t>
  </si>
  <si>
    <t>M/s Mediforce Healthcare Pvt. Ltd., Plot No. 8-13, Phase-III, Industrial Area, Gondpur, Paonta Sahib, Distt Sirmour, HP-173025 &amp; M/s Acme Generics LLP, Plot No. 115, HPSIDC Industrial Area, Davni, PO Gurumajra, Tehsil Nalagarh, Distt. Solan (H.P.)-174101 &amp; M/s Mankind Pharma Ltd., Doring Block, Bermoik Elaka, South-Sikkim 737126</t>
  </si>
  <si>
    <t>DR. MILTONS LABORATORIES PRIVATE LIMITED</t>
  </si>
  <si>
    <t>R.S. No.: 135/6, Sanyasikuppam Village, Thirubuvanai (Post), Mannadipet Commune, Puducherry - 605107.</t>
  </si>
  <si>
    <t>BHARAT SERUMS AND VACCINES LIMITED
Ghar No. 372, Lower Ground Floor, Survey No. 14/4(P), 17/2A(P). 
Thane-Nashik Highway, Nimbavali, Yewal, Bhiwandi-421302, Dist. Thane, India.</t>
  </si>
  <si>
    <t>OUT OF STOCK NOT DISCONTINUED AS PER Deepak Prasad 18-07-2025</t>
  </si>
  <si>
    <t>XYLOMETAZOLINE HYDROCHLORIDE IP ….0.1% W/V</t>
  </si>
  <si>
    <t>BISOHEART-D 2.5</t>
  </si>
  <si>
    <t>Each film coated tablet contains:
Bisoprolol Fumarate IP ... 2.5mg
Dapagliflozin Propanediol Monohydrate
Eq. to Dapagliflozin.
10mg</t>
  </si>
  <si>
    <t>Bisoprolol Fumarate IP 2.5mg + Dapagliflozin 10mg</t>
  </si>
  <si>
    <t>BISOHEART-D 5</t>
  </si>
  <si>
    <t>Each film coated tablet contains:
Bisoprolol Fumarate IP ... 5mg
Dapagliflozin Propanediol Monohydrate
Eq. to Dapagliflozin.
10mg</t>
  </si>
  <si>
    <t>Bisoprolol Fumarate IP 5mg + Dapagliflozin 10mg</t>
  </si>
  <si>
    <t>OVABLESS-MYO MET</t>
  </si>
  <si>
    <t>Each film coated bilayered tablet contains:
Myo-Inositol IP…...600 mg
Metformin Hydrochloride IP…...500 mg
(Assustained release)
Excipientsq. s.
Colour: Sunset Yellow FCF Lake</t>
  </si>
  <si>
    <t>Myo-Inositol IP 600 mg + Metformin Hydrochloride IP 500 mg</t>
  </si>
  <si>
    <t>RELUZESTA TABLET</t>
  </si>
  <si>
    <t>Each film coated Tablets Contains
Relugolix…..40 mg
Estradiol USP...1mg
(As Hemihydrate)
USP Eq.
toAnhydrous Estradiol)
Norethindrone Acetate USP…..0.5 mg</t>
  </si>
  <si>
    <t>Relugolix 40 MG + Estradiol 1 MG + Norethindrone 0.5 MG</t>
  </si>
  <si>
    <t>28 TAB</t>
  </si>
  <si>
    <r>
      <t xml:space="preserve">NUFORCE-CD3 </t>
    </r>
    <r>
      <rPr>
        <b/>
        <sz val="9"/>
        <rFont val="Arial"/>
        <family val="2"/>
      </rPr>
      <t>VAGINAL SUPPOSITORIES</t>
    </r>
  </si>
  <si>
    <r>
      <t xml:space="preserve">EACH VAGINAL SUPPOSITORY CONTAINS :
CLOTRIMAZOLE IP ……………………200 MG
CLINDAMYCIN PHOSPHATE IP 
EQUIVALENT TO </t>
    </r>
    <r>
      <rPr>
        <sz val="10"/>
        <rFont val="Calibri"/>
        <family val="2"/>
      </rPr>
      <t>CLINDAMYCIN ……100 MG
SOLUBLE BASE ………………………..Q.S.</t>
    </r>
  </si>
  <si>
    <t>EACH HPMC CAPSULE CONTAINS :
ITRACONAZOLE PELLETS
EQUIVALENT TO ITRACONAZOLE PH. EUR.…200 MG
EXCIPIENTS …………..Q.S.</t>
  </si>
  <si>
    <r>
      <rPr>
        <sz val="9"/>
        <color indexed="8"/>
        <rFont val="Calibri"/>
        <family val="2"/>
      </rPr>
      <t xml:space="preserve">DEMINERALIZED WATER, GLYCERIN, CAPRYLIC/CAPRIC, TRIGLYCERIDE, ISOPROPYL MYRISTATE, PEG-100 STEARATE (AND) GLYCERYL STEARATE, ALUMINIUM STARCH OCTENYLSUCCINATE, ACRYLAMIDE/SODIUM </t>
    </r>
    <r>
      <rPr>
        <sz val="9"/>
        <color indexed="8"/>
        <rFont val="Calibri"/>
        <family val="2"/>
      </rPr>
      <t>ACRYLATE COPOLYMER, MINERAL OIL (PARAFFINUM LIQUIDUM), TRIDECETH-6,   CYCLOPENTASILOXANE (AND) PHENYL TRIMETHICONE (AND) DIMETHICONOL (AND) C-12-15 ALKYL BENZOATE (AND) DIMETHICONE CROSSPOLYMER, XYLITYLGLUCOSIDE (AND) ANHYDROXYLITOL (AND) XYLITOL, CETYL ALCOHOL,DIMETHICONE,GLYCERYL MONOSTEARATE-SE, PHENOXYETHANOL,TRIETHYLENE GLYCOL, AQUA (AND), GLYCERIN (AND), PANCRATIUM MARITIMUMM EXTRACT, HYDROXYETHYLCELLULOSE, SACCHARIDE ISOMERATE, SODIUM HYALURONATE, BUTYLATED HYDROXY TOLUENE, DISODIUM EDTA, CAMEL MILK POWDER, OLIVE OIL PEG-7 ESTERS, CERAMIDEIII,</t>
    </r>
    <r>
      <rPr>
        <sz val="9"/>
        <color indexed="8"/>
        <rFont val="Calibri"/>
        <family val="2"/>
      </rPr>
      <t>FRAGANCE.</t>
    </r>
  </si>
  <si>
    <t>BISONICUS-T 2.5</t>
  </si>
  <si>
    <t>Each film coated tablet contains:
Bisoprolol Fumarate USP...2.5 mg
Telmisartan IP....40 mg
Excipients...q.s.
color: Ferric
Oxideyellow USP-NF &amp; Titanium Oxide IP</t>
  </si>
  <si>
    <t>Bisoprolol Fumarate USP.. 2.5 mg + Telmisartan IP. 40 MG</t>
  </si>
  <si>
    <t>BISONICUS-T 5</t>
  </si>
  <si>
    <t>Each film coated tablet contains:
Bisoprolol Fumarate USP...5 mg
Telmisartan IP....40 mg
Excipients...q.s.
color: Ferric
Oxideyellow USP-NF &amp; Titanium Oxide IP</t>
  </si>
  <si>
    <t>Bisoprolol Fumarate USP.. 5 mg + Telmisartan IP. 40 MG</t>
  </si>
  <si>
    <t>Penicillamine 250 MG</t>
  </si>
  <si>
    <t>M/s Om Sai Pharma Pack, Plot No. 38 &amp; 39 Sector 11, IIE, SIDCUL, Haridwar-249403 &amp; M/s Vivimed Labs Ltd
PLOT NO. 8, Phase-V, IDA, JEEDIMETLA, 
Medehal- Malkajgiri District,
Telangana State-500055</t>
  </si>
  <si>
    <t xml:space="preserve">M/s Pure &amp; Cure Healthcare Pvt. Ltd. (A Subsidiary of Akums Drugs &amp; Pharmaceuticals Ltd.)
Plot No. 26A, 27-30, Sector-8A, I.I.E., SIDCUL, Ranipur, Haridwar-249403, Uttarakhand. &amp; M/s J.K Print Packs (Pharma Division), C-14 to 17, Sara Industrial Estate Ltd., Vill Rampur, Selaqui, Distt Dehradun-248197 </t>
  </si>
  <si>
    <t>M/s T.M Thakore Pharmaceutical Laboratories, 15-A, Premson's Ind Estate, Caves Road, Jogeshwari (E), Mumbai-400060 &amp;  &amp; M/s Mediforce Healthcare Pvt. Ltd., Plot No. 8-13, Phase-III, Industrial Area, Gondpur, Paonta Sahib, Distt Sirmour, HP-173025 &amp; M/s Pharma Force Lab, (Unit-I) 53-55, Ind. Area,Gondpur, Paonta Sahib (H.P)-173025</t>
  </si>
  <si>
    <t>M/s Innova Captab Pvt Ltd, 1281/1, Hilltop Indl. Estate, Near EPIP, Phase-I Jharmajri, Baddi Distt. Solan (HP) &amp; M/s Innova Captab Limited 
K. No. 11, SIDCO Ind. Complex Phase-II, Ghatti, Distt. Kathua-184143 (J&amp;K).</t>
  </si>
  <si>
    <t>M/s Akums Drugs &amp; Pharmaceuticals Ltd., Plot No - 2,3,4&amp;5, Sector-6B, I.I.E., SIDCUL, Ranipur, Haridwar-249403 Unit-III &amp; M/s Pure &amp; Cure Healthcare Pvt Ltd. Plot No 26A-30, Sector-8A, IIE, SIDCUL, Haridwar-249403 &amp; M/s Nitin Lifesciences Ltd., Unit-III, Rampurghat Road, Paonta Sahib, Distt.Sirmour (HP)-173025 (H.P.) &amp; M/s Mankind Pharma Ltd., Village Kishanpura, Paonta Sahib, Distt. Sirmour (HP)-173025</t>
  </si>
  <si>
    <t>M/s Acme Life Tech-LLP Plot No. 103, 104, 105-EPIP, Phase-1, 
Jharmajri, Baddi, Dist. Solan (H.P.) 173205</t>
  </si>
  <si>
    <t>TEDIOXA-200 TABLET</t>
  </si>
  <si>
    <t>MAHAGABA-D 50/20</t>
  </si>
  <si>
    <t>SITADAY-GM1</t>
  </si>
  <si>
    <t>SITADAY-GM1 FORTE</t>
  </si>
  <si>
    <t>SITADAY-GM2</t>
  </si>
  <si>
    <t>SITADAY-GM2 FORTE</t>
  </si>
  <si>
    <t>ABEVIA-E</t>
  </si>
  <si>
    <t>TRUGABA-GRS 300</t>
  </si>
  <si>
    <t>BISOHEART-1.25</t>
  </si>
  <si>
    <t>BIOPREG-LMF</t>
  </si>
  <si>
    <t>OVABLESS-MYO RF</t>
  </si>
  <si>
    <t>OVAFLO-D</t>
  </si>
  <si>
    <t>COPE EYE DROPS</t>
  </si>
  <si>
    <t>SEMAGLU-0.25/0.5 INJECTION</t>
  </si>
  <si>
    <t>SEMAGLU-1 INJECTION</t>
  </si>
  <si>
    <t>MYCEPT MINI SUSPENSION</t>
  </si>
  <si>
    <t>EACH FILM COATED TABLET CONTAINS:
SACUBITRIL AND VALSARTAN….50MG (24MG+26MG)
EXCIPIENTS….Q.S.</t>
  </si>
  <si>
    <t>EACH FILM COATED TABLET CONTAINS:
SACUBITRIL AND VALSARTAN….100MG (49MG+51MG)
EXCIPIENTS….Q.S.</t>
  </si>
  <si>
    <t>EACH FILM COATED TABLET CONTAINS:
SACUBITRIL AND VALSARTAN….200MG (97MG+103MG)
EXCIPIENTS….Q.S.</t>
  </si>
  <si>
    <t>EACH FILM COATED TABLET CONTAINS:
TEDIZOLID PHOSPHATE…..200 MG
EXCIPIENTS....Q.S.</t>
  </si>
  <si>
    <t>Each hard gelatin capsules contains:
Pregabalin..50mg
Duloxetine..20mg
(As delayed release pellets)</t>
  </si>
  <si>
    <t>Each film coated tablet contains :
Sitagliptin…….50 mg
Glimepride…...1mg
Metformin…….500 mg</t>
  </si>
  <si>
    <t>Each film coated tablet contains :
Sitagliptin.50 mg
Glimepride.1mg
Metformin..1000 mg</t>
  </si>
  <si>
    <t>Each film coated tablet contains :
Sitagliptin…...50 mg
Glimepride…..2mg
Metformin…...500 mg</t>
  </si>
  <si>
    <t>Each film coated tablet contains :
Sitagliptin.50 mg
Glimepride.2mg
Metformin..1000 mg</t>
  </si>
  <si>
    <t>Each Film Coated Tablets contains:
Acebrophylline….100 mg
Erdosteine …......300 mg</t>
  </si>
  <si>
    <t>EACH FILM COATED EXTENDED-RELAESE TABLET CONTAINS:
GABAPENTIN IP…..300 MG
COLOUR: TITANIUM DIOXIDE IP</t>
  </si>
  <si>
    <t>Each film coated tablet contains:
Bisoprolol Fumarate IP…..1.25 mg</t>
  </si>
  <si>
    <t>Each film coated tablet contains:
Methylcobalamin IP…..1500 mcg
L-5-Methyltetrahydrofolate Calcium.1 mg
Pyridoxal-5-Phosphate…..10 mg
Excipients…...q.s.</t>
  </si>
  <si>
    <t>Composition:
Each serving contains:
Myo-Inositol…...550 mg
Chromium Picolinate...266.67 mcg
Vitamin D3…..400 IU</t>
  </si>
  <si>
    <t>Each hard gelatin capsules contains:
Dehydroepiandrosterone…...25 mg
(Micronized)
Folic Acid IP…...1.5 mg
Excipinetsq.s.</t>
  </si>
  <si>
    <t>Each film coated Tablets Contains
Relugolix…..40 mg
Estradiol USP...1mg
(As Hemihydrate)
USP Eq.
to Anhydrous Estradiol)
Norethindrone Acetate USP….0.5 mg</t>
  </si>
  <si>
    <t>COMPOSITION:
CETRIZINE HYDROCHLORIDE IP
EQ. TO…..0.24% W/W
BENZALKONIUM CHLORIDE SOLUTION IP0…...02% V/V
(AS PRESERVATIVE)
STERILE
AQ. BUFFERED VEHICLE..Q.S</t>
  </si>
  <si>
    <t>Each uncoated bilayered tablet contains:
Gliclazide IP…...80 mg
Metformin Hydrochloride IP…..500 mg
(as sustained release form)
Voglibose IP…...0.2. mg
Excipients........q.s.
Colour: Quinoline Yellow Lake</t>
  </si>
  <si>
    <t>Each uncoated bilayered extended-release tablet contain
Gliclazide IP…...30 mg
(in extended release form)
Metformin Hydrochloride IP...500 mg
(in extended release form)
Excipients........q.s.
Colour: Sunset Yellow Lake</t>
  </si>
  <si>
    <t>Each uncoated bilayered extended-release tablet contain
Gliclazide IP…….60 mg
(in extended release form)
Metformin Hydrochloride IP...500 mg
(in extended release form)
Excipients........q.s.
Colour: Ponceau 4R Lake</t>
  </si>
  <si>
    <t>Composition:
Each film coated tablet contains:
Eplerenone IP….25 mg
Excipients...q.s.
Colours: Ferric Oxide USP-NF Red,
FerricOxide
USP-NF Yellow &amp; Titanium Dioxide IP</t>
  </si>
  <si>
    <t>Composition:
Each film coated tablet contains:
Eplerenone IP….50 mg
Excipients...q.s.
Colours: Ferric Oxide USP-NF Red,
FerricOxide
USP-NF Yellow &amp; Titanium Dioxide IP</t>
  </si>
  <si>
    <t>Each 1 ml of semaglutide injection contains 0.68 mg of
semaglutide and the following inactive ingredients:
Disodiumphosphatedihydrate…..1.42 mg;
Propylene glycol…..14.0 mg
Phenol…...5.50 mg and
Water for injections</t>
  </si>
  <si>
    <t>EACH ML CONTAINS:
SEMAGLUTIDE…..4 MG
EXCIPIENTS……..Q.S.</t>
  </si>
  <si>
    <t>Composition:
Each 5 ml of reconstituted suspension contains:
Mycophenolate Mofetil IP…...1g
Excipients.q.s.</t>
  </si>
  <si>
    <t>Levocetirizine HYDROCHLORIDE  5 MG
AMBROXOL HYDROCHLORIDE 60 MG</t>
  </si>
  <si>
    <t>METHYLCOBALAMIN 500 MCG</t>
  </si>
  <si>
    <t>TEDIZOLID PHOSPHATE 200 mg</t>
  </si>
  <si>
    <t>Pregabalin 50 mg + Duloxetine 20 mg</t>
  </si>
  <si>
    <t>50 mg + 20 Mg</t>
  </si>
  <si>
    <t>Sitagliptin 50 mg + Glimepride 1 mg + Metformin 500 mg</t>
  </si>
  <si>
    <t>50 mg + 1 mg + 500 mg</t>
  </si>
  <si>
    <t>Sitagliptin 50 mg + Glimepride 1 mg + Metformin 1000 mg</t>
  </si>
  <si>
    <t>50 mg + 1 mg + 1000 mg</t>
  </si>
  <si>
    <t>Sitagliptin 50 mg + Glimepride 2 mg + Metformin 500 mg</t>
  </si>
  <si>
    <t>50 mg + 2 mg + 500 mg</t>
  </si>
  <si>
    <t>Sitagliptin 50 mg + Glimepride 2 mg + Metformin 1000 mg</t>
  </si>
  <si>
    <t>50 mg + 2 mg + 1000 mg</t>
  </si>
  <si>
    <t>Acebrophylline 100 mg + Erdosteine 300 Mg</t>
  </si>
  <si>
    <t>100 mg + 300 mg</t>
  </si>
  <si>
    <t>Gabapentin 300 mg</t>
  </si>
  <si>
    <t>300 mg</t>
  </si>
  <si>
    <t>Bisoprolol Fumarate 1.25 mg</t>
  </si>
  <si>
    <t>1.25 mg</t>
  </si>
  <si>
    <t>Methylcobalamin 1500 mcg + L-5-Methyltetrahydrofolate Calcium 1 mg + Pyridoxal-5-Phosphate 10 mg</t>
  </si>
  <si>
    <t>1500 mcg + 1 mg + 10 mg</t>
  </si>
  <si>
    <t>Myo-Inositol 550 mg + Chromium Picolinate 266.67 mcg + Vitamin D3 400 IU</t>
  </si>
  <si>
    <t>550 mcg + 266.67 mcg + 400 IU</t>
  </si>
  <si>
    <t>Dehydroepiandrosterone 25 mg + Folic Acid 1.5 MG</t>
  </si>
  <si>
    <t>25 MG + 1.5 MG</t>
  </si>
  <si>
    <t>40 MG + 1 MG + 0.5 MG</t>
  </si>
  <si>
    <t>CETRIZINE HYDROCHLORIDE 0.24% W/W</t>
  </si>
  <si>
    <t>0.24% W/W</t>
  </si>
  <si>
    <t>10 mg + 75 MG</t>
  </si>
  <si>
    <t>20 mg + 75 MG</t>
  </si>
  <si>
    <t>Gliclazide 80 MG + METFORMIN HYDROCHLORIDE 500 MG + Voglibose 0.2 mg</t>
  </si>
  <si>
    <t>80 MG + 500 MG + 0.2 MG</t>
  </si>
  <si>
    <t>Gliclazide 30 MG + METFORMIN HYDROCHLORIDE 500 MG</t>
  </si>
  <si>
    <t>Gliclazide 60 MG + METFORMIN HYDROCHLORIDE 500 MG</t>
  </si>
  <si>
    <t>EPLERENONE IP 25 MG + Torsemide 10 MG</t>
  </si>
  <si>
    <t>Disodiumphosphatedihydrate…..1.42 mg;
Propylene glycol…..14.0 mg
Phenol…...5.50 mg and</t>
  </si>
  <si>
    <t>SEMAGLUTIDE 4 MG</t>
  </si>
  <si>
    <t>Mycophenolate 1 GM</t>
  </si>
  <si>
    <t>1.66 GM</t>
  </si>
  <si>
    <t>1 G / 5 ML</t>
  </si>
  <si>
    <t>M/s Innova Captab Ltd, 1281/1, Hilltop Industrial Estate, Near EPIP Phase-1 Jharmajri Baddi, Distt. Solan (H.P.)-173205 &amp; M/s Innova Captab Limited 
K. No. 11, SIDCO Ind. Complex Phase-II, Ghatti, Distt. Kathua-184143 (J&amp;K).</t>
  </si>
  <si>
    <t>M/s Shanghai Huarui Aerosol Co. Ltd. No. 222, Yuanchun Road, Pudong New Area, Shanghai-201399 &amp; M/s Taian Dalu Medical Instrument Co., Ltd. West Part of Yitianmen Street,
Hi-tech Zone Taian, Shandong-271000 &amp; M/s Mankind Pharma Ltd. Village- Kishanpura, P.O Jamniwala, Tehsil- Paonta Sahib, District Sirmour-173025,  UNIT-2</t>
  </si>
  <si>
    <t>M/s Akums Drugs &amp; Pharmaceuticals Ltd., Plot No - 22, Sector-6A, I.I.E., SIDCUL, Ranipur, Haridwar-249403 Unit-II &amp; M/s ESPI INDUSTRIES &amp; CHEMICALS PVT. LTD.
P-9/2, IDA UPPAL KHALSA (V) UPPAL (M), MEDCHAL-MALKAJGIRI (D) HYDERABAD-500039, TELANGANA</t>
  </si>
  <si>
    <t>M/s ASPO  Pharmaceuticals LLP Plot No. 10, HIMUDA Industrial Area, Phase-4, Bhatoli Kalan,
Baddi District Solan (H.P.)-173025 &amp; M/s Vivimed Labs Ltd
PLOT NO. 25, Kundeshwari Village,  
Kashipur-244713,
Uttarakhand</t>
  </si>
  <si>
    <t>M/s Akums Drugs &amp; Pharmaceuticals Ltd., Plot No - 1,2,3,4&amp;5, Sector-6B, I.I.E., SIDCUL, Ranipur, Haridwar-249403 Unit-III</t>
  </si>
  <si>
    <t>M/s Hetero Labs Limited (Unit-II),  Village Kalyanpur, Chakkan Road, Tehsil Baddi, Distt Solan (H.P.)-173205 &amp; M/s Windlas Biotech Limited 
Plant-2, Khasra No. 141 to 143
&amp; 145, Mohabewala Indl. Area, 
Dehradun-248110 (U.K.)
R.O.:40/1, Mohabewala
Indl. Area, Dehradun.</t>
  </si>
  <si>
    <t>BHARAT SERUMS AND VACCINES LIM &amp; PURE &amp; CURE HEALTHCARE PVT. LT &amp; M/s Mankind Pharma Ltd., Village Kishanpura, Paonta Sahib, Distt. Sirmour (HP)-173025</t>
  </si>
  <si>
    <t>O&amp;M Mankind (A Division of Mankind Pharma Ltd.)</t>
  </si>
  <si>
    <t>M/s MSN Laboratories Private Limited 
OneSource Speciality Pharma Ltd. Plot No. 2-D1, Obadenahalli, Doddaballapura, 3rd Phase, Industrial Area, Doddaballapura Taluk, Bengaluru Rural District - 561203, Karnataka.</t>
  </si>
  <si>
    <t>Out of Stock</t>
  </si>
  <si>
    <t>RIVOTRIL 0.25</t>
  </si>
  <si>
    <t>Each uncoated tablet contains:
Clonazepam IP0…..25 mg
Excipients.q.s.
Colours: Ferric Oxide Red USP-NF &amp;
FerricOxide Yellow USP-NF</t>
  </si>
  <si>
    <t>Clonazepam IP 25 mg</t>
  </si>
  <si>
    <t>10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</si>
</sst>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name val="Arial"/>
      <family val="2"/>
    </font>
    <font>
      <sz val="11"/>
      <color indexed="8"/>
      <name val="Calibri"/>
      <family val="2"/>
    </font>
    <font>
      <sz val="10"/>
      <color indexed="8"/>
      <name val="Calibri"/>
      <family val="2"/>
      <scheme val="minor"/>
    </font>
    <font>
      <sz val="10"/>
      <name val="Arial"/>
      <family val="2"/>
    </font>
    <font>
      <b/>
      <sz val="10"/>
      <color indexed="8"/>
      <name val="Calibri"/>
      <family val="2"/>
      <scheme val="minor"/>
    </font>
    <font>
      <sz val="9"/>
      <name val="Calibri"/>
      <family val="2"/>
      <scheme val="minor"/>
    </font>
    <font>
      <sz val="8"/>
      <color indexed="8"/>
      <name val="Arial"/>
      <family val="2"/>
    </font>
    <font>
      <b/>
      <sz val="9"/>
      <color indexed="8"/>
      <name val="Calibri"/>
      <family val="2"/>
      <scheme val="minor"/>
    </font>
    <font>
      <sz val="8"/>
      <name val="Arial"/>
      <family val="2"/>
    </font>
    <font>
      <sz val="9"/>
      <color indexed="8"/>
      <name val="Calibri"/>
      <family val="2"/>
      <scheme val="minor"/>
    </font>
    <font>
      <b/>
      <sz val="10"/>
      <name val="Arial"/>
      <family val="2"/>
    </font>
    <font>
      <b/>
      <sz val="20"/>
      <name val="Tahoma"/>
      <family val="2"/>
    </font>
    <font>
      <b/>
      <sz val="9"/>
      <name val="Arial"/>
      <family val="2"/>
    </font>
    <font>
      <sz val="10"/>
      <name val="Calibri"/>
      <family val="2"/>
    </font>
    <font>
      <sz val="9"/>
      <color indexed="8"/>
      <name val="Calibri"/>
      <family val="2"/>
    </font>
  </fonts>
  <fills count="6">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C0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s>
  <cellStyleXfs count="3">
    <xf numFmtId="0" fontId="0" fillId="0" borderId="0"/>
    <xf numFmtId="9" fontId="3" fillId="0" borderId="0" applyFill="0" applyBorder="0" applyAlignment="0" applyProtection="0"/>
    <xf numFmtId="0" fontId="1" fillId="0" borderId="0"/>
  </cellStyleXfs>
  <cellXfs count="95">
    <xf numFmtId="0" fontId="0" fillId="0" borderId="0" xfId="0"/>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6" fillId="0" borderId="1" xfId="0" applyFont="1" applyFill="1" applyBorder="1" applyAlignment="1">
      <alignment horizontal="center" vertical="center"/>
    </xf>
    <xf numFmtId="9" fontId="8" fillId="0" borderId="1" xfId="1" applyFont="1" applyBorder="1" applyAlignment="1">
      <alignment horizontal="center" vertical="center"/>
    </xf>
    <xf numFmtId="0" fontId="8" fillId="0" borderId="1" xfId="0" applyFont="1" applyBorder="1" applyAlignment="1">
      <alignment horizontal="center" vertical="center"/>
    </xf>
    <xf numFmtId="0" fontId="9" fillId="2" borderId="1" xfId="0" applyFont="1" applyFill="1" applyBorder="1" applyAlignment="1">
      <alignment horizontal="left" vertical="center" wrapText="1"/>
    </xf>
    <xf numFmtId="2" fontId="5" fillId="2" borderId="1" xfId="0" applyNumberFormat="1" applyFont="1" applyFill="1" applyBorder="1" applyAlignment="1">
      <alignment horizontal="center" vertical="center"/>
    </xf>
    <xf numFmtId="9" fontId="8" fillId="0" borderId="1" xfId="1" applyFont="1" applyFill="1" applyBorder="1" applyAlignment="1">
      <alignment horizontal="center" vertical="center"/>
    </xf>
    <xf numFmtId="0" fontId="8" fillId="0" borderId="1" xfId="0" applyFont="1" applyFill="1" applyBorder="1" applyAlignment="1">
      <alignment horizontal="center" vertical="center"/>
    </xf>
    <xf numFmtId="2" fontId="5" fillId="0" borderId="1" xfId="0" applyNumberFormat="1" applyFont="1" applyFill="1" applyBorder="1" applyAlignment="1">
      <alignment horizontal="center" vertical="center"/>
    </xf>
    <xf numFmtId="0" fontId="7" fillId="2" borderId="1" xfId="0" applyFont="1" applyFill="1" applyBorder="1" applyAlignment="1">
      <alignment horizontal="left" vertical="center"/>
    </xf>
    <xf numFmtId="0" fontId="9" fillId="2" borderId="1" xfId="0" applyFont="1" applyFill="1" applyBorder="1" applyAlignment="1">
      <alignment horizontal="left" vertical="center"/>
    </xf>
    <xf numFmtId="0" fontId="6" fillId="0" borderId="1" xfId="0" applyFont="1" applyFill="1" applyBorder="1" applyAlignment="1">
      <alignment horizontal="left" vertical="center"/>
    </xf>
    <xf numFmtId="0" fontId="7" fillId="0" borderId="1" xfId="0" applyFont="1" applyFill="1" applyBorder="1" applyAlignment="1">
      <alignment horizontal="left" vertical="center"/>
    </xf>
    <xf numFmtId="0" fontId="9" fillId="0" borderId="1" xfId="0" applyFont="1" applyFill="1" applyBorder="1" applyAlignment="1">
      <alignment horizontal="left" vertical="center"/>
    </xf>
    <xf numFmtId="0" fontId="10" fillId="3" borderId="1" xfId="0" applyFont="1" applyFill="1" applyBorder="1" applyAlignment="1"/>
    <xf numFmtId="9" fontId="8" fillId="0" borderId="1" xfId="1" applyFont="1" applyBorder="1" applyAlignment="1">
      <alignment horizontal="center" vertical="center" wrapText="1"/>
    </xf>
    <xf numFmtId="0" fontId="8" fillId="0" borderId="1" xfId="0" applyFont="1" applyBorder="1" applyAlignment="1">
      <alignment horizontal="center" vertical="center" wrapText="1"/>
    </xf>
    <xf numFmtId="2" fontId="5" fillId="2" borderId="1" xfId="0" applyNumberFormat="1" applyFont="1" applyFill="1" applyBorder="1" applyAlignment="1">
      <alignment horizontal="center" vertical="center" wrapText="1"/>
    </xf>
    <xf numFmtId="9" fontId="3" fillId="0" borderId="1" xfId="1" applyFill="1" applyBorder="1" applyAlignment="1">
      <alignment horizontal="center" vertical="center"/>
    </xf>
    <xf numFmtId="0" fontId="4" fillId="3" borderId="1" xfId="2" applyFont="1" applyFill="1" applyBorder="1" applyAlignment="1">
      <alignment horizontal="center" vertical="center" wrapText="1"/>
    </xf>
    <xf numFmtId="9" fontId="8" fillId="0" borderId="1" xfId="1" applyFont="1" applyFill="1" applyBorder="1" applyAlignment="1">
      <alignment horizontal="left" vertical="center"/>
    </xf>
    <xf numFmtId="0" fontId="8" fillId="0" borderId="1" xfId="0" applyFont="1" applyFill="1" applyBorder="1" applyAlignment="1">
      <alignment horizontal="left" vertical="center"/>
    </xf>
    <xf numFmtId="2" fontId="5" fillId="0" borderId="1" xfId="0" applyNumberFormat="1" applyFont="1" applyFill="1" applyBorder="1" applyAlignment="1">
      <alignment horizontal="left" vertical="center"/>
    </xf>
    <xf numFmtId="0" fontId="0" fillId="0" borderId="1" xfId="0" applyFill="1" applyBorder="1" applyAlignment="1">
      <alignment horizontal="left"/>
    </xf>
    <xf numFmtId="0" fontId="0" fillId="0" borderId="0" xfId="0" applyAlignment="1">
      <alignment horizontal="left"/>
    </xf>
    <xf numFmtId="14" fontId="0" fillId="0" borderId="0" xfId="0" applyNumberFormat="1" applyAlignment="1">
      <alignment horizontal="left"/>
    </xf>
    <xf numFmtId="0" fontId="6" fillId="3" borderId="1" xfId="0" applyFont="1" applyFill="1" applyBorder="1" applyAlignment="1">
      <alignment horizontal="left" vertical="center"/>
    </xf>
    <xf numFmtId="0" fontId="0" fillId="0" borderId="2" xfId="0" applyBorder="1" applyAlignment="1"/>
    <xf numFmtId="0" fontId="0" fillId="0" borderId="0" xfId="0" applyBorder="1" applyAlignment="1"/>
    <xf numFmtId="0" fontId="2" fillId="0" borderId="0" xfId="2" applyFont="1" applyAlignment="1">
      <alignment vertical="center" wrapText="1"/>
    </xf>
    <xf numFmtId="0" fontId="9" fillId="0" borderId="1" xfId="0" applyFont="1" applyFill="1" applyBorder="1" applyAlignment="1">
      <alignment vertical="center" wrapText="1"/>
    </xf>
    <xf numFmtId="0" fontId="10" fillId="0" borderId="1" xfId="0" applyFont="1" applyBorder="1" applyAlignment="1">
      <alignment horizontal="left"/>
    </xf>
    <xf numFmtId="0" fontId="10" fillId="0" borderId="0" xfId="0" applyFont="1" applyAlignment="1">
      <alignment horizontal="left"/>
    </xf>
    <xf numFmtId="0" fontId="10" fillId="0" borderId="0" xfId="0" applyFont="1"/>
    <xf numFmtId="14" fontId="0" fillId="0" borderId="0" xfId="0" applyNumberFormat="1"/>
    <xf numFmtId="0" fontId="0" fillId="0" borderId="0" xfId="0" applyAlignment="1">
      <alignment shrinkToFit="1"/>
    </xf>
    <xf numFmtId="0" fontId="0" fillId="0" borderId="0" xfId="0" applyAlignment="1">
      <alignment wrapText="1"/>
    </xf>
    <xf numFmtId="0" fontId="9" fillId="0" borderId="6" xfId="0" applyFont="1" applyFill="1" applyBorder="1" applyAlignment="1">
      <alignment vertical="center" wrapText="1"/>
    </xf>
    <xf numFmtId="0" fontId="9" fillId="0" borderId="9" xfId="0" applyFont="1" applyFill="1" applyBorder="1" applyAlignment="1">
      <alignment vertical="center" wrapText="1"/>
    </xf>
    <xf numFmtId="0" fontId="9" fillId="2" borderId="9"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15" xfId="0" applyFont="1" applyFill="1" applyBorder="1" applyAlignment="1">
      <alignment horizontal="center" vertical="center" wrapText="1"/>
    </xf>
    <xf numFmtId="0" fontId="4" fillId="2" borderId="15" xfId="0" applyFont="1" applyFill="1" applyBorder="1" applyAlignment="1">
      <alignment vertical="center" wrapText="1"/>
    </xf>
    <xf numFmtId="0" fontId="4" fillId="2" borderId="16" xfId="0" applyFont="1" applyFill="1" applyBorder="1" applyAlignment="1">
      <alignment horizontal="center" vertical="center" wrapText="1"/>
    </xf>
    <xf numFmtId="0" fontId="7" fillId="0" borderId="8" xfId="0" applyFont="1" applyFill="1" applyBorder="1" applyAlignment="1">
      <alignment horizontal="left" vertical="center" wrapText="1"/>
    </xf>
    <xf numFmtId="9" fontId="8" fillId="0" borderId="9" xfId="1" applyFont="1" applyBorder="1" applyAlignment="1">
      <alignment horizontal="center" vertical="center" wrapText="1"/>
    </xf>
    <xf numFmtId="0" fontId="8" fillId="0" borderId="9" xfId="0" applyFont="1" applyBorder="1" applyAlignment="1">
      <alignment horizontal="center" vertical="center" wrapText="1"/>
    </xf>
    <xf numFmtId="2" fontId="5" fillId="2" borderId="9" xfId="0" applyNumberFormat="1" applyFont="1" applyFill="1" applyBorder="1" applyAlignment="1">
      <alignment horizontal="center" vertical="center" wrapText="1"/>
    </xf>
    <xf numFmtId="2" fontId="5" fillId="2" borderId="10" xfId="0" applyNumberFormat="1" applyFont="1" applyFill="1" applyBorder="1" applyAlignment="1">
      <alignment horizontal="center" vertical="center" wrapText="1"/>
    </xf>
    <xf numFmtId="0" fontId="7" fillId="0" borderId="3" xfId="0" applyFont="1" applyFill="1" applyBorder="1" applyAlignment="1">
      <alignment horizontal="left" vertical="center" wrapText="1"/>
    </xf>
    <xf numFmtId="2" fontId="5" fillId="2" borderId="4" xfId="0" applyNumberFormat="1" applyFont="1" applyFill="1" applyBorder="1" applyAlignment="1">
      <alignment horizontal="center" vertical="center" wrapText="1"/>
    </xf>
    <xf numFmtId="0" fontId="7" fillId="0" borderId="5" xfId="0" applyFont="1" applyFill="1" applyBorder="1" applyAlignment="1">
      <alignment horizontal="left" vertical="center" wrapText="1"/>
    </xf>
    <xf numFmtId="9" fontId="8" fillId="0" borderId="6" xfId="1" applyFont="1" applyBorder="1" applyAlignment="1">
      <alignment horizontal="center" vertical="center" wrapText="1"/>
    </xf>
    <xf numFmtId="0" fontId="8" fillId="0" borderId="6" xfId="0" applyFont="1" applyBorder="1" applyAlignment="1">
      <alignment horizontal="center" vertical="center" wrapText="1"/>
    </xf>
    <xf numFmtId="0" fontId="9" fillId="2" borderId="6" xfId="0" applyFont="1" applyFill="1" applyBorder="1" applyAlignment="1">
      <alignment horizontal="left" vertical="center" wrapText="1"/>
    </xf>
    <xf numFmtId="2" fontId="5" fillId="2" borderId="6" xfId="0" applyNumberFormat="1" applyFont="1" applyFill="1" applyBorder="1" applyAlignment="1">
      <alignment horizontal="center" vertical="center" wrapText="1"/>
    </xf>
    <xf numFmtId="2" fontId="5" fillId="2" borderId="7" xfId="0" applyNumberFormat="1"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0" fillId="3" borderId="1" xfId="0" applyFill="1" applyBorder="1" applyAlignment="1">
      <alignment horizontal="left"/>
    </xf>
    <xf numFmtId="0" fontId="2" fillId="0" borderId="0" xfId="2" applyFont="1" applyFill="1" applyBorder="1" applyAlignment="1">
      <alignment horizontal="center" wrapText="1"/>
    </xf>
    <xf numFmtId="0" fontId="2" fillId="0" borderId="0" xfId="2" applyFont="1" applyFill="1" applyBorder="1" applyAlignment="1">
      <alignment wrapText="1"/>
    </xf>
    <xf numFmtId="0" fontId="2" fillId="0" borderId="0" xfId="2" applyFont="1" applyFill="1" applyBorder="1" applyAlignment="1">
      <alignment vertical="center" wrapText="1"/>
    </xf>
    <xf numFmtId="0" fontId="2" fillId="0" borderId="0" xfId="2"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4" fillId="3" borderId="1" xfId="2" applyFont="1" applyFill="1" applyBorder="1" applyAlignment="1">
      <alignment vertical="center" wrapText="1"/>
    </xf>
    <xf numFmtId="0" fontId="6" fillId="5" borderId="1" xfId="0" applyFont="1" applyFill="1" applyBorder="1" applyAlignment="1">
      <alignment horizontal="left" vertical="center"/>
    </xf>
    <xf numFmtId="0" fontId="7" fillId="5" borderId="1" xfId="0" applyFont="1" applyFill="1" applyBorder="1" applyAlignment="1">
      <alignment horizontal="left" vertical="center"/>
    </xf>
    <xf numFmtId="9" fontId="3" fillId="5" borderId="1" xfId="1" applyFill="1" applyBorder="1" applyAlignment="1">
      <alignment horizontal="center" vertical="center"/>
    </xf>
    <xf numFmtId="0" fontId="9" fillId="5" borderId="1" xfId="0" applyFont="1" applyFill="1" applyBorder="1" applyAlignment="1">
      <alignment horizontal="left" vertical="center"/>
    </xf>
    <xf numFmtId="2" fontId="5" fillId="5" borderId="1" xfId="0" applyNumberFormat="1" applyFont="1" applyFill="1" applyBorder="1" applyAlignment="1">
      <alignment horizontal="left" vertical="center"/>
    </xf>
    <xf numFmtId="0" fontId="0" fillId="5" borderId="1" xfId="0" applyFill="1" applyBorder="1" applyAlignment="1">
      <alignment horizontal="left"/>
    </xf>
    <xf numFmtId="14" fontId="0" fillId="5" borderId="0" xfId="0" applyNumberFormat="1" applyFill="1"/>
    <xf numFmtId="0" fontId="2" fillId="2" borderId="1" xfId="0" applyFont="1" applyFill="1" applyBorder="1" applyAlignment="1" applyProtection="1">
      <alignment horizontal="center" vertical="center" wrapText="1"/>
      <protection locked="0"/>
    </xf>
    <xf numFmtId="0" fontId="6" fillId="0" borderId="1" xfId="0" applyFont="1" applyFill="1" applyBorder="1" applyAlignment="1" applyProtection="1">
      <alignment horizontal="center" vertical="center" wrapText="1"/>
      <protection locked="0"/>
    </xf>
    <xf numFmtId="0" fontId="7" fillId="0" borderId="1" xfId="0" applyFont="1" applyFill="1" applyBorder="1" applyAlignment="1" applyProtection="1">
      <alignment horizontal="left" vertical="center" wrapText="1"/>
      <protection locked="0"/>
    </xf>
    <xf numFmtId="9" fontId="8" fillId="0" borderId="1" xfId="1"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9" fillId="0" borderId="1" xfId="0" applyFont="1" applyFill="1" applyBorder="1" applyAlignment="1" applyProtection="1">
      <alignment vertical="center" wrapText="1"/>
      <protection locked="0"/>
    </xf>
    <xf numFmtId="0" fontId="9" fillId="2" borderId="1" xfId="0" applyFont="1" applyFill="1" applyBorder="1" applyAlignment="1" applyProtection="1">
      <alignment horizontal="left" vertical="center" wrapText="1"/>
      <protection locked="0"/>
    </xf>
    <xf numFmtId="2" fontId="5" fillId="2" borderId="1" xfId="0" applyNumberFormat="1" applyFont="1" applyFill="1" applyBorder="1" applyAlignment="1" applyProtection="1">
      <alignment horizontal="center" vertical="center" wrapText="1"/>
      <protection locked="0"/>
    </xf>
    <xf numFmtId="2" fontId="5" fillId="2" borderId="1" xfId="0" applyNumberFormat="1" applyFont="1" applyFill="1" applyBorder="1" applyAlignment="1" applyProtection="1">
      <alignment horizontal="center" vertical="center" wrapText="1"/>
    </xf>
    <xf numFmtId="0" fontId="2" fillId="2" borderId="1" xfId="0" applyFont="1" applyFill="1" applyBorder="1" applyAlignment="1" applyProtection="1">
      <alignment horizontal="left" vertical="center" wrapText="1"/>
      <protection locked="0"/>
    </xf>
    <xf numFmtId="2" fontId="5" fillId="2" borderId="1" xfId="0" applyNumberFormat="1" applyFont="1" applyFill="1" applyBorder="1" applyAlignment="1" applyProtection="1">
      <alignment vertical="center" wrapText="1"/>
      <protection locked="0"/>
    </xf>
    <xf numFmtId="0" fontId="2" fillId="0" borderId="1" xfId="2" applyFont="1" applyBorder="1" applyAlignment="1" applyProtection="1">
      <alignment horizontal="center" vertical="center" wrapText="1"/>
      <protection locked="0"/>
    </xf>
    <xf numFmtId="4" fontId="2" fillId="0" borderId="1" xfId="2" applyNumberFormat="1" applyFont="1" applyBorder="1" applyAlignment="1" applyProtection="1">
      <alignment horizontal="center" vertical="center" wrapText="1"/>
      <protection locked="0"/>
    </xf>
    <xf numFmtId="0" fontId="2" fillId="0" borderId="1" xfId="2" applyFont="1" applyBorder="1" applyAlignment="1" applyProtection="1">
      <alignment vertical="center" wrapText="1"/>
      <protection locked="0"/>
    </xf>
    <xf numFmtId="9" fontId="8" fillId="4" borderId="1" xfId="1" applyFont="1" applyFill="1" applyBorder="1" applyAlignment="1" applyProtection="1">
      <alignment horizontal="center" vertical="center" wrapText="1"/>
      <protection locked="0"/>
    </xf>
    <xf numFmtId="0" fontId="0" fillId="0" borderId="17" xfId="0" applyFill="1" applyBorder="1" applyAlignment="1">
      <alignment horizontal="left"/>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cellXfs>
  <cellStyles count="3">
    <cellStyle name="Excel Built-in Normal" xfId="2"/>
    <cellStyle name="Normal" xfId="0" builtinId="0"/>
    <cellStyle name="Percent" xfId="1" builtinId="5"/>
  </cellStyles>
  <dxfs count="3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K8"/>
  <sheetViews>
    <sheetView topLeftCell="A6" workbookViewId="0">
      <selection activeCell="B2" sqref="B2:K8"/>
    </sheetView>
  </sheetViews>
  <sheetFormatPr defaultRowHeight="12.75" x14ac:dyDescent="0.2"/>
  <cols>
    <col min="2" max="2" width="18.5703125" bestFit="1" customWidth="1"/>
    <col min="5" max="5" width="60.42578125" customWidth="1"/>
  </cols>
  <sheetData>
    <row r="1" spans="2:11" ht="13.5" thickBot="1" x14ac:dyDescent="0.25"/>
    <row r="2" spans="2:11" ht="33.75" customHeight="1" thickBot="1" x14ac:dyDescent="0.25">
      <c r="B2" s="92" t="s">
        <v>3475</v>
      </c>
      <c r="C2" s="93"/>
      <c r="D2" s="93"/>
      <c r="E2" s="93"/>
      <c r="F2" s="93"/>
      <c r="G2" s="93"/>
      <c r="H2" s="93"/>
      <c r="I2" s="93"/>
      <c r="J2" s="93"/>
      <c r="K2" s="94"/>
    </row>
    <row r="3" spans="2:11" s="38" customFormat="1" ht="39" thickBot="1" x14ac:dyDescent="0.25">
      <c r="B3" s="42" t="s">
        <v>1</v>
      </c>
      <c r="C3" s="43" t="s">
        <v>2</v>
      </c>
      <c r="D3" s="43" t="s">
        <v>3</v>
      </c>
      <c r="E3" s="44" t="s">
        <v>4</v>
      </c>
      <c r="F3" s="43" t="s">
        <v>6</v>
      </c>
      <c r="G3" s="43" t="s">
        <v>7</v>
      </c>
      <c r="H3" s="43" t="s">
        <v>8</v>
      </c>
      <c r="I3" s="43" t="s">
        <v>9</v>
      </c>
      <c r="J3" s="43" t="s">
        <v>10</v>
      </c>
      <c r="K3" s="45" t="s">
        <v>3042</v>
      </c>
    </row>
    <row r="4" spans="2:11" ht="96" x14ac:dyDescent="0.2">
      <c r="B4" s="46" t="s">
        <v>3459</v>
      </c>
      <c r="C4" s="47">
        <v>0.12</v>
      </c>
      <c r="D4" s="48">
        <v>30049079</v>
      </c>
      <c r="E4" s="40" t="s">
        <v>3462</v>
      </c>
      <c r="F4" s="41" t="s">
        <v>3470</v>
      </c>
      <c r="G4" s="47" t="s">
        <v>2666</v>
      </c>
      <c r="H4" s="49">
        <v>162</v>
      </c>
      <c r="I4" s="49">
        <v>115.71428571428571</v>
      </c>
      <c r="J4" s="49">
        <v>115.71428571428571</v>
      </c>
      <c r="K4" s="50">
        <v>104.14285714285715</v>
      </c>
    </row>
    <row r="5" spans="2:11" ht="72" x14ac:dyDescent="0.2">
      <c r="B5" s="51" t="s">
        <v>920</v>
      </c>
      <c r="C5" s="17">
        <v>0.12</v>
      </c>
      <c r="D5" s="18">
        <v>30049099</v>
      </c>
      <c r="E5" s="32" t="s">
        <v>921</v>
      </c>
      <c r="F5" s="6" t="s">
        <v>323</v>
      </c>
      <c r="G5" s="17" t="s">
        <v>2696</v>
      </c>
      <c r="H5" s="19">
        <v>172.35</v>
      </c>
      <c r="I5" s="19">
        <v>123.10714285714286</v>
      </c>
      <c r="J5" s="19">
        <v>123.10714285714286</v>
      </c>
      <c r="K5" s="52">
        <v>98.48571428571428</v>
      </c>
    </row>
    <row r="6" spans="2:11" ht="108" x14ac:dyDescent="0.2">
      <c r="B6" s="51" t="s">
        <v>990</v>
      </c>
      <c r="C6" s="17">
        <v>0.12</v>
      </c>
      <c r="D6" s="18">
        <v>30049099</v>
      </c>
      <c r="E6" s="32" t="s">
        <v>991</v>
      </c>
      <c r="F6" s="6" t="s">
        <v>993</v>
      </c>
      <c r="G6" s="17" t="s">
        <v>2663</v>
      </c>
      <c r="H6" s="19">
        <v>282.89999999999998</v>
      </c>
      <c r="I6" s="19">
        <v>202.07142857142856</v>
      </c>
      <c r="J6" s="19">
        <v>202.07142857142856</v>
      </c>
      <c r="K6" s="52">
        <v>161.65714285714287</v>
      </c>
    </row>
    <row r="7" spans="2:11" ht="185.25" customHeight="1" x14ac:dyDescent="0.2">
      <c r="B7" s="51" t="s">
        <v>3460</v>
      </c>
      <c r="C7" s="17">
        <v>0.18</v>
      </c>
      <c r="D7" s="18">
        <v>21069099</v>
      </c>
      <c r="E7" s="32" t="s">
        <v>3463</v>
      </c>
      <c r="F7" s="6" t="s">
        <v>3474</v>
      </c>
      <c r="G7" s="17" t="s">
        <v>2664</v>
      </c>
      <c r="H7" s="19">
        <v>250</v>
      </c>
      <c r="I7" s="19">
        <v>169.4915254237288</v>
      </c>
      <c r="J7" s="19">
        <v>169.4915254237288</v>
      </c>
      <c r="K7" s="52">
        <v>130.37887485648682</v>
      </c>
    </row>
    <row r="8" spans="2:11" ht="60.75" thickBot="1" x14ac:dyDescent="0.25">
      <c r="B8" s="53" t="s">
        <v>3461</v>
      </c>
      <c r="C8" s="54">
        <v>0.12</v>
      </c>
      <c r="D8" s="55">
        <v>30043190</v>
      </c>
      <c r="E8" s="39" t="s">
        <v>3464</v>
      </c>
      <c r="F8" s="56" t="s">
        <v>3473</v>
      </c>
      <c r="G8" s="54" t="s">
        <v>2934</v>
      </c>
      <c r="H8" s="57">
        <v>197.56</v>
      </c>
      <c r="I8" s="57">
        <v>141.1142857142857</v>
      </c>
      <c r="J8" s="57">
        <v>141.1142857142857</v>
      </c>
      <c r="K8" s="58">
        <v>112.89142857142859</v>
      </c>
    </row>
  </sheetData>
  <mergeCells count="1">
    <mergeCell ref="B2:K2"/>
  </mergeCells>
  <pageMargins left="0.25" right="0.2" top="0.25" bottom="0" header="0.3" footer="0.3"/>
  <pageSetup paperSize="9" scale="9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B1184"/>
  <sheetViews>
    <sheetView tabSelected="1" zoomScaleNormal="100" zoomScaleSheetLayoutView="100" workbookViewId="0">
      <pane ySplit="1" topLeftCell="A1180" activePane="bottomLeft" state="frozen"/>
      <selection pane="bottomLeft" activeCell="A1184" sqref="A1184"/>
    </sheetView>
  </sheetViews>
  <sheetFormatPr defaultColWidth="9.28515625" defaultRowHeight="17.25" customHeight="1" x14ac:dyDescent="0.2"/>
  <cols>
    <col min="1" max="1" width="7.140625" style="61" bestFit="1" customWidth="1"/>
    <col min="2" max="2" width="11.5703125" style="61" customWidth="1"/>
    <col min="3" max="3" width="23.7109375" style="62" customWidth="1"/>
    <col min="4" max="4" width="9.85546875" style="62" customWidth="1"/>
    <col min="5" max="5" width="8.7109375" style="62" customWidth="1"/>
    <col min="6" max="6" width="43.5703125" style="63" customWidth="1"/>
    <col min="7" max="7" width="25" style="64" customWidth="1"/>
    <col min="8" max="8" width="11.85546875" style="62" customWidth="1"/>
    <col min="9" max="9" width="10.42578125" style="61" customWidth="1"/>
    <col min="10" max="10" width="8.28515625" style="62" customWidth="1"/>
    <col min="11" max="11" width="15.85546875" style="62" customWidth="1"/>
    <col min="12" max="12" width="13.7109375" style="61" customWidth="1"/>
    <col min="13" max="13" width="10.42578125" style="61" customWidth="1"/>
    <col min="14" max="14" width="9" style="61" customWidth="1"/>
    <col min="15" max="15" width="20.5703125" style="62" customWidth="1"/>
    <col min="16" max="16" width="61.5703125" style="63" customWidth="1"/>
    <col min="17" max="17" width="9.28515625" style="62" customWidth="1"/>
    <col min="18" max="18" width="5.28515625" style="61" customWidth="1"/>
    <col min="19" max="19" width="9.85546875" style="61" customWidth="1"/>
    <col min="20" max="20" width="8.85546875" style="61" customWidth="1"/>
    <col min="21" max="21" width="13" style="61" customWidth="1"/>
    <col min="22" max="22" width="13.140625" style="61" customWidth="1"/>
    <col min="23" max="24" width="12.5703125" style="61" customWidth="1"/>
    <col min="25" max="25" width="11.42578125" style="62" customWidth="1"/>
    <col min="26" max="26" width="9.7109375" style="62" customWidth="1"/>
    <col min="27" max="27" width="9.28515625" style="62"/>
    <col min="28" max="28" width="8.140625" style="62" bestFit="1" customWidth="1"/>
    <col min="29" max="16384" width="9.28515625" style="62"/>
  </cols>
  <sheetData>
    <row r="1" spans="1:28" s="31" customFormat="1" ht="30" customHeight="1" x14ac:dyDescent="0.2">
      <c r="A1" s="65" t="s">
        <v>3209</v>
      </c>
      <c r="B1" s="65" t="s">
        <v>0</v>
      </c>
      <c r="C1" s="66" t="s">
        <v>1</v>
      </c>
      <c r="D1" s="65" t="s">
        <v>2</v>
      </c>
      <c r="E1" s="65" t="s">
        <v>3</v>
      </c>
      <c r="F1" s="67" t="s">
        <v>4</v>
      </c>
      <c r="G1" s="66" t="s">
        <v>5</v>
      </c>
      <c r="H1" s="65" t="s">
        <v>6</v>
      </c>
      <c r="I1" s="65" t="s">
        <v>7</v>
      </c>
      <c r="J1" s="65" t="s">
        <v>8</v>
      </c>
      <c r="K1" s="65" t="s">
        <v>4267</v>
      </c>
      <c r="L1" s="65" t="s">
        <v>4268</v>
      </c>
      <c r="M1" s="65" t="s">
        <v>3042</v>
      </c>
      <c r="N1" s="65" t="s">
        <v>4269</v>
      </c>
      <c r="O1" s="66" t="s">
        <v>11</v>
      </c>
      <c r="P1" s="67" t="s">
        <v>12</v>
      </c>
      <c r="Q1" s="68" t="s">
        <v>4270</v>
      </c>
      <c r="R1" s="21" t="s">
        <v>3056</v>
      </c>
      <c r="S1" s="21" t="s">
        <v>3057</v>
      </c>
      <c r="T1" s="21" t="s">
        <v>3058</v>
      </c>
      <c r="U1" s="21" t="s">
        <v>3059</v>
      </c>
      <c r="V1" s="21" t="s">
        <v>3060</v>
      </c>
      <c r="W1" s="21" t="s">
        <v>3099</v>
      </c>
      <c r="X1" s="21" t="s">
        <v>3476</v>
      </c>
      <c r="Y1" s="21" t="s">
        <v>3559</v>
      </c>
      <c r="Z1" s="21" t="s">
        <v>3568</v>
      </c>
      <c r="AA1" s="21" t="s">
        <v>4219</v>
      </c>
      <c r="AB1" s="21" t="s">
        <v>3206</v>
      </c>
    </row>
    <row r="2" spans="1:28" s="31" customFormat="1" ht="60" customHeight="1" x14ac:dyDescent="0.2">
      <c r="A2" s="76">
        <v>1</v>
      </c>
      <c r="B2" s="77">
        <v>50003218</v>
      </c>
      <c r="C2" s="78" t="s">
        <v>13</v>
      </c>
      <c r="D2" s="79">
        <v>0.05</v>
      </c>
      <c r="E2" s="80">
        <v>30049079</v>
      </c>
      <c r="F2" s="81" t="s">
        <v>14</v>
      </c>
      <c r="G2" s="82" t="s">
        <v>15</v>
      </c>
      <c r="H2" s="82" t="s">
        <v>3289</v>
      </c>
      <c r="I2" s="79" t="s">
        <v>2663</v>
      </c>
      <c r="J2" s="83">
        <v>61.18</v>
      </c>
      <c r="K2" s="83">
        <v>46.61333333333333</v>
      </c>
      <c r="L2" s="83">
        <v>42.728888888888882</v>
      </c>
      <c r="M2" s="84">
        <v>38.455999999999996</v>
      </c>
      <c r="N2" s="59">
        <f t="shared" ref="N2:N65" si="0">(J2-M2)/J2</f>
        <v>0.3714285714285715</v>
      </c>
      <c r="O2" s="85" t="s">
        <v>16</v>
      </c>
      <c r="P2" s="86" t="s">
        <v>2695</v>
      </c>
      <c r="Q2" s="87" t="s">
        <v>3208</v>
      </c>
      <c r="R2" s="87">
        <v>15</v>
      </c>
      <c r="S2" s="88">
        <v>4.0786666666666669</v>
      </c>
      <c r="T2" s="88">
        <v>2.8485925925925923</v>
      </c>
      <c r="U2" s="88">
        <v>2.563733333333333</v>
      </c>
      <c r="V2" s="87" t="s">
        <v>3061</v>
      </c>
      <c r="W2" s="87" t="s">
        <v>3100</v>
      </c>
      <c r="X2" s="90" t="s">
        <v>3477</v>
      </c>
      <c r="Y2" s="89"/>
      <c r="Z2" s="89">
        <v>10</v>
      </c>
      <c r="AA2" s="89"/>
      <c r="AB2" s="89"/>
    </row>
    <row r="3" spans="1:28" s="31" customFormat="1" ht="60" customHeight="1" x14ac:dyDescent="0.2">
      <c r="A3" s="76">
        <v>2</v>
      </c>
      <c r="B3" s="77">
        <v>50002806</v>
      </c>
      <c r="C3" s="78" t="s">
        <v>17</v>
      </c>
      <c r="D3" s="79">
        <v>0.05</v>
      </c>
      <c r="E3" s="80">
        <v>30049072</v>
      </c>
      <c r="F3" s="81" t="s">
        <v>18</v>
      </c>
      <c r="G3" s="82" t="s">
        <v>19</v>
      </c>
      <c r="H3" s="82" t="s">
        <v>20</v>
      </c>
      <c r="I3" s="79" t="s">
        <v>2664</v>
      </c>
      <c r="J3" s="83">
        <v>34.950000000000003</v>
      </c>
      <c r="K3" s="83">
        <v>26.628571428571433</v>
      </c>
      <c r="L3" s="83">
        <v>26.628571428571433</v>
      </c>
      <c r="M3" s="84">
        <v>23.965714285714288</v>
      </c>
      <c r="N3" s="59">
        <f t="shared" si="0"/>
        <v>0.31428571428571428</v>
      </c>
      <c r="O3" s="85" t="s">
        <v>16</v>
      </c>
      <c r="P3" s="86" t="s">
        <v>2665</v>
      </c>
      <c r="Q3" s="87" t="s">
        <v>3207</v>
      </c>
      <c r="R3" s="87">
        <v>30</v>
      </c>
      <c r="S3" s="88">
        <v>1.165</v>
      </c>
      <c r="T3" s="88">
        <v>0.88761904761904775</v>
      </c>
      <c r="U3" s="88">
        <v>0.79885714285714293</v>
      </c>
      <c r="V3" s="87" t="s">
        <v>3061</v>
      </c>
      <c r="W3" s="87" t="s">
        <v>3100</v>
      </c>
      <c r="X3" s="90" t="s">
        <v>3477</v>
      </c>
      <c r="Y3" s="89" t="s">
        <v>3455</v>
      </c>
      <c r="Z3" s="89">
        <v>4</v>
      </c>
      <c r="AA3" s="89"/>
      <c r="AB3" s="89"/>
    </row>
    <row r="4" spans="1:28" s="31" customFormat="1" ht="60" customHeight="1" x14ac:dyDescent="0.2">
      <c r="A4" s="76">
        <v>3</v>
      </c>
      <c r="B4" s="77">
        <v>50003219</v>
      </c>
      <c r="C4" s="78" t="s">
        <v>23</v>
      </c>
      <c r="D4" s="79">
        <v>0.05</v>
      </c>
      <c r="E4" s="80">
        <v>30049072</v>
      </c>
      <c r="F4" s="81" t="s">
        <v>24</v>
      </c>
      <c r="G4" s="82" t="s">
        <v>25</v>
      </c>
      <c r="H4" s="82" t="s">
        <v>26</v>
      </c>
      <c r="I4" s="79" t="s">
        <v>2663</v>
      </c>
      <c r="J4" s="83">
        <v>23.67</v>
      </c>
      <c r="K4" s="83">
        <v>18.034285714285716</v>
      </c>
      <c r="L4" s="83">
        <v>18.034285714285716</v>
      </c>
      <c r="M4" s="84">
        <v>16.23085714285715</v>
      </c>
      <c r="N4" s="59">
        <f t="shared" si="0"/>
        <v>0.314285714285714</v>
      </c>
      <c r="O4" s="85" t="s">
        <v>16</v>
      </c>
      <c r="P4" s="86" t="s">
        <v>37</v>
      </c>
      <c r="Q4" s="87" t="s">
        <v>3207</v>
      </c>
      <c r="R4" s="87">
        <v>15</v>
      </c>
      <c r="S4" s="88">
        <v>1.5780000000000001</v>
      </c>
      <c r="T4" s="88">
        <v>1.2022857142857144</v>
      </c>
      <c r="U4" s="88">
        <v>1.0820571428571433</v>
      </c>
      <c r="V4" s="87" t="s">
        <v>3061</v>
      </c>
      <c r="W4" s="87" t="s">
        <v>3100</v>
      </c>
      <c r="X4" s="90" t="s">
        <v>3477</v>
      </c>
      <c r="Y4" s="89" t="s">
        <v>3455</v>
      </c>
      <c r="Z4" s="89">
        <v>10</v>
      </c>
      <c r="AA4" s="89"/>
      <c r="AB4" s="89"/>
    </row>
    <row r="5" spans="1:28" s="31" customFormat="1" ht="60" customHeight="1" x14ac:dyDescent="0.2">
      <c r="A5" s="76">
        <v>4</v>
      </c>
      <c r="B5" s="77">
        <v>50000833</v>
      </c>
      <c r="C5" s="78" t="s">
        <v>27</v>
      </c>
      <c r="D5" s="79">
        <v>0.05</v>
      </c>
      <c r="E5" s="80">
        <v>30049072</v>
      </c>
      <c r="F5" s="81" t="s">
        <v>28</v>
      </c>
      <c r="G5" s="82" t="s">
        <v>29</v>
      </c>
      <c r="H5" s="82" t="s">
        <v>30</v>
      </c>
      <c r="I5" s="79" t="s">
        <v>2666</v>
      </c>
      <c r="J5" s="83">
        <v>34.200000000000003</v>
      </c>
      <c r="K5" s="83">
        <v>26.05714285714286</v>
      </c>
      <c r="L5" s="83">
        <v>26.05714285714286</v>
      </c>
      <c r="M5" s="84">
        <v>23.451428571428568</v>
      </c>
      <c r="N5" s="59">
        <f t="shared" si="0"/>
        <v>0.31428571428571445</v>
      </c>
      <c r="O5" s="85" t="s">
        <v>16</v>
      </c>
      <c r="P5" s="86" t="s">
        <v>22</v>
      </c>
      <c r="Q5" s="87" t="s">
        <v>3207</v>
      </c>
      <c r="R5" s="87">
        <v>10</v>
      </c>
      <c r="S5" s="88">
        <v>3.4200000000000004</v>
      </c>
      <c r="T5" s="88">
        <v>2.6057142857142859</v>
      </c>
      <c r="U5" s="88">
        <v>2.3451428571428568</v>
      </c>
      <c r="V5" s="87" t="s">
        <v>3061</v>
      </c>
      <c r="W5" s="87" t="s">
        <v>3100</v>
      </c>
      <c r="X5" s="90" t="s">
        <v>3477</v>
      </c>
      <c r="Y5" s="89" t="s">
        <v>3455</v>
      </c>
      <c r="Z5" s="89">
        <v>10</v>
      </c>
      <c r="AA5" s="89"/>
      <c r="AB5" s="89"/>
    </row>
    <row r="6" spans="1:28" s="31" customFormat="1" ht="60" customHeight="1" x14ac:dyDescent="0.2">
      <c r="A6" s="76">
        <v>5</v>
      </c>
      <c r="B6" s="77">
        <v>50000513</v>
      </c>
      <c r="C6" s="78" t="s">
        <v>31</v>
      </c>
      <c r="D6" s="79">
        <v>0.05</v>
      </c>
      <c r="E6" s="80">
        <v>30049079</v>
      </c>
      <c r="F6" s="81" t="s">
        <v>32</v>
      </c>
      <c r="G6" s="82" t="s">
        <v>33</v>
      </c>
      <c r="H6" s="82" t="s">
        <v>3700</v>
      </c>
      <c r="I6" s="79" t="s">
        <v>2666</v>
      </c>
      <c r="J6" s="83">
        <v>48.02</v>
      </c>
      <c r="K6" s="83">
        <v>36.586666666666666</v>
      </c>
      <c r="L6" s="83">
        <v>36.586666666666666</v>
      </c>
      <c r="M6" s="84">
        <v>32.927999999999997</v>
      </c>
      <c r="N6" s="59">
        <f t="shared" si="0"/>
        <v>0.31428571428571439</v>
      </c>
      <c r="O6" s="85" t="s">
        <v>16</v>
      </c>
      <c r="P6" s="86" t="s">
        <v>2667</v>
      </c>
      <c r="Q6" s="87" t="s">
        <v>3208</v>
      </c>
      <c r="R6" s="87">
        <v>10</v>
      </c>
      <c r="S6" s="88">
        <v>4.8020000000000005</v>
      </c>
      <c r="T6" s="88">
        <v>3.6586666666666665</v>
      </c>
      <c r="U6" s="88">
        <v>3.2927999999999997</v>
      </c>
      <c r="V6" s="87" t="s">
        <v>3061</v>
      </c>
      <c r="W6" s="87" t="s">
        <v>3100</v>
      </c>
      <c r="X6" s="90" t="s">
        <v>3477</v>
      </c>
      <c r="Y6" s="89" t="s">
        <v>3455</v>
      </c>
      <c r="Z6" s="89">
        <v>10</v>
      </c>
      <c r="AA6" s="89"/>
      <c r="AB6" s="89"/>
    </row>
    <row r="7" spans="1:28" s="31" customFormat="1" ht="60" customHeight="1" x14ac:dyDescent="0.2">
      <c r="A7" s="76">
        <v>6</v>
      </c>
      <c r="B7" s="77">
        <v>50000134</v>
      </c>
      <c r="C7" s="78" t="s">
        <v>34</v>
      </c>
      <c r="D7" s="79">
        <v>0.05</v>
      </c>
      <c r="E7" s="80">
        <v>30049079</v>
      </c>
      <c r="F7" s="81" t="s">
        <v>35</v>
      </c>
      <c r="G7" s="82" t="s">
        <v>36</v>
      </c>
      <c r="H7" s="82" t="s">
        <v>3289</v>
      </c>
      <c r="I7" s="79" t="s">
        <v>2666</v>
      </c>
      <c r="J7" s="83">
        <v>86.71</v>
      </c>
      <c r="K7" s="83">
        <v>66.064761904761909</v>
      </c>
      <c r="L7" s="83">
        <v>66.064761904761909</v>
      </c>
      <c r="M7" s="84">
        <v>59.458285714285722</v>
      </c>
      <c r="N7" s="59">
        <f t="shared" si="0"/>
        <v>0.31428571428571417</v>
      </c>
      <c r="O7" s="85" t="s">
        <v>16</v>
      </c>
      <c r="P7" s="86" t="s">
        <v>2668</v>
      </c>
      <c r="Q7" s="87" t="s">
        <v>3208</v>
      </c>
      <c r="R7" s="87">
        <v>10</v>
      </c>
      <c r="S7" s="88">
        <v>8.6709999999999994</v>
      </c>
      <c r="T7" s="88">
        <v>6.6064761904761911</v>
      </c>
      <c r="U7" s="88">
        <v>5.9458285714285726</v>
      </c>
      <c r="V7" s="87" t="s">
        <v>3061</v>
      </c>
      <c r="W7" s="87" t="s">
        <v>3100</v>
      </c>
      <c r="X7" s="90" t="s">
        <v>3477</v>
      </c>
      <c r="Y7" s="89"/>
      <c r="Z7" s="89">
        <v>10</v>
      </c>
      <c r="AA7" s="89"/>
      <c r="AB7" s="89"/>
    </row>
    <row r="8" spans="1:28" s="31" customFormat="1" ht="60" customHeight="1" x14ac:dyDescent="0.2">
      <c r="A8" s="76">
        <v>7</v>
      </c>
      <c r="B8" s="77">
        <v>50004806</v>
      </c>
      <c r="C8" s="78" t="s">
        <v>38</v>
      </c>
      <c r="D8" s="79">
        <v>0.05</v>
      </c>
      <c r="E8" s="80">
        <v>30049099</v>
      </c>
      <c r="F8" s="81" t="s">
        <v>4796</v>
      </c>
      <c r="G8" s="82" t="s">
        <v>39</v>
      </c>
      <c r="H8" s="82" t="s">
        <v>3701</v>
      </c>
      <c r="I8" s="79" t="s">
        <v>2669</v>
      </c>
      <c r="J8" s="83">
        <v>363.66</v>
      </c>
      <c r="K8" s="83">
        <v>277.07428571428574</v>
      </c>
      <c r="L8" s="83">
        <v>277.07428571428574</v>
      </c>
      <c r="M8" s="84">
        <v>221.65942857142861</v>
      </c>
      <c r="N8" s="59">
        <f t="shared" si="0"/>
        <v>0.39047619047619042</v>
      </c>
      <c r="O8" s="85" t="s">
        <v>16</v>
      </c>
      <c r="P8" s="86" t="s">
        <v>37</v>
      </c>
      <c r="Q8" s="87" t="s">
        <v>3208</v>
      </c>
      <c r="R8" s="87">
        <v>14</v>
      </c>
      <c r="S8" s="88">
        <v>25.975714285714286</v>
      </c>
      <c r="T8" s="88">
        <v>19.791020408163266</v>
      </c>
      <c r="U8" s="88">
        <v>15.832816326530615</v>
      </c>
      <c r="V8" s="87" t="s">
        <v>3061</v>
      </c>
      <c r="W8" s="87" t="s">
        <v>3100</v>
      </c>
      <c r="X8" s="90" t="s">
        <v>3477</v>
      </c>
      <c r="Y8" s="89" t="s">
        <v>3455</v>
      </c>
      <c r="Z8" s="89">
        <v>2</v>
      </c>
      <c r="AA8" s="89"/>
      <c r="AB8" s="89"/>
    </row>
    <row r="9" spans="1:28" s="31" customFormat="1" ht="60" customHeight="1" x14ac:dyDescent="0.2">
      <c r="A9" s="76">
        <v>8</v>
      </c>
      <c r="B9" s="77">
        <v>50004807</v>
      </c>
      <c r="C9" s="78" t="s">
        <v>40</v>
      </c>
      <c r="D9" s="79">
        <v>0.05</v>
      </c>
      <c r="E9" s="80">
        <v>30049099</v>
      </c>
      <c r="F9" s="81" t="s">
        <v>4797</v>
      </c>
      <c r="G9" s="82" t="s">
        <v>41</v>
      </c>
      <c r="H9" s="82" t="s">
        <v>3702</v>
      </c>
      <c r="I9" s="79" t="s">
        <v>2669</v>
      </c>
      <c r="J9" s="83">
        <v>554.24</v>
      </c>
      <c r="K9" s="83">
        <v>422.2780952380952</v>
      </c>
      <c r="L9" s="83">
        <v>422.2780952380952</v>
      </c>
      <c r="M9" s="84">
        <v>337.8224761904761</v>
      </c>
      <c r="N9" s="59">
        <f t="shared" si="0"/>
        <v>0.39047619047619064</v>
      </c>
      <c r="O9" s="85" t="s">
        <v>16</v>
      </c>
      <c r="P9" s="86" t="s">
        <v>37</v>
      </c>
      <c r="Q9" s="87" t="s">
        <v>3208</v>
      </c>
      <c r="R9" s="87">
        <v>14</v>
      </c>
      <c r="S9" s="88">
        <v>39.588571428571427</v>
      </c>
      <c r="T9" s="88">
        <v>30.162721088435372</v>
      </c>
      <c r="U9" s="88">
        <v>24.130176870748294</v>
      </c>
      <c r="V9" s="87" t="s">
        <v>3061</v>
      </c>
      <c r="W9" s="87" t="s">
        <v>3100</v>
      </c>
      <c r="X9" s="90" t="s">
        <v>3477</v>
      </c>
      <c r="Y9" s="89" t="s">
        <v>3455</v>
      </c>
      <c r="Z9" s="89">
        <v>2</v>
      </c>
      <c r="AA9" s="89"/>
      <c r="AB9" s="89"/>
    </row>
    <row r="10" spans="1:28" s="31" customFormat="1" ht="60" customHeight="1" x14ac:dyDescent="0.2">
      <c r="A10" s="76">
        <v>9</v>
      </c>
      <c r="B10" s="77">
        <v>50004808</v>
      </c>
      <c r="C10" s="78" t="s">
        <v>42</v>
      </c>
      <c r="D10" s="79">
        <v>0.05</v>
      </c>
      <c r="E10" s="80">
        <v>30049099</v>
      </c>
      <c r="F10" s="81" t="s">
        <v>4798</v>
      </c>
      <c r="G10" s="82" t="s">
        <v>43</v>
      </c>
      <c r="H10" s="82" t="s">
        <v>3703</v>
      </c>
      <c r="I10" s="79" t="s">
        <v>2670</v>
      </c>
      <c r="J10" s="83">
        <v>338.55</v>
      </c>
      <c r="K10" s="83">
        <v>257.94285714285718</v>
      </c>
      <c r="L10" s="83">
        <v>257.94285714285718</v>
      </c>
      <c r="M10" s="84">
        <v>206.35428571428577</v>
      </c>
      <c r="N10" s="59">
        <f t="shared" si="0"/>
        <v>0.39047619047619037</v>
      </c>
      <c r="O10" s="85" t="s">
        <v>16</v>
      </c>
      <c r="P10" s="86" t="s">
        <v>37</v>
      </c>
      <c r="Q10" s="87" t="s">
        <v>3208</v>
      </c>
      <c r="R10" s="87">
        <v>7</v>
      </c>
      <c r="S10" s="88">
        <v>48.364285714285714</v>
      </c>
      <c r="T10" s="88">
        <v>36.848979591836738</v>
      </c>
      <c r="U10" s="88">
        <v>29.479183673469397</v>
      </c>
      <c r="V10" s="87" t="s">
        <v>3061</v>
      </c>
      <c r="W10" s="87" t="s">
        <v>3100</v>
      </c>
      <c r="X10" s="90" t="s">
        <v>3477</v>
      </c>
      <c r="Y10" s="89" t="s">
        <v>3455</v>
      </c>
      <c r="Z10" s="89">
        <v>4</v>
      </c>
      <c r="AA10" s="89"/>
      <c r="AB10" s="89"/>
    </row>
    <row r="11" spans="1:28" s="31" customFormat="1" ht="60" customHeight="1" x14ac:dyDescent="0.2">
      <c r="A11" s="76">
        <v>10</v>
      </c>
      <c r="B11" s="77">
        <v>50000263</v>
      </c>
      <c r="C11" s="78" t="s">
        <v>44</v>
      </c>
      <c r="D11" s="79">
        <v>0.05</v>
      </c>
      <c r="E11" s="80">
        <v>30049021</v>
      </c>
      <c r="F11" s="81" t="s">
        <v>45</v>
      </c>
      <c r="G11" s="82" t="s">
        <v>46</v>
      </c>
      <c r="H11" s="82" t="s">
        <v>47</v>
      </c>
      <c r="I11" s="79" t="s">
        <v>2671</v>
      </c>
      <c r="J11" s="83">
        <v>8.66</v>
      </c>
      <c r="K11" s="83">
        <v>6.5980952380952376</v>
      </c>
      <c r="L11" s="83">
        <v>5.4984126984126975</v>
      </c>
      <c r="M11" s="84">
        <v>5.0805333333333333</v>
      </c>
      <c r="N11" s="59">
        <f t="shared" si="0"/>
        <v>0.41333333333333333</v>
      </c>
      <c r="O11" s="85" t="s">
        <v>16</v>
      </c>
      <c r="P11" s="86" t="s">
        <v>21</v>
      </c>
      <c r="Q11" s="87" t="s">
        <v>3207</v>
      </c>
      <c r="R11" s="87">
        <v>1</v>
      </c>
      <c r="S11" s="88">
        <v>8.66</v>
      </c>
      <c r="T11" s="88">
        <v>5.4984126984126975</v>
      </c>
      <c r="U11" s="88">
        <v>5.0805333333333333</v>
      </c>
      <c r="V11" s="87" t="s">
        <v>3061</v>
      </c>
      <c r="W11" s="87" t="s">
        <v>3101</v>
      </c>
      <c r="X11" s="90" t="s">
        <v>3477</v>
      </c>
      <c r="Y11" s="89"/>
      <c r="Z11" s="89">
        <v>30</v>
      </c>
      <c r="AA11" s="89"/>
      <c r="AB11" s="89"/>
    </row>
    <row r="12" spans="1:28" s="31" customFormat="1" ht="60" customHeight="1" x14ac:dyDescent="0.2">
      <c r="A12" s="76">
        <v>11</v>
      </c>
      <c r="B12" s="77">
        <v>50000426</v>
      </c>
      <c r="C12" s="78" t="s">
        <v>49</v>
      </c>
      <c r="D12" s="79">
        <v>0.05</v>
      </c>
      <c r="E12" s="80">
        <v>30049021</v>
      </c>
      <c r="F12" s="81" t="s">
        <v>50</v>
      </c>
      <c r="G12" s="82" t="s">
        <v>51</v>
      </c>
      <c r="H12" s="82" t="s">
        <v>52</v>
      </c>
      <c r="I12" s="79" t="s">
        <v>2672</v>
      </c>
      <c r="J12" s="83">
        <v>19.09</v>
      </c>
      <c r="K12" s="83">
        <v>14.544761904761904</v>
      </c>
      <c r="L12" s="83">
        <v>13.090285714285713</v>
      </c>
      <c r="M12" s="84">
        <v>13.090285714285713</v>
      </c>
      <c r="N12" s="59">
        <f t="shared" si="0"/>
        <v>0.31428571428571433</v>
      </c>
      <c r="O12" s="85" t="s">
        <v>16</v>
      </c>
      <c r="P12" s="86" t="s">
        <v>2673</v>
      </c>
      <c r="Q12" s="87" t="s">
        <v>3207</v>
      </c>
      <c r="R12" s="87">
        <v>1</v>
      </c>
      <c r="S12" s="88">
        <v>19.09</v>
      </c>
      <c r="T12" s="88">
        <v>13.090285714285713</v>
      </c>
      <c r="U12" s="88">
        <v>13.090285714285713</v>
      </c>
      <c r="V12" s="87" t="s">
        <v>3062</v>
      </c>
      <c r="W12" s="87" t="s">
        <v>3101</v>
      </c>
      <c r="X12" s="90" t="s">
        <v>3480</v>
      </c>
      <c r="Y12" s="89"/>
      <c r="Z12" s="89">
        <v>1</v>
      </c>
      <c r="AA12" s="89"/>
      <c r="AB12" s="89"/>
    </row>
    <row r="13" spans="1:28" s="31" customFormat="1" ht="60" customHeight="1" x14ac:dyDescent="0.2">
      <c r="A13" s="76">
        <v>12</v>
      </c>
      <c r="B13" s="77">
        <v>50000360</v>
      </c>
      <c r="C13" s="78" t="s">
        <v>54</v>
      </c>
      <c r="D13" s="79">
        <v>0.05</v>
      </c>
      <c r="E13" s="80">
        <v>30049021</v>
      </c>
      <c r="F13" s="81" t="s">
        <v>55</v>
      </c>
      <c r="G13" s="82" t="s">
        <v>56</v>
      </c>
      <c r="H13" s="82" t="s">
        <v>3704</v>
      </c>
      <c r="I13" s="79" t="s">
        <v>2671</v>
      </c>
      <c r="J13" s="83">
        <v>31.73</v>
      </c>
      <c r="K13" s="83">
        <v>24.175238095238093</v>
      </c>
      <c r="L13" s="83">
        <v>21.757714285714282</v>
      </c>
      <c r="M13" s="84">
        <v>19.581942857142863</v>
      </c>
      <c r="N13" s="59">
        <f t="shared" si="0"/>
        <v>0.38285714285714267</v>
      </c>
      <c r="O13" s="85" t="s">
        <v>16</v>
      </c>
      <c r="P13" s="86" t="s">
        <v>2674</v>
      </c>
      <c r="Q13" s="87" t="s">
        <v>3208</v>
      </c>
      <c r="R13" s="87">
        <v>1</v>
      </c>
      <c r="S13" s="88">
        <v>31.73</v>
      </c>
      <c r="T13" s="88">
        <v>21.757714285714282</v>
      </c>
      <c r="U13" s="88">
        <v>19.581942857142863</v>
      </c>
      <c r="V13" s="87" t="s">
        <v>3061</v>
      </c>
      <c r="W13" s="87" t="s">
        <v>3101</v>
      </c>
      <c r="X13" s="90" t="s">
        <v>3477</v>
      </c>
      <c r="Y13" s="89"/>
      <c r="Z13" s="89">
        <v>40</v>
      </c>
      <c r="AA13" s="89"/>
      <c r="AB13" s="89"/>
    </row>
    <row r="14" spans="1:28" s="31" customFormat="1" ht="60" customHeight="1" x14ac:dyDescent="0.2">
      <c r="A14" s="76">
        <v>13</v>
      </c>
      <c r="B14" s="77">
        <v>50000879</v>
      </c>
      <c r="C14" s="78" t="s">
        <v>57</v>
      </c>
      <c r="D14" s="79">
        <v>0.05</v>
      </c>
      <c r="E14" s="80">
        <v>30049021</v>
      </c>
      <c r="F14" s="81" t="s">
        <v>58</v>
      </c>
      <c r="G14" s="82" t="s">
        <v>59</v>
      </c>
      <c r="H14" s="82" t="s">
        <v>3705</v>
      </c>
      <c r="I14" s="79" t="s">
        <v>2671</v>
      </c>
      <c r="J14" s="83">
        <v>40.799999999999997</v>
      </c>
      <c r="K14" s="83">
        <v>31.085714285714282</v>
      </c>
      <c r="L14" s="83">
        <v>25.904761904761902</v>
      </c>
      <c r="M14" s="84">
        <v>23.935999999999996</v>
      </c>
      <c r="N14" s="59">
        <f t="shared" si="0"/>
        <v>0.41333333333333339</v>
      </c>
      <c r="O14" s="85" t="s">
        <v>16</v>
      </c>
      <c r="P14" s="86" t="s">
        <v>2675</v>
      </c>
      <c r="Q14" s="87" t="s">
        <v>3208</v>
      </c>
      <c r="R14" s="87">
        <v>1</v>
      </c>
      <c r="S14" s="88">
        <v>40.799999999999997</v>
      </c>
      <c r="T14" s="88">
        <v>25.904761904761902</v>
      </c>
      <c r="U14" s="88">
        <v>23.935999999999996</v>
      </c>
      <c r="V14" s="87" t="s">
        <v>3061</v>
      </c>
      <c r="W14" s="87" t="s">
        <v>3101</v>
      </c>
      <c r="X14" s="90" t="s">
        <v>3477</v>
      </c>
      <c r="Y14" s="89"/>
      <c r="Z14" s="89">
        <v>10</v>
      </c>
      <c r="AA14" s="89"/>
      <c r="AB14" s="89"/>
    </row>
    <row r="15" spans="1:28" s="31" customFormat="1" ht="60" customHeight="1" x14ac:dyDescent="0.2">
      <c r="A15" s="76">
        <v>14</v>
      </c>
      <c r="B15" s="77">
        <v>50000815</v>
      </c>
      <c r="C15" s="78" t="s">
        <v>60</v>
      </c>
      <c r="D15" s="79">
        <v>0.05</v>
      </c>
      <c r="E15" s="80">
        <v>30049021</v>
      </c>
      <c r="F15" s="81" t="s">
        <v>61</v>
      </c>
      <c r="G15" s="82" t="s">
        <v>62</v>
      </c>
      <c r="H15" s="82" t="s">
        <v>3706</v>
      </c>
      <c r="I15" s="79" t="s">
        <v>2672</v>
      </c>
      <c r="J15" s="83">
        <v>42.27</v>
      </c>
      <c r="K15" s="83">
        <v>32.205714285714286</v>
      </c>
      <c r="L15" s="83">
        <v>32.205714285714286</v>
      </c>
      <c r="M15" s="84">
        <v>28.985142857142854</v>
      </c>
      <c r="N15" s="59">
        <f t="shared" si="0"/>
        <v>0.31428571428571439</v>
      </c>
      <c r="O15" s="85" t="s">
        <v>16</v>
      </c>
      <c r="P15" s="86" t="s">
        <v>21</v>
      </c>
      <c r="Q15" s="87" t="s">
        <v>3208</v>
      </c>
      <c r="R15" s="87">
        <v>1</v>
      </c>
      <c r="S15" s="88">
        <v>42.27</v>
      </c>
      <c r="T15" s="88">
        <v>32.205714285714286</v>
      </c>
      <c r="U15" s="88">
        <v>28.985142857142854</v>
      </c>
      <c r="V15" s="87" t="s">
        <v>3062</v>
      </c>
      <c r="W15" s="87" t="s">
        <v>3101</v>
      </c>
      <c r="X15" s="90" t="s">
        <v>3480</v>
      </c>
      <c r="Y15" s="89"/>
      <c r="Z15" s="89">
        <v>1</v>
      </c>
      <c r="AA15" s="89"/>
      <c r="AB15" s="89"/>
    </row>
    <row r="16" spans="1:28" s="31" customFormat="1" ht="60" customHeight="1" x14ac:dyDescent="0.2">
      <c r="A16" s="76">
        <v>15</v>
      </c>
      <c r="B16" s="77">
        <v>50000012</v>
      </c>
      <c r="C16" s="78" t="s">
        <v>63</v>
      </c>
      <c r="D16" s="79">
        <v>0.05</v>
      </c>
      <c r="E16" s="80">
        <v>30042019</v>
      </c>
      <c r="F16" s="81" t="s">
        <v>64</v>
      </c>
      <c r="G16" s="82" t="s">
        <v>65</v>
      </c>
      <c r="H16" s="82" t="s">
        <v>66</v>
      </c>
      <c r="I16" s="79" t="s">
        <v>2666</v>
      </c>
      <c r="J16" s="83">
        <v>261.88</v>
      </c>
      <c r="K16" s="83">
        <v>199.52761904761905</v>
      </c>
      <c r="L16" s="83">
        <v>182.9003174603175</v>
      </c>
      <c r="M16" s="84">
        <v>164.61028571428577</v>
      </c>
      <c r="N16" s="59">
        <f t="shared" si="0"/>
        <v>0.37142857142857122</v>
      </c>
      <c r="O16" s="85" t="s">
        <v>16</v>
      </c>
      <c r="P16" s="86" t="s">
        <v>2676</v>
      </c>
      <c r="Q16" s="87" t="s">
        <v>3208</v>
      </c>
      <c r="R16" s="87">
        <v>10</v>
      </c>
      <c r="S16" s="88">
        <v>26.187999999999999</v>
      </c>
      <c r="T16" s="88">
        <v>18.290031746031751</v>
      </c>
      <c r="U16" s="88">
        <v>16.461028571428578</v>
      </c>
      <c r="V16" s="87" t="s">
        <v>3061</v>
      </c>
      <c r="W16" s="87" t="s">
        <v>3102</v>
      </c>
      <c r="X16" s="90" t="s">
        <v>3477</v>
      </c>
      <c r="Y16" s="89"/>
      <c r="Z16" s="89">
        <v>4</v>
      </c>
      <c r="AA16" s="89"/>
      <c r="AB16" s="89"/>
    </row>
    <row r="17" spans="1:28" s="31" customFormat="1" ht="60" customHeight="1" x14ac:dyDescent="0.2">
      <c r="A17" s="76">
        <v>16</v>
      </c>
      <c r="B17" s="77">
        <v>50002230</v>
      </c>
      <c r="C17" s="78" t="s">
        <v>69</v>
      </c>
      <c r="D17" s="79">
        <v>0.05</v>
      </c>
      <c r="E17" s="80">
        <v>30042019</v>
      </c>
      <c r="F17" s="81" t="s">
        <v>70</v>
      </c>
      <c r="G17" s="82" t="s">
        <v>71</v>
      </c>
      <c r="H17" s="82" t="s">
        <v>72</v>
      </c>
      <c r="I17" s="79" t="s">
        <v>2666</v>
      </c>
      <c r="J17" s="83">
        <v>459.72</v>
      </c>
      <c r="K17" s="83">
        <v>350.26285714285711</v>
      </c>
      <c r="L17" s="83">
        <v>321.07428571428568</v>
      </c>
      <c r="M17" s="84">
        <v>288.96685714285707</v>
      </c>
      <c r="N17" s="59">
        <f t="shared" si="0"/>
        <v>0.37142857142857161</v>
      </c>
      <c r="O17" s="85" t="s">
        <v>16</v>
      </c>
      <c r="P17" s="86" t="s">
        <v>2677</v>
      </c>
      <c r="Q17" s="87" t="s">
        <v>3207</v>
      </c>
      <c r="R17" s="87">
        <v>10</v>
      </c>
      <c r="S17" s="88">
        <v>45.972000000000001</v>
      </c>
      <c r="T17" s="88">
        <v>32.107428571428571</v>
      </c>
      <c r="U17" s="88">
        <v>28.896685714285706</v>
      </c>
      <c r="V17" s="87" t="s">
        <v>3061</v>
      </c>
      <c r="W17" s="87" t="s">
        <v>3102</v>
      </c>
      <c r="X17" s="90" t="s">
        <v>3477</v>
      </c>
      <c r="Y17" s="89"/>
      <c r="Z17" s="89">
        <v>6</v>
      </c>
      <c r="AA17" s="89"/>
      <c r="AB17" s="89"/>
    </row>
    <row r="18" spans="1:28" s="31" customFormat="1" ht="60" customHeight="1" x14ac:dyDescent="0.2">
      <c r="A18" s="76">
        <v>17</v>
      </c>
      <c r="B18" s="77">
        <v>50000192</v>
      </c>
      <c r="C18" s="78" t="s">
        <v>73</v>
      </c>
      <c r="D18" s="79">
        <v>0.05</v>
      </c>
      <c r="E18" s="80">
        <v>30042019</v>
      </c>
      <c r="F18" s="81" t="s">
        <v>74</v>
      </c>
      <c r="G18" s="82" t="s">
        <v>75</v>
      </c>
      <c r="H18" s="82" t="s">
        <v>76</v>
      </c>
      <c r="I18" s="79" t="s">
        <v>2678</v>
      </c>
      <c r="J18" s="83">
        <v>169.19</v>
      </c>
      <c r="K18" s="83">
        <v>128.90666666666667</v>
      </c>
      <c r="L18" s="83">
        <v>118.16444444444444</v>
      </c>
      <c r="M18" s="84">
        <v>106.34799999999998</v>
      </c>
      <c r="N18" s="59">
        <f t="shared" si="0"/>
        <v>0.3714285714285715</v>
      </c>
      <c r="O18" s="85" t="s">
        <v>16</v>
      </c>
      <c r="P18" s="86" t="s">
        <v>2679</v>
      </c>
      <c r="Q18" s="87" t="s">
        <v>3207</v>
      </c>
      <c r="R18" s="87">
        <v>1</v>
      </c>
      <c r="S18" s="88">
        <v>169.19</v>
      </c>
      <c r="T18" s="88">
        <v>118.16444444444444</v>
      </c>
      <c r="U18" s="88">
        <v>106.34799999999998</v>
      </c>
      <c r="V18" s="87" t="s">
        <v>3062</v>
      </c>
      <c r="W18" s="87" t="s">
        <v>3102</v>
      </c>
      <c r="X18" s="90" t="s">
        <v>3480</v>
      </c>
      <c r="Y18" s="89"/>
      <c r="Z18" s="89">
        <v>1</v>
      </c>
      <c r="AA18" s="89"/>
      <c r="AB18" s="89"/>
    </row>
    <row r="19" spans="1:28" s="31" customFormat="1" ht="60" customHeight="1" x14ac:dyDescent="0.2">
      <c r="A19" s="76">
        <v>18</v>
      </c>
      <c r="B19" s="77">
        <v>50000669</v>
      </c>
      <c r="C19" s="78" t="s">
        <v>78</v>
      </c>
      <c r="D19" s="79">
        <v>0.05</v>
      </c>
      <c r="E19" s="80">
        <v>30049099</v>
      </c>
      <c r="F19" s="81" t="s">
        <v>79</v>
      </c>
      <c r="G19" s="82" t="s">
        <v>80</v>
      </c>
      <c r="H19" s="82" t="s">
        <v>3707</v>
      </c>
      <c r="I19" s="79" t="s">
        <v>2680</v>
      </c>
      <c r="J19" s="83">
        <v>79.39</v>
      </c>
      <c r="K19" s="83">
        <v>60.487619047619049</v>
      </c>
      <c r="L19" s="83">
        <v>46.085804988662133</v>
      </c>
      <c r="M19" s="84">
        <v>41.494506666666666</v>
      </c>
      <c r="N19" s="59">
        <f t="shared" si="0"/>
        <v>0.47733333333333333</v>
      </c>
      <c r="O19" s="85" t="s">
        <v>16</v>
      </c>
      <c r="P19" s="86" t="s">
        <v>2681</v>
      </c>
      <c r="Q19" s="87" t="s">
        <v>3208</v>
      </c>
      <c r="R19" s="87">
        <v>1</v>
      </c>
      <c r="S19" s="88">
        <v>79.39</v>
      </c>
      <c r="T19" s="88">
        <v>46.085804988662133</v>
      </c>
      <c r="U19" s="88">
        <v>41.494506666666666</v>
      </c>
      <c r="V19" s="87" t="s">
        <v>3062</v>
      </c>
      <c r="W19" s="87" t="s">
        <v>3103</v>
      </c>
      <c r="X19" s="90" t="s">
        <v>3480</v>
      </c>
      <c r="Y19" s="89"/>
      <c r="Z19" s="89">
        <v>1</v>
      </c>
      <c r="AA19" s="89"/>
      <c r="AB19" s="89"/>
    </row>
    <row r="20" spans="1:28" s="31" customFormat="1" ht="60" customHeight="1" x14ac:dyDescent="0.2">
      <c r="A20" s="76">
        <v>19</v>
      </c>
      <c r="B20" s="77">
        <v>50000545</v>
      </c>
      <c r="C20" s="78" t="s">
        <v>78</v>
      </c>
      <c r="D20" s="79">
        <v>0.05</v>
      </c>
      <c r="E20" s="80">
        <v>30049099</v>
      </c>
      <c r="F20" s="81" t="s">
        <v>79</v>
      </c>
      <c r="G20" s="82" t="s">
        <v>80</v>
      </c>
      <c r="H20" s="82" t="s">
        <v>3707</v>
      </c>
      <c r="I20" s="79" t="s">
        <v>2682</v>
      </c>
      <c r="J20" s="83">
        <v>113.43</v>
      </c>
      <c r="K20" s="83">
        <v>86.42285714285714</v>
      </c>
      <c r="L20" s="83">
        <v>66.257523809523803</v>
      </c>
      <c r="M20" s="84">
        <v>59.286079999999998</v>
      </c>
      <c r="N20" s="59">
        <f t="shared" si="0"/>
        <v>0.47733333333333339</v>
      </c>
      <c r="O20" s="85" t="s">
        <v>16</v>
      </c>
      <c r="P20" s="86" t="s">
        <v>3436</v>
      </c>
      <c r="Q20" s="87" t="s">
        <v>3208</v>
      </c>
      <c r="R20" s="87">
        <v>1</v>
      </c>
      <c r="S20" s="88">
        <v>113.43</v>
      </c>
      <c r="T20" s="88">
        <v>66.257523809523803</v>
      </c>
      <c r="U20" s="88">
        <v>59.286079999999998</v>
      </c>
      <c r="V20" s="87" t="s">
        <v>3062</v>
      </c>
      <c r="W20" s="87" t="s">
        <v>3103</v>
      </c>
      <c r="X20" s="90" t="s">
        <v>3480</v>
      </c>
      <c r="Y20" s="89"/>
      <c r="Z20" s="89">
        <v>1</v>
      </c>
      <c r="AA20" s="89"/>
      <c r="AB20" s="89"/>
    </row>
    <row r="21" spans="1:28" s="31" customFormat="1" ht="60" customHeight="1" x14ac:dyDescent="0.2">
      <c r="A21" s="76">
        <v>20</v>
      </c>
      <c r="B21" s="77">
        <v>50004112</v>
      </c>
      <c r="C21" s="78" t="s">
        <v>83</v>
      </c>
      <c r="D21" s="79">
        <v>0.18</v>
      </c>
      <c r="E21" s="80">
        <v>34011190</v>
      </c>
      <c r="F21" s="81" t="s">
        <v>84</v>
      </c>
      <c r="G21" s="82" t="s">
        <v>84</v>
      </c>
      <c r="H21" s="82" t="s">
        <v>85</v>
      </c>
      <c r="I21" s="79" t="s">
        <v>2684</v>
      </c>
      <c r="J21" s="83">
        <v>199</v>
      </c>
      <c r="K21" s="83">
        <v>134.91525423728814</v>
      </c>
      <c r="L21" s="83">
        <v>119.92467043314501</v>
      </c>
      <c r="M21" s="84">
        <v>107.93220338983051</v>
      </c>
      <c r="N21" s="59">
        <f t="shared" si="0"/>
        <v>0.4576271186440678</v>
      </c>
      <c r="O21" s="85" t="s">
        <v>16</v>
      </c>
      <c r="P21" s="86" t="s">
        <v>2685</v>
      </c>
      <c r="Q21" s="87" t="s">
        <v>3208</v>
      </c>
      <c r="R21" s="87">
        <v>1</v>
      </c>
      <c r="S21" s="88">
        <v>199</v>
      </c>
      <c r="T21" s="88">
        <v>119.92467043314501</v>
      </c>
      <c r="U21" s="88">
        <v>107.93220338983051</v>
      </c>
      <c r="V21" s="87" t="s">
        <v>3063</v>
      </c>
      <c r="W21" s="87" t="s">
        <v>3104</v>
      </c>
      <c r="X21" s="90" t="s">
        <v>3488</v>
      </c>
      <c r="Y21" s="89"/>
      <c r="Z21" s="89">
        <v>1</v>
      </c>
      <c r="AA21" s="89"/>
      <c r="AB21" s="89"/>
    </row>
    <row r="22" spans="1:28" s="31" customFormat="1" ht="60" customHeight="1" x14ac:dyDescent="0.2">
      <c r="A22" s="76">
        <v>21</v>
      </c>
      <c r="B22" s="77">
        <v>50004743</v>
      </c>
      <c r="C22" s="78" t="s">
        <v>86</v>
      </c>
      <c r="D22" s="79">
        <v>0.18</v>
      </c>
      <c r="E22" s="80">
        <v>33049990</v>
      </c>
      <c r="F22" s="81" t="s">
        <v>87</v>
      </c>
      <c r="G22" s="82" t="s">
        <v>87</v>
      </c>
      <c r="H22" s="82" t="s">
        <v>85</v>
      </c>
      <c r="I22" s="79" t="s">
        <v>2682</v>
      </c>
      <c r="J22" s="83">
        <v>350</v>
      </c>
      <c r="K22" s="83">
        <v>237.28813559322035</v>
      </c>
      <c r="L22" s="83">
        <v>197.74011299435028</v>
      </c>
      <c r="M22" s="84">
        <v>177.96610169491524</v>
      </c>
      <c r="N22" s="59">
        <f t="shared" si="0"/>
        <v>0.49152542372881358</v>
      </c>
      <c r="O22" s="85" t="s">
        <v>16</v>
      </c>
      <c r="P22" s="86" t="s">
        <v>2686</v>
      </c>
      <c r="Q22" s="87" t="s">
        <v>3208</v>
      </c>
      <c r="R22" s="87">
        <v>1</v>
      </c>
      <c r="S22" s="88">
        <v>350</v>
      </c>
      <c r="T22" s="88">
        <v>197.74011299435028</v>
      </c>
      <c r="U22" s="88">
        <v>177.96610169491524</v>
      </c>
      <c r="V22" s="87" t="s">
        <v>3062</v>
      </c>
      <c r="W22" s="87" t="s">
        <v>3104</v>
      </c>
      <c r="X22" s="90" t="s">
        <v>3483</v>
      </c>
      <c r="Y22" s="89"/>
      <c r="Z22" s="89">
        <v>1</v>
      </c>
      <c r="AA22" s="89"/>
      <c r="AB22" s="89"/>
    </row>
    <row r="23" spans="1:28" s="31" customFormat="1" ht="60" customHeight="1" x14ac:dyDescent="0.2">
      <c r="A23" s="76">
        <v>22</v>
      </c>
      <c r="B23" s="77">
        <v>50004742</v>
      </c>
      <c r="C23" s="78" t="s">
        <v>86</v>
      </c>
      <c r="D23" s="79">
        <v>0.18</v>
      </c>
      <c r="E23" s="80">
        <v>33049990</v>
      </c>
      <c r="F23" s="81" t="s">
        <v>87</v>
      </c>
      <c r="G23" s="82" t="s">
        <v>87</v>
      </c>
      <c r="H23" s="82" t="s">
        <v>85</v>
      </c>
      <c r="I23" s="79" t="s">
        <v>2687</v>
      </c>
      <c r="J23" s="83">
        <v>600</v>
      </c>
      <c r="K23" s="83">
        <v>406.77966101694915</v>
      </c>
      <c r="L23" s="83">
        <v>288.13559322033899</v>
      </c>
      <c r="M23" s="84">
        <v>288.13559322033899</v>
      </c>
      <c r="N23" s="59">
        <f t="shared" si="0"/>
        <v>0.51977401129943501</v>
      </c>
      <c r="O23" s="85" t="s">
        <v>16</v>
      </c>
      <c r="P23" s="86" t="s">
        <v>2686</v>
      </c>
      <c r="Q23" s="87" t="s">
        <v>3208</v>
      </c>
      <c r="R23" s="87">
        <v>1</v>
      </c>
      <c r="S23" s="88">
        <v>600</v>
      </c>
      <c r="T23" s="88">
        <v>288.13559322033899</v>
      </c>
      <c r="U23" s="88">
        <v>288.13559322033899</v>
      </c>
      <c r="V23" s="87" t="s">
        <v>3062</v>
      </c>
      <c r="W23" s="87" t="s">
        <v>3104</v>
      </c>
      <c r="X23" s="90" t="s">
        <v>3483</v>
      </c>
      <c r="Y23" s="89"/>
      <c r="Z23" s="89">
        <v>1</v>
      </c>
      <c r="AA23" s="89"/>
      <c r="AB23" s="89"/>
    </row>
    <row r="24" spans="1:28" s="31" customFormat="1" ht="60" customHeight="1" x14ac:dyDescent="0.2">
      <c r="A24" s="76">
        <v>23</v>
      </c>
      <c r="B24" s="77">
        <v>50004744</v>
      </c>
      <c r="C24" s="78" t="s">
        <v>3422</v>
      </c>
      <c r="D24" s="79">
        <v>0.18</v>
      </c>
      <c r="E24" s="80">
        <v>33049990</v>
      </c>
      <c r="F24" s="81" t="s">
        <v>3428</v>
      </c>
      <c r="G24" s="82" t="str">
        <f>F24</f>
        <v>Aqua, Light Liquid Paraffin, Zinc Oxide (Micronised), Cera Alba, Cera Microcristallina, Petrolatum, Sorbitan Sesquioleate, Peg-
30Dipolyhydroxystearate, Glycine Soja (Soybean) Oil (and) Calendula Officianlis Flower Extract (and) Tocopherol, Dimethicone,
Magnesium</v>
      </c>
      <c r="H24" s="82" t="s">
        <v>3111</v>
      </c>
      <c r="I24" s="79" t="s">
        <v>2772</v>
      </c>
      <c r="J24" s="83">
        <v>230</v>
      </c>
      <c r="K24" s="83">
        <v>155.93220338983051</v>
      </c>
      <c r="L24" s="83">
        <v>129.94350282485877</v>
      </c>
      <c r="M24" s="84">
        <v>123.44632768361583</v>
      </c>
      <c r="N24" s="59">
        <f t="shared" si="0"/>
        <v>0.46327683615819204</v>
      </c>
      <c r="O24" s="85" t="s">
        <v>16</v>
      </c>
      <c r="P24" s="86" t="s">
        <v>3434</v>
      </c>
      <c r="Q24" s="87" t="s">
        <v>3208</v>
      </c>
      <c r="R24" s="87">
        <v>1</v>
      </c>
      <c r="S24" s="88">
        <v>230</v>
      </c>
      <c r="T24" s="88">
        <v>129.94350282485877</v>
      </c>
      <c r="U24" s="88">
        <v>123.44632768361583</v>
      </c>
      <c r="V24" s="87" t="s">
        <v>3066</v>
      </c>
      <c r="W24" s="87" t="s">
        <v>3104</v>
      </c>
      <c r="X24" s="90" t="s">
        <v>3481</v>
      </c>
      <c r="Y24" s="89"/>
      <c r="Z24" s="89">
        <v>1</v>
      </c>
      <c r="AA24" s="89"/>
      <c r="AB24" s="89"/>
    </row>
    <row r="25" spans="1:28" s="31" customFormat="1" ht="60" customHeight="1" x14ac:dyDescent="0.2">
      <c r="A25" s="76">
        <v>24</v>
      </c>
      <c r="B25" s="77">
        <v>50004739</v>
      </c>
      <c r="C25" s="78" t="s">
        <v>88</v>
      </c>
      <c r="D25" s="79">
        <v>0.05</v>
      </c>
      <c r="E25" s="80">
        <v>33049990</v>
      </c>
      <c r="F25" s="81" t="s">
        <v>89</v>
      </c>
      <c r="G25" s="82" t="s">
        <v>89</v>
      </c>
      <c r="H25" s="82" t="s">
        <v>85</v>
      </c>
      <c r="I25" s="79" t="s">
        <v>2682</v>
      </c>
      <c r="J25" s="83">
        <v>266</v>
      </c>
      <c r="K25" s="83">
        <v>202.66666666666669</v>
      </c>
      <c r="L25" s="83">
        <v>168.88888888888891</v>
      </c>
      <c r="M25" s="84">
        <v>152.00000000000003</v>
      </c>
      <c r="N25" s="59">
        <f t="shared" si="0"/>
        <v>0.42857142857142849</v>
      </c>
      <c r="O25" s="85" t="s">
        <v>16</v>
      </c>
      <c r="P25" s="86" t="s">
        <v>235</v>
      </c>
      <c r="Q25" s="87" t="s">
        <v>3208</v>
      </c>
      <c r="R25" s="87">
        <v>1</v>
      </c>
      <c r="S25" s="88">
        <v>266</v>
      </c>
      <c r="T25" s="88">
        <v>168.88888888888891</v>
      </c>
      <c r="U25" s="88">
        <v>152.00000000000003</v>
      </c>
      <c r="V25" s="87" t="s">
        <v>3062</v>
      </c>
      <c r="W25" s="87" t="s">
        <v>3104</v>
      </c>
      <c r="X25" s="90" t="s">
        <v>3487</v>
      </c>
      <c r="Y25" s="89"/>
      <c r="Z25" s="89">
        <v>1</v>
      </c>
      <c r="AA25" s="89"/>
      <c r="AB25" s="89"/>
    </row>
    <row r="26" spans="1:28" s="31" customFormat="1" ht="60" customHeight="1" x14ac:dyDescent="0.2">
      <c r="A26" s="76">
        <v>25</v>
      </c>
      <c r="B26" s="77">
        <v>50004741</v>
      </c>
      <c r="C26" s="78" t="s">
        <v>88</v>
      </c>
      <c r="D26" s="79">
        <v>0.05</v>
      </c>
      <c r="E26" s="80">
        <v>33049990</v>
      </c>
      <c r="F26" s="81" t="s">
        <v>89</v>
      </c>
      <c r="G26" s="82" t="s">
        <v>89</v>
      </c>
      <c r="H26" s="82" t="s">
        <v>85</v>
      </c>
      <c r="I26" s="79" t="s">
        <v>2687</v>
      </c>
      <c r="J26" s="83">
        <v>422</v>
      </c>
      <c r="K26" s="83">
        <v>321.52380952380952</v>
      </c>
      <c r="L26" s="83">
        <v>227.74603174603172</v>
      </c>
      <c r="M26" s="84">
        <v>213.41142857142847</v>
      </c>
      <c r="N26" s="59">
        <f t="shared" si="0"/>
        <v>0.49428571428571449</v>
      </c>
      <c r="O26" s="85" t="s">
        <v>16</v>
      </c>
      <c r="P26" s="86" t="s">
        <v>235</v>
      </c>
      <c r="Q26" s="87" t="s">
        <v>3208</v>
      </c>
      <c r="R26" s="87">
        <v>1</v>
      </c>
      <c r="S26" s="88">
        <v>422</v>
      </c>
      <c r="T26" s="88">
        <v>227.74603174603172</v>
      </c>
      <c r="U26" s="88">
        <v>213.41142857142847</v>
      </c>
      <c r="V26" s="87" t="s">
        <v>3062</v>
      </c>
      <c r="W26" s="87" t="s">
        <v>3104</v>
      </c>
      <c r="X26" s="90" t="s">
        <v>3487</v>
      </c>
      <c r="Y26" s="89"/>
      <c r="Z26" s="89">
        <v>1</v>
      </c>
      <c r="AA26" s="89"/>
      <c r="AB26" s="89"/>
    </row>
    <row r="27" spans="1:28" s="31" customFormat="1" ht="60" customHeight="1" x14ac:dyDescent="0.2">
      <c r="A27" s="76">
        <v>26</v>
      </c>
      <c r="B27" s="77">
        <v>50000625</v>
      </c>
      <c r="C27" s="78" t="s">
        <v>92</v>
      </c>
      <c r="D27" s="79">
        <v>0.05</v>
      </c>
      <c r="E27" s="80">
        <v>30049069</v>
      </c>
      <c r="F27" s="81" t="s">
        <v>93</v>
      </c>
      <c r="G27" s="82" t="s">
        <v>94</v>
      </c>
      <c r="H27" s="82" t="s">
        <v>3708</v>
      </c>
      <c r="I27" s="79" t="s">
        <v>2666</v>
      </c>
      <c r="J27" s="83">
        <v>133.25</v>
      </c>
      <c r="K27" s="83">
        <v>101.52380952380952</v>
      </c>
      <c r="L27" s="83">
        <v>91.371428571428567</v>
      </c>
      <c r="M27" s="84">
        <v>82.234285714285704</v>
      </c>
      <c r="N27" s="59">
        <f t="shared" si="0"/>
        <v>0.38285714285714295</v>
      </c>
      <c r="O27" s="85" t="s">
        <v>16</v>
      </c>
      <c r="P27" s="86" t="s">
        <v>4258</v>
      </c>
      <c r="Q27" s="87" t="s">
        <v>3208</v>
      </c>
      <c r="R27" s="87">
        <v>10</v>
      </c>
      <c r="S27" s="88">
        <v>13.324999999999999</v>
      </c>
      <c r="T27" s="88">
        <v>9.137142857142857</v>
      </c>
      <c r="U27" s="88">
        <v>8.2234285714285704</v>
      </c>
      <c r="V27" s="87" t="s">
        <v>3061</v>
      </c>
      <c r="W27" s="87" t="s">
        <v>3106</v>
      </c>
      <c r="X27" s="90" t="s">
        <v>3477</v>
      </c>
      <c r="Y27" s="89"/>
      <c r="Z27" s="89">
        <v>10</v>
      </c>
      <c r="AA27" s="89"/>
      <c r="AB27" s="89"/>
    </row>
    <row r="28" spans="1:28" s="31" customFormat="1" ht="60" customHeight="1" x14ac:dyDescent="0.2">
      <c r="A28" s="76">
        <v>27</v>
      </c>
      <c r="B28" s="77">
        <v>50000834</v>
      </c>
      <c r="C28" s="78" t="s">
        <v>96</v>
      </c>
      <c r="D28" s="79">
        <v>0.05</v>
      </c>
      <c r="E28" s="80">
        <v>30049039</v>
      </c>
      <c r="F28" s="81" t="s">
        <v>97</v>
      </c>
      <c r="G28" s="82" t="s">
        <v>98</v>
      </c>
      <c r="H28" s="82" t="s">
        <v>26</v>
      </c>
      <c r="I28" s="79" t="s">
        <v>2666</v>
      </c>
      <c r="J28" s="83">
        <v>37.19</v>
      </c>
      <c r="K28" s="83">
        <v>28.335238095238093</v>
      </c>
      <c r="L28" s="83">
        <v>28.335238095238093</v>
      </c>
      <c r="M28" s="84">
        <v>25.501714285714279</v>
      </c>
      <c r="N28" s="59">
        <f t="shared" si="0"/>
        <v>0.31428571428571445</v>
      </c>
      <c r="O28" s="85" t="s">
        <v>16</v>
      </c>
      <c r="P28" s="86" t="s">
        <v>2689</v>
      </c>
      <c r="Q28" s="87" t="s">
        <v>3208</v>
      </c>
      <c r="R28" s="87">
        <v>10</v>
      </c>
      <c r="S28" s="88">
        <v>3.7189999999999999</v>
      </c>
      <c r="T28" s="88">
        <v>2.8335238095238093</v>
      </c>
      <c r="U28" s="88">
        <v>2.5501714285714279</v>
      </c>
      <c r="V28" s="87" t="s">
        <v>3061</v>
      </c>
      <c r="W28" s="87" t="s">
        <v>3103</v>
      </c>
      <c r="X28" s="90" t="s">
        <v>3477</v>
      </c>
      <c r="Y28" s="89" t="s">
        <v>3455</v>
      </c>
      <c r="Z28" s="89">
        <v>15</v>
      </c>
      <c r="AA28" s="89"/>
      <c r="AB28" s="89"/>
    </row>
    <row r="29" spans="1:28" s="31" customFormat="1" ht="60" customHeight="1" x14ac:dyDescent="0.2">
      <c r="A29" s="76">
        <v>28</v>
      </c>
      <c r="B29" s="77">
        <v>50002463</v>
      </c>
      <c r="C29" s="78" t="s">
        <v>3353</v>
      </c>
      <c r="D29" s="79">
        <v>0.05</v>
      </c>
      <c r="E29" s="80">
        <v>30049099</v>
      </c>
      <c r="F29" s="81" t="s">
        <v>3370</v>
      </c>
      <c r="G29" s="82" t="s">
        <v>4821</v>
      </c>
      <c r="H29" s="82" t="s">
        <v>3709</v>
      </c>
      <c r="I29" s="79" t="s">
        <v>2666</v>
      </c>
      <c r="J29" s="83">
        <v>60.11</v>
      </c>
      <c r="K29" s="83">
        <v>45.798095238095236</v>
      </c>
      <c r="L29" s="83">
        <v>45.798095238095236</v>
      </c>
      <c r="M29" s="84">
        <v>41.218285714285713</v>
      </c>
      <c r="N29" s="59">
        <f t="shared" si="0"/>
        <v>0.31428571428571428</v>
      </c>
      <c r="O29" s="85" t="s">
        <v>16</v>
      </c>
      <c r="P29" s="86" t="s">
        <v>318</v>
      </c>
      <c r="Q29" s="87" t="s">
        <v>3208</v>
      </c>
      <c r="R29" s="87">
        <v>10</v>
      </c>
      <c r="S29" s="88">
        <v>6.0110000000000001</v>
      </c>
      <c r="T29" s="88">
        <v>4.5798095238095238</v>
      </c>
      <c r="U29" s="88">
        <v>4.121828571428571</v>
      </c>
      <c r="V29" s="87" t="s">
        <v>3061</v>
      </c>
      <c r="W29" s="87" t="s">
        <v>3103</v>
      </c>
      <c r="X29" s="90" t="s">
        <v>3477</v>
      </c>
      <c r="Y29" s="89"/>
      <c r="Z29" s="89">
        <v>10</v>
      </c>
      <c r="AA29" s="89"/>
      <c r="AB29" s="89"/>
    </row>
    <row r="30" spans="1:28" s="31" customFormat="1" ht="60" customHeight="1" x14ac:dyDescent="0.2">
      <c r="A30" s="76">
        <v>29</v>
      </c>
      <c r="B30" s="77">
        <v>50000316</v>
      </c>
      <c r="C30" s="78" t="s">
        <v>101</v>
      </c>
      <c r="D30" s="79">
        <v>0.05</v>
      </c>
      <c r="E30" s="80">
        <v>30049039</v>
      </c>
      <c r="F30" s="81" t="s">
        <v>102</v>
      </c>
      <c r="G30" s="82" t="s">
        <v>103</v>
      </c>
      <c r="H30" s="82" t="s">
        <v>104</v>
      </c>
      <c r="I30" s="79" t="s">
        <v>2678</v>
      </c>
      <c r="J30" s="83">
        <v>50.47</v>
      </c>
      <c r="K30" s="83">
        <v>38.453333333333333</v>
      </c>
      <c r="L30" s="83">
        <v>38.453333333333333</v>
      </c>
      <c r="M30" s="84">
        <v>34.607999999999997</v>
      </c>
      <c r="N30" s="59">
        <f t="shared" si="0"/>
        <v>0.31428571428571433</v>
      </c>
      <c r="O30" s="85" t="s">
        <v>16</v>
      </c>
      <c r="P30" s="86" t="s">
        <v>2690</v>
      </c>
      <c r="Q30" s="87" t="s">
        <v>3208</v>
      </c>
      <c r="R30" s="87">
        <v>1</v>
      </c>
      <c r="S30" s="88">
        <v>50.47</v>
      </c>
      <c r="T30" s="88">
        <v>38.453333333333333</v>
      </c>
      <c r="U30" s="88">
        <v>34.607999999999997</v>
      </c>
      <c r="V30" s="87" t="s">
        <v>3062</v>
      </c>
      <c r="W30" s="87" t="s">
        <v>3103</v>
      </c>
      <c r="X30" s="90" t="s">
        <v>3480</v>
      </c>
      <c r="Y30" s="89" t="s">
        <v>3455</v>
      </c>
      <c r="Z30" s="89">
        <v>1</v>
      </c>
      <c r="AA30" s="89"/>
      <c r="AB30" s="89"/>
    </row>
    <row r="31" spans="1:28" s="31" customFormat="1" ht="60" customHeight="1" x14ac:dyDescent="0.2">
      <c r="A31" s="76">
        <v>30</v>
      </c>
      <c r="B31" s="77">
        <v>50003223</v>
      </c>
      <c r="C31" s="78" t="s">
        <v>105</v>
      </c>
      <c r="D31" s="79">
        <v>0.05</v>
      </c>
      <c r="E31" s="80">
        <v>30049099</v>
      </c>
      <c r="F31" s="81" t="s">
        <v>106</v>
      </c>
      <c r="G31" s="82" t="s">
        <v>107</v>
      </c>
      <c r="H31" s="82" t="s">
        <v>30</v>
      </c>
      <c r="I31" s="79" t="s">
        <v>2663</v>
      </c>
      <c r="J31" s="83">
        <v>43.92</v>
      </c>
      <c r="K31" s="83">
        <v>33.462857142857146</v>
      </c>
      <c r="L31" s="83">
        <v>33.462857142857146</v>
      </c>
      <c r="M31" s="84">
        <v>30.11657142857144</v>
      </c>
      <c r="N31" s="59">
        <f t="shared" si="0"/>
        <v>0.31428571428571406</v>
      </c>
      <c r="O31" s="85" t="s">
        <v>16</v>
      </c>
      <c r="P31" s="86" t="s">
        <v>2691</v>
      </c>
      <c r="Q31" s="87" t="s">
        <v>3207</v>
      </c>
      <c r="R31" s="87">
        <v>15</v>
      </c>
      <c r="S31" s="88">
        <v>2.9279999999999999</v>
      </c>
      <c r="T31" s="88">
        <v>2.2308571428571429</v>
      </c>
      <c r="U31" s="88">
        <v>2.0077714285714294</v>
      </c>
      <c r="V31" s="87" t="s">
        <v>3061</v>
      </c>
      <c r="W31" s="87" t="s">
        <v>3100</v>
      </c>
      <c r="X31" s="90" t="s">
        <v>3477</v>
      </c>
      <c r="Y31" s="89" t="s">
        <v>3455</v>
      </c>
      <c r="Z31" s="89">
        <v>6</v>
      </c>
      <c r="AA31" s="89"/>
      <c r="AB31" s="89"/>
    </row>
    <row r="32" spans="1:28" s="31" customFormat="1" ht="60" customHeight="1" x14ac:dyDescent="0.2">
      <c r="A32" s="76">
        <v>31</v>
      </c>
      <c r="B32" s="77">
        <v>50000425</v>
      </c>
      <c r="C32" s="78" t="s">
        <v>108</v>
      </c>
      <c r="D32" s="79">
        <v>0.05</v>
      </c>
      <c r="E32" s="80">
        <v>30049099</v>
      </c>
      <c r="F32" s="81" t="s">
        <v>109</v>
      </c>
      <c r="G32" s="82" t="s">
        <v>110</v>
      </c>
      <c r="H32" s="82" t="s">
        <v>111</v>
      </c>
      <c r="I32" s="79" t="s">
        <v>2666</v>
      </c>
      <c r="J32" s="83">
        <v>62.22</v>
      </c>
      <c r="K32" s="83">
        <v>47.405714285714289</v>
      </c>
      <c r="L32" s="83">
        <v>47.405714285714289</v>
      </c>
      <c r="M32" s="84">
        <v>42.665142857142847</v>
      </c>
      <c r="N32" s="59">
        <f t="shared" si="0"/>
        <v>0.31428571428571445</v>
      </c>
      <c r="O32" s="85" t="s">
        <v>16</v>
      </c>
      <c r="P32" s="86" t="s">
        <v>2691</v>
      </c>
      <c r="Q32" s="87" t="s">
        <v>3207</v>
      </c>
      <c r="R32" s="87">
        <v>10</v>
      </c>
      <c r="S32" s="88">
        <v>6.2219999999999995</v>
      </c>
      <c r="T32" s="88">
        <v>4.7405714285714291</v>
      </c>
      <c r="U32" s="88">
        <v>4.266514285714285</v>
      </c>
      <c r="V32" s="87" t="s">
        <v>3061</v>
      </c>
      <c r="W32" s="87" t="s">
        <v>3100</v>
      </c>
      <c r="X32" s="90" t="s">
        <v>3477</v>
      </c>
      <c r="Y32" s="89" t="s">
        <v>3455</v>
      </c>
      <c r="Z32" s="89">
        <v>6</v>
      </c>
      <c r="AA32" s="89"/>
      <c r="AB32" s="89"/>
    </row>
    <row r="33" spans="1:28" s="31" customFormat="1" ht="60" customHeight="1" x14ac:dyDescent="0.2">
      <c r="A33" s="76">
        <v>32</v>
      </c>
      <c r="B33" s="77">
        <v>50001962</v>
      </c>
      <c r="C33" s="78" t="s">
        <v>112</v>
      </c>
      <c r="D33" s="79">
        <v>0.05</v>
      </c>
      <c r="E33" s="80">
        <v>30049099</v>
      </c>
      <c r="F33" s="81" t="s">
        <v>113</v>
      </c>
      <c r="G33" s="82" t="s">
        <v>114</v>
      </c>
      <c r="H33" s="82" t="s">
        <v>115</v>
      </c>
      <c r="I33" s="79" t="s">
        <v>2666</v>
      </c>
      <c r="J33" s="83">
        <v>124.55</v>
      </c>
      <c r="K33" s="83">
        <v>94.895238095238099</v>
      </c>
      <c r="L33" s="83">
        <v>94.895238095238099</v>
      </c>
      <c r="M33" s="84">
        <v>85.405714285714311</v>
      </c>
      <c r="N33" s="59">
        <f t="shared" si="0"/>
        <v>0.31428571428571406</v>
      </c>
      <c r="O33" s="85" t="s">
        <v>16</v>
      </c>
      <c r="P33" s="86" t="s">
        <v>37</v>
      </c>
      <c r="Q33" s="87" t="s">
        <v>3207</v>
      </c>
      <c r="R33" s="87">
        <v>10</v>
      </c>
      <c r="S33" s="88">
        <v>12.455</v>
      </c>
      <c r="T33" s="88">
        <v>9.4895238095238099</v>
      </c>
      <c r="U33" s="88">
        <v>8.5405714285714307</v>
      </c>
      <c r="V33" s="87" t="s">
        <v>3061</v>
      </c>
      <c r="W33" s="87" t="s">
        <v>3100</v>
      </c>
      <c r="X33" s="90" t="s">
        <v>3477</v>
      </c>
      <c r="Y33" s="89" t="s">
        <v>3455</v>
      </c>
      <c r="Z33" s="89">
        <v>3</v>
      </c>
      <c r="AA33" s="89"/>
      <c r="AB33" s="89"/>
    </row>
    <row r="34" spans="1:28" s="31" customFormat="1" ht="60" customHeight="1" x14ac:dyDescent="0.2">
      <c r="A34" s="76">
        <v>33</v>
      </c>
      <c r="B34" s="77">
        <v>50004502</v>
      </c>
      <c r="C34" s="78" t="s">
        <v>116</v>
      </c>
      <c r="D34" s="79">
        <v>0.05</v>
      </c>
      <c r="E34" s="80">
        <v>30049099</v>
      </c>
      <c r="F34" s="81" t="s">
        <v>117</v>
      </c>
      <c r="G34" s="82" t="s">
        <v>118</v>
      </c>
      <c r="H34" s="82" t="s">
        <v>119</v>
      </c>
      <c r="I34" s="79" t="s">
        <v>2666</v>
      </c>
      <c r="J34" s="83">
        <v>219.36</v>
      </c>
      <c r="K34" s="83">
        <v>167.13142857142856</v>
      </c>
      <c r="L34" s="83">
        <v>167.13142857142856</v>
      </c>
      <c r="M34" s="84">
        <v>150.41828571428567</v>
      </c>
      <c r="N34" s="59">
        <f t="shared" si="0"/>
        <v>0.3142857142857145</v>
      </c>
      <c r="O34" s="85" t="s">
        <v>16</v>
      </c>
      <c r="P34" s="86" t="s">
        <v>2692</v>
      </c>
      <c r="Q34" s="87" t="s">
        <v>3207</v>
      </c>
      <c r="R34" s="87">
        <v>10</v>
      </c>
      <c r="S34" s="88">
        <v>21.936</v>
      </c>
      <c r="T34" s="88">
        <v>16.713142857142856</v>
      </c>
      <c r="U34" s="88">
        <v>15.041828571428567</v>
      </c>
      <c r="V34" s="87" t="s">
        <v>3061</v>
      </c>
      <c r="W34" s="87" t="s">
        <v>3100</v>
      </c>
      <c r="X34" s="90" t="s">
        <v>3477</v>
      </c>
      <c r="Y34" s="89" t="s">
        <v>3455</v>
      </c>
      <c r="Z34" s="89">
        <v>3</v>
      </c>
      <c r="AA34" s="89"/>
      <c r="AB34" s="89"/>
    </row>
    <row r="35" spans="1:28" s="31" customFormat="1" ht="60" customHeight="1" x14ac:dyDescent="0.2">
      <c r="A35" s="76">
        <v>34</v>
      </c>
      <c r="B35" s="77">
        <v>50000115</v>
      </c>
      <c r="C35" s="78" t="s">
        <v>120</v>
      </c>
      <c r="D35" s="79">
        <v>0.05</v>
      </c>
      <c r="E35" s="80">
        <v>30049099</v>
      </c>
      <c r="F35" s="81" t="s">
        <v>121</v>
      </c>
      <c r="G35" s="82" t="s">
        <v>122</v>
      </c>
      <c r="H35" s="82" t="s">
        <v>3096</v>
      </c>
      <c r="I35" s="79" t="s">
        <v>2693</v>
      </c>
      <c r="J35" s="83">
        <v>39.700000000000003</v>
      </c>
      <c r="K35" s="83">
        <v>30.247619047619054</v>
      </c>
      <c r="L35" s="83">
        <v>30.247619047619054</v>
      </c>
      <c r="M35" s="84">
        <v>27.222857142857144</v>
      </c>
      <c r="N35" s="59">
        <f t="shared" si="0"/>
        <v>0.31428571428571428</v>
      </c>
      <c r="O35" s="85" t="s">
        <v>16</v>
      </c>
      <c r="P35" s="86" t="s">
        <v>53</v>
      </c>
      <c r="Q35" s="87" t="s">
        <v>3208</v>
      </c>
      <c r="R35" s="87">
        <v>10</v>
      </c>
      <c r="S35" s="88">
        <v>3.97</v>
      </c>
      <c r="T35" s="88">
        <v>3.0247619047619052</v>
      </c>
      <c r="U35" s="88">
        <v>2.7222857142857144</v>
      </c>
      <c r="V35" s="87" t="s">
        <v>3061</v>
      </c>
      <c r="W35" s="87" t="s">
        <v>3100</v>
      </c>
      <c r="X35" s="90" t="s">
        <v>3478</v>
      </c>
      <c r="Y35" s="89"/>
      <c r="Z35" s="89">
        <v>6</v>
      </c>
      <c r="AA35" s="89"/>
      <c r="AB35" s="89"/>
    </row>
    <row r="36" spans="1:28" s="31" customFormat="1" ht="60" customHeight="1" x14ac:dyDescent="0.2">
      <c r="A36" s="76">
        <v>35</v>
      </c>
      <c r="B36" s="77">
        <v>50004738</v>
      </c>
      <c r="C36" s="78" t="s">
        <v>124</v>
      </c>
      <c r="D36" s="79">
        <v>0.05</v>
      </c>
      <c r="E36" s="80">
        <v>30049099</v>
      </c>
      <c r="F36" s="81" t="s">
        <v>125</v>
      </c>
      <c r="G36" s="82" t="s">
        <v>126</v>
      </c>
      <c r="H36" s="82" t="s">
        <v>3710</v>
      </c>
      <c r="I36" s="79" t="s">
        <v>2693</v>
      </c>
      <c r="J36" s="83">
        <v>37.21</v>
      </c>
      <c r="K36" s="83">
        <v>28.35047619047619</v>
      </c>
      <c r="L36" s="83">
        <v>28.35047619047619</v>
      </c>
      <c r="M36" s="84">
        <v>28.350476190476186</v>
      </c>
      <c r="N36" s="59">
        <f t="shared" si="0"/>
        <v>0.23809523809523822</v>
      </c>
      <c r="O36" s="85" t="s">
        <v>16</v>
      </c>
      <c r="P36" s="86" t="s">
        <v>123</v>
      </c>
      <c r="Q36" s="87" t="s">
        <v>3208</v>
      </c>
      <c r="R36" s="87">
        <v>10</v>
      </c>
      <c r="S36" s="88">
        <v>3.7210000000000001</v>
      </c>
      <c r="T36" s="88">
        <v>2.8350476190476188</v>
      </c>
      <c r="U36" s="88">
        <v>2.8350476190476188</v>
      </c>
      <c r="V36" s="87" t="s">
        <v>3061</v>
      </c>
      <c r="W36" s="87" t="s">
        <v>3100</v>
      </c>
      <c r="X36" s="90" t="s">
        <v>3478</v>
      </c>
      <c r="Y36" s="89"/>
      <c r="Z36" s="89">
        <v>6</v>
      </c>
      <c r="AA36" s="89"/>
      <c r="AB36" s="89"/>
    </row>
    <row r="37" spans="1:28" s="31" customFormat="1" ht="60" customHeight="1" x14ac:dyDescent="0.2">
      <c r="A37" s="76">
        <v>36</v>
      </c>
      <c r="B37" s="77">
        <v>50003180</v>
      </c>
      <c r="C37" s="78" t="s">
        <v>127</v>
      </c>
      <c r="D37" s="79">
        <v>0.05</v>
      </c>
      <c r="E37" s="80">
        <v>30049099</v>
      </c>
      <c r="F37" s="81" t="s">
        <v>128</v>
      </c>
      <c r="G37" s="82" t="s">
        <v>129</v>
      </c>
      <c r="H37" s="82" t="s">
        <v>3096</v>
      </c>
      <c r="I37" s="79" t="s">
        <v>2693</v>
      </c>
      <c r="J37" s="83">
        <v>120.39</v>
      </c>
      <c r="K37" s="83">
        <v>91.72571428571429</v>
      </c>
      <c r="L37" s="83">
        <v>91.72571428571429</v>
      </c>
      <c r="M37" s="84">
        <v>82.553142857142859</v>
      </c>
      <c r="N37" s="59">
        <f t="shared" si="0"/>
        <v>0.31428571428571428</v>
      </c>
      <c r="O37" s="85" t="s">
        <v>16</v>
      </c>
      <c r="P37" s="86" t="s">
        <v>3334</v>
      </c>
      <c r="Q37" s="87" t="s">
        <v>3208</v>
      </c>
      <c r="R37" s="87">
        <v>10</v>
      </c>
      <c r="S37" s="88">
        <v>12.039</v>
      </c>
      <c r="T37" s="88">
        <v>9.1725714285714286</v>
      </c>
      <c r="U37" s="88">
        <v>8.2553142857142863</v>
      </c>
      <c r="V37" s="87" t="s">
        <v>3061</v>
      </c>
      <c r="W37" s="87" t="s">
        <v>3100</v>
      </c>
      <c r="X37" s="90" t="s">
        <v>3478</v>
      </c>
      <c r="Y37" s="89"/>
      <c r="Z37" s="89">
        <v>6</v>
      </c>
      <c r="AA37" s="89"/>
      <c r="AB37" s="89"/>
    </row>
    <row r="38" spans="1:28" s="31" customFormat="1" ht="60" customHeight="1" x14ac:dyDescent="0.2">
      <c r="A38" s="76">
        <v>37</v>
      </c>
      <c r="B38" s="77">
        <v>50003181</v>
      </c>
      <c r="C38" s="78" t="s">
        <v>130</v>
      </c>
      <c r="D38" s="79">
        <v>0.05</v>
      </c>
      <c r="E38" s="80">
        <v>30049099</v>
      </c>
      <c r="F38" s="81" t="s">
        <v>131</v>
      </c>
      <c r="G38" s="82" t="s">
        <v>132</v>
      </c>
      <c r="H38" s="82" t="s">
        <v>3097</v>
      </c>
      <c r="I38" s="79" t="s">
        <v>2693</v>
      </c>
      <c r="J38" s="83">
        <v>149.58000000000001</v>
      </c>
      <c r="K38" s="83">
        <v>113.96571428571431</v>
      </c>
      <c r="L38" s="83">
        <v>113.96571428571431</v>
      </c>
      <c r="M38" s="84">
        <v>102.56914285714285</v>
      </c>
      <c r="N38" s="59">
        <f t="shared" si="0"/>
        <v>0.31428571428571439</v>
      </c>
      <c r="O38" s="85" t="s">
        <v>16</v>
      </c>
      <c r="P38" s="86" t="s">
        <v>3334</v>
      </c>
      <c r="Q38" s="87" t="s">
        <v>3208</v>
      </c>
      <c r="R38" s="87">
        <v>10</v>
      </c>
      <c r="S38" s="88">
        <v>14.958000000000002</v>
      </c>
      <c r="T38" s="88">
        <v>11.396571428571431</v>
      </c>
      <c r="U38" s="88">
        <v>10.256914285714284</v>
      </c>
      <c r="V38" s="87" t="s">
        <v>3061</v>
      </c>
      <c r="W38" s="87" t="s">
        <v>3100</v>
      </c>
      <c r="X38" s="90" t="s">
        <v>3478</v>
      </c>
      <c r="Y38" s="89"/>
      <c r="Z38" s="89">
        <v>6</v>
      </c>
      <c r="AA38" s="89"/>
      <c r="AB38" s="89"/>
    </row>
    <row r="39" spans="1:28" s="31" customFormat="1" ht="60" customHeight="1" x14ac:dyDescent="0.2">
      <c r="A39" s="76">
        <v>38</v>
      </c>
      <c r="B39" s="77">
        <v>50000881</v>
      </c>
      <c r="C39" s="78" t="s">
        <v>133</v>
      </c>
      <c r="D39" s="79">
        <v>0.05</v>
      </c>
      <c r="E39" s="80">
        <v>30049099</v>
      </c>
      <c r="F39" s="81" t="s">
        <v>134</v>
      </c>
      <c r="G39" s="82" t="s">
        <v>135</v>
      </c>
      <c r="H39" s="82" t="s">
        <v>3711</v>
      </c>
      <c r="I39" s="79" t="s">
        <v>2666</v>
      </c>
      <c r="J39" s="83">
        <v>112.15</v>
      </c>
      <c r="K39" s="83">
        <v>85.447619047619042</v>
      </c>
      <c r="L39" s="83">
        <v>85.447619047619042</v>
      </c>
      <c r="M39" s="84">
        <v>76.902857142857144</v>
      </c>
      <c r="N39" s="59">
        <f t="shared" si="0"/>
        <v>0.31428571428571433</v>
      </c>
      <c r="O39" s="85" t="s">
        <v>16</v>
      </c>
      <c r="P39" s="86" t="s">
        <v>2695</v>
      </c>
      <c r="Q39" s="87" t="s">
        <v>3208</v>
      </c>
      <c r="R39" s="87">
        <v>10</v>
      </c>
      <c r="S39" s="88">
        <v>11.215</v>
      </c>
      <c r="T39" s="88">
        <v>8.5447619047619039</v>
      </c>
      <c r="U39" s="88">
        <v>7.6902857142857144</v>
      </c>
      <c r="V39" s="87" t="s">
        <v>3061</v>
      </c>
      <c r="W39" s="87" t="s">
        <v>3100</v>
      </c>
      <c r="X39" s="90" t="s">
        <v>3477</v>
      </c>
      <c r="Y39" s="89"/>
      <c r="Z39" s="89">
        <v>4</v>
      </c>
      <c r="AA39" s="89"/>
      <c r="AB39" s="89"/>
    </row>
    <row r="40" spans="1:28" s="31" customFormat="1" ht="60" customHeight="1" x14ac:dyDescent="0.2">
      <c r="A40" s="76">
        <v>39</v>
      </c>
      <c r="B40" s="77">
        <v>50002804</v>
      </c>
      <c r="C40" s="78" t="s">
        <v>136</v>
      </c>
      <c r="D40" s="79">
        <v>0.05</v>
      </c>
      <c r="E40" s="80">
        <v>30049099</v>
      </c>
      <c r="F40" s="81" t="s">
        <v>137</v>
      </c>
      <c r="G40" s="82" t="s">
        <v>138</v>
      </c>
      <c r="H40" s="82" t="s">
        <v>3712</v>
      </c>
      <c r="I40" s="79" t="s">
        <v>2696</v>
      </c>
      <c r="J40" s="83">
        <v>123.52</v>
      </c>
      <c r="K40" s="83">
        <v>94.110476190476192</v>
      </c>
      <c r="L40" s="83">
        <v>94.110476190476192</v>
      </c>
      <c r="M40" s="84">
        <v>84.699428571428555</v>
      </c>
      <c r="N40" s="59">
        <f t="shared" si="0"/>
        <v>0.31428571428571439</v>
      </c>
      <c r="O40" s="85" t="s">
        <v>16</v>
      </c>
      <c r="P40" s="86" t="s">
        <v>139</v>
      </c>
      <c r="Q40" s="87" t="s">
        <v>3208</v>
      </c>
      <c r="R40" s="87">
        <v>15</v>
      </c>
      <c r="S40" s="88">
        <v>8.2346666666666657</v>
      </c>
      <c r="T40" s="88">
        <v>6.2740317460317465</v>
      </c>
      <c r="U40" s="88">
        <v>5.64662857142857</v>
      </c>
      <c r="V40" s="87" t="s">
        <v>3061</v>
      </c>
      <c r="W40" s="87" t="s">
        <v>3100</v>
      </c>
      <c r="X40" s="90" t="s">
        <v>3478</v>
      </c>
      <c r="Y40" s="89"/>
      <c r="Z40" s="89">
        <v>6</v>
      </c>
      <c r="AA40" s="89"/>
      <c r="AB40" s="89"/>
    </row>
    <row r="41" spans="1:28" s="31" customFormat="1" ht="60" customHeight="1" x14ac:dyDescent="0.2">
      <c r="A41" s="76">
        <v>40</v>
      </c>
      <c r="B41" s="77">
        <v>50003182</v>
      </c>
      <c r="C41" s="78" t="s">
        <v>140</v>
      </c>
      <c r="D41" s="79">
        <v>0.05</v>
      </c>
      <c r="E41" s="80">
        <v>30049099</v>
      </c>
      <c r="F41" s="81" t="s">
        <v>141</v>
      </c>
      <c r="G41" s="82" t="s">
        <v>142</v>
      </c>
      <c r="H41" s="82" t="s">
        <v>3713</v>
      </c>
      <c r="I41" s="79" t="s">
        <v>2696</v>
      </c>
      <c r="J41" s="83">
        <v>133.56</v>
      </c>
      <c r="K41" s="83">
        <v>101.76</v>
      </c>
      <c r="L41" s="83">
        <v>101.76</v>
      </c>
      <c r="M41" s="84">
        <v>91.583999999999989</v>
      </c>
      <c r="N41" s="59">
        <f t="shared" si="0"/>
        <v>0.31428571428571439</v>
      </c>
      <c r="O41" s="85" t="s">
        <v>16</v>
      </c>
      <c r="P41" s="86" t="s">
        <v>2694</v>
      </c>
      <c r="Q41" s="87" t="s">
        <v>3208</v>
      </c>
      <c r="R41" s="87">
        <v>15</v>
      </c>
      <c r="S41" s="88">
        <v>8.9039999999999999</v>
      </c>
      <c r="T41" s="88">
        <v>6.7840000000000007</v>
      </c>
      <c r="U41" s="88">
        <v>6.105599999999999</v>
      </c>
      <c r="V41" s="87" t="s">
        <v>3061</v>
      </c>
      <c r="W41" s="87" t="s">
        <v>3100</v>
      </c>
      <c r="X41" s="90" t="s">
        <v>3478</v>
      </c>
      <c r="Y41" s="89"/>
      <c r="Z41" s="89">
        <v>6</v>
      </c>
      <c r="AA41" s="89"/>
      <c r="AB41" s="89"/>
    </row>
    <row r="42" spans="1:28" s="31" customFormat="1" ht="60" customHeight="1" x14ac:dyDescent="0.2">
      <c r="A42" s="76">
        <v>41</v>
      </c>
      <c r="B42" s="77">
        <v>50000805</v>
      </c>
      <c r="C42" s="78" t="s">
        <v>143</v>
      </c>
      <c r="D42" s="79">
        <v>0.05</v>
      </c>
      <c r="E42" s="80">
        <v>30049039</v>
      </c>
      <c r="F42" s="81" t="s">
        <v>144</v>
      </c>
      <c r="G42" s="82" t="s">
        <v>145</v>
      </c>
      <c r="H42" s="82" t="s">
        <v>146</v>
      </c>
      <c r="I42" s="79" t="s">
        <v>2687</v>
      </c>
      <c r="J42" s="83">
        <v>205.87</v>
      </c>
      <c r="K42" s="83">
        <v>156.85333333333332</v>
      </c>
      <c r="L42" s="83">
        <v>156.85333333333332</v>
      </c>
      <c r="M42" s="84">
        <v>141.16799999999998</v>
      </c>
      <c r="N42" s="59">
        <f t="shared" si="0"/>
        <v>0.31428571428571439</v>
      </c>
      <c r="O42" s="85" t="s">
        <v>16</v>
      </c>
      <c r="P42" s="86" t="s">
        <v>2697</v>
      </c>
      <c r="Q42" s="87" t="s">
        <v>3208</v>
      </c>
      <c r="R42" s="87">
        <v>1</v>
      </c>
      <c r="S42" s="88">
        <v>205.87</v>
      </c>
      <c r="T42" s="88">
        <v>156.85333333333332</v>
      </c>
      <c r="U42" s="88">
        <v>141.16799999999998</v>
      </c>
      <c r="V42" s="87" t="s">
        <v>3062</v>
      </c>
      <c r="W42" s="87" t="s">
        <v>3103</v>
      </c>
      <c r="X42" s="90" t="s">
        <v>3480</v>
      </c>
      <c r="Y42" s="89"/>
      <c r="Z42" s="89">
        <v>1</v>
      </c>
      <c r="AA42" s="89"/>
      <c r="AB42" s="89"/>
    </row>
    <row r="43" spans="1:28" s="31" customFormat="1" ht="60" customHeight="1" x14ac:dyDescent="0.2">
      <c r="A43" s="76">
        <v>42</v>
      </c>
      <c r="B43" s="77">
        <v>50000211</v>
      </c>
      <c r="C43" s="78" t="s">
        <v>147</v>
      </c>
      <c r="D43" s="79">
        <v>0.05</v>
      </c>
      <c r="E43" s="80">
        <v>30049039</v>
      </c>
      <c r="F43" s="81" t="s">
        <v>148</v>
      </c>
      <c r="G43" s="82" t="s">
        <v>149</v>
      </c>
      <c r="H43" s="82" t="s">
        <v>150</v>
      </c>
      <c r="I43" s="79" t="s">
        <v>2687</v>
      </c>
      <c r="J43" s="83">
        <v>155.96</v>
      </c>
      <c r="K43" s="83">
        <v>118.82666666666667</v>
      </c>
      <c r="L43" s="83">
        <v>118.82666666666667</v>
      </c>
      <c r="M43" s="84">
        <v>106.94399999999999</v>
      </c>
      <c r="N43" s="59">
        <f t="shared" si="0"/>
        <v>0.31428571428571439</v>
      </c>
      <c r="O43" s="85" t="s">
        <v>16</v>
      </c>
      <c r="P43" s="86" t="s">
        <v>2698</v>
      </c>
      <c r="Q43" s="87" t="s">
        <v>3208</v>
      </c>
      <c r="R43" s="87">
        <v>1</v>
      </c>
      <c r="S43" s="88">
        <v>155.96</v>
      </c>
      <c r="T43" s="88">
        <v>118.82666666666667</v>
      </c>
      <c r="U43" s="88">
        <v>106.94399999999999</v>
      </c>
      <c r="V43" s="87" t="s">
        <v>3062</v>
      </c>
      <c r="W43" s="87" t="s">
        <v>3103</v>
      </c>
      <c r="X43" s="90" t="s">
        <v>3480</v>
      </c>
      <c r="Y43" s="89"/>
      <c r="Z43" s="89">
        <v>1</v>
      </c>
      <c r="AA43" s="89"/>
      <c r="AB43" s="89"/>
    </row>
    <row r="44" spans="1:28" s="31" customFormat="1" ht="60" customHeight="1" x14ac:dyDescent="0.2">
      <c r="A44" s="76">
        <v>43</v>
      </c>
      <c r="B44" s="77">
        <v>50000604</v>
      </c>
      <c r="C44" s="78" t="s">
        <v>151</v>
      </c>
      <c r="D44" s="79">
        <v>0.05</v>
      </c>
      <c r="E44" s="80">
        <v>30049073</v>
      </c>
      <c r="F44" s="81" t="s">
        <v>152</v>
      </c>
      <c r="G44" s="82" t="s">
        <v>153</v>
      </c>
      <c r="H44" s="82" t="s">
        <v>154</v>
      </c>
      <c r="I44" s="79" t="s">
        <v>2666</v>
      </c>
      <c r="J44" s="83">
        <v>33.200000000000003</v>
      </c>
      <c r="K44" s="83">
        <v>25.295238095238098</v>
      </c>
      <c r="L44" s="83">
        <v>25.295238095238098</v>
      </c>
      <c r="M44" s="84">
        <v>22.765714285714292</v>
      </c>
      <c r="N44" s="59">
        <f t="shared" si="0"/>
        <v>0.31428571428571417</v>
      </c>
      <c r="O44" s="85" t="s">
        <v>16</v>
      </c>
      <c r="P44" s="86" t="s">
        <v>2695</v>
      </c>
      <c r="Q44" s="87" t="s">
        <v>3208</v>
      </c>
      <c r="R44" s="87">
        <v>10</v>
      </c>
      <c r="S44" s="88">
        <v>3.3200000000000003</v>
      </c>
      <c r="T44" s="88">
        <v>2.52952380952381</v>
      </c>
      <c r="U44" s="88">
        <v>2.2765714285714291</v>
      </c>
      <c r="V44" s="87" t="s">
        <v>3061</v>
      </c>
      <c r="W44" s="87" t="s">
        <v>3100</v>
      </c>
      <c r="X44" s="90" t="s">
        <v>3477</v>
      </c>
      <c r="Y44" s="89"/>
      <c r="Z44" s="89">
        <v>10</v>
      </c>
      <c r="AA44" s="89"/>
      <c r="AB44" s="89"/>
    </row>
    <row r="45" spans="1:28" s="31" customFormat="1" ht="60" customHeight="1" x14ac:dyDescent="0.2">
      <c r="A45" s="76">
        <v>44</v>
      </c>
      <c r="B45" s="77">
        <v>50000061</v>
      </c>
      <c r="C45" s="78" t="s">
        <v>155</v>
      </c>
      <c r="D45" s="79">
        <v>0.05</v>
      </c>
      <c r="E45" s="80">
        <v>30049073</v>
      </c>
      <c r="F45" s="81" t="s">
        <v>156</v>
      </c>
      <c r="G45" s="82" t="s">
        <v>157</v>
      </c>
      <c r="H45" s="82" t="s">
        <v>158</v>
      </c>
      <c r="I45" s="79" t="s">
        <v>2666</v>
      </c>
      <c r="J45" s="83">
        <v>64.64</v>
      </c>
      <c r="K45" s="83">
        <v>49.249523809523808</v>
      </c>
      <c r="L45" s="83">
        <v>49.249523809523808</v>
      </c>
      <c r="M45" s="84">
        <v>44.324571428571446</v>
      </c>
      <c r="N45" s="59">
        <f t="shared" si="0"/>
        <v>0.314285714285714</v>
      </c>
      <c r="O45" s="85" t="s">
        <v>16</v>
      </c>
      <c r="P45" s="86" t="s">
        <v>2699</v>
      </c>
      <c r="Q45" s="87" t="s">
        <v>3208</v>
      </c>
      <c r="R45" s="87">
        <v>10</v>
      </c>
      <c r="S45" s="88">
        <v>6.4640000000000004</v>
      </c>
      <c r="T45" s="88">
        <v>4.924952380952381</v>
      </c>
      <c r="U45" s="88">
        <v>4.4324571428571442</v>
      </c>
      <c r="V45" s="87" t="s">
        <v>3061</v>
      </c>
      <c r="W45" s="87" t="s">
        <v>3100</v>
      </c>
      <c r="X45" s="90" t="s">
        <v>3477</v>
      </c>
      <c r="Y45" s="89"/>
      <c r="Z45" s="89">
        <v>10</v>
      </c>
      <c r="AA45" s="89"/>
      <c r="AB45" s="89"/>
    </row>
    <row r="46" spans="1:28" s="31" customFormat="1" ht="60" customHeight="1" x14ac:dyDescent="0.2">
      <c r="A46" s="76">
        <v>45</v>
      </c>
      <c r="B46" s="77">
        <v>50000071</v>
      </c>
      <c r="C46" s="78" t="s">
        <v>159</v>
      </c>
      <c r="D46" s="79">
        <v>0.05</v>
      </c>
      <c r="E46" s="80">
        <v>30049079</v>
      </c>
      <c r="F46" s="81" t="s">
        <v>160</v>
      </c>
      <c r="G46" s="82" t="s">
        <v>161</v>
      </c>
      <c r="H46" s="82" t="s">
        <v>3714</v>
      </c>
      <c r="I46" s="79" t="s">
        <v>2666</v>
      </c>
      <c r="J46" s="83">
        <v>105.47</v>
      </c>
      <c r="K46" s="83">
        <v>80.358095238095231</v>
      </c>
      <c r="L46" s="83">
        <v>80.358095238095231</v>
      </c>
      <c r="M46" s="84">
        <v>72.322285714285698</v>
      </c>
      <c r="N46" s="59">
        <f t="shared" si="0"/>
        <v>0.31428571428571445</v>
      </c>
      <c r="O46" s="85" t="s">
        <v>16</v>
      </c>
      <c r="P46" s="86" t="s">
        <v>2695</v>
      </c>
      <c r="Q46" s="87" t="s">
        <v>3208</v>
      </c>
      <c r="R46" s="87">
        <v>10</v>
      </c>
      <c r="S46" s="88">
        <v>10.547000000000001</v>
      </c>
      <c r="T46" s="88">
        <v>8.0358095238095224</v>
      </c>
      <c r="U46" s="88">
        <v>7.2322285714285695</v>
      </c>
      <c r="V46" s="87" t="s">
        <v>3061</v>
      </c>
      <c r="W46" s="87" t="s">
        <v>3100</v>
      </c>
      <c r="X46" s="90" t="s">
        <v>3477</v>
      </c>
      <c r="Y46" s="89"/>
      <c r="Z46" s="89">
        <v>10</v>
      </c>
      <c r="AA46" s="89"/>
      <c r="AB46" s="89"/>
    </row>
    <row r="47" spans="1:28" s="31" customFormat="1" ht="60" customHeight="1" x14ac:dyDescent="0.2">
      <c r="A47" s="76">
        <v>46</v>
      </c>
      <c r="B47" s="77">
        <v>50000205</v>
      </c>
      <c r="C47" s="78" t="s">
        <v>162</v>
      </c>
      <c r="D47" s="79">
        <v>0.05</v>
      </c>
      <c r="E47" s="80">
        <v>30049087</v>
      </c>
      <c r="F47" s="81" t="s">
        <v>163</v>
      </c>
      <c r="G47" s="82" t="s">
        <v>164</v>
      </c>
      <c r="H47" s="82" t="s">
        <v>3715</v>
      </c>
      <c r="I47" s="79" t="s">
        <v>2666</v>
      </c>
      <c r="J47" s="83">
        <v>190.76</v>
      </c>
      <c r="K47" s="83">
        <v>145.34095238095239</v>
      </c>
      <c r="L47" s="83">
        <v>133.22920634920635</v>
      </c>
      <c r="M47" s="84">
        <v>119.90628571428576</v>
      </c>
      <c r="N47" s="59">
        <f t="shared" si="0"/>
        <v>0.37142857142857116</v>
      </c>
      <c r="O47" s="85" t="s">
        <v>16</v>
      </c>
      <c r="P47" s="86" t="s">
        <v>2700</v>
      </c>
      <c r="Q47" s="87" t="s">
        <v>3208</v>
      </c>
      <c r="R47" s="87">
        <v>10</v>
      </c>
      <c r="S47" s="88">
        <v>19.076000000000001</v>
      </c>
      <c r="T47" s="88">
        <v>13.322920634920635</v>
      </c>
      <c r="U47" s="88">
        <v>11.990628571428577</v>
      </c>
      <c r="V47" s="87" t="s">
        <v>3061</v>
      </c>
      <c r="W47" s="87" t="s">
        <v>3102</v>
      </c>
      <c r="X47" s="90" t="s">
        <v>3477</v>
      </c>
      <c r="Y47" s="89"/>
      <c r="Z47" s="89">
        <v>6</v>
      </c>
      <c r="AA47" s="89" t="s">
        <v>3207</v>
      </c>
      <c r="AB47" s="89"/>
    </row>
    <row r="48" spans="1:28" s="31" customFormat="1" ht="60" customHeight="1" x14ac:dyDescent="0.2">
      <c r="A48" s="76">
        <v>47</v>
      </c>
      <c r="B48" s="77">
        <v>50000695</v>
      </c>
      <c r="C48" s="78" t="s">
        <v>165</v>
      </c>
      <c r="D48" s="79">
        <v>0.05</v>
      </c>
      <c r="E48" s="80">
        <v>30049087</v>
      </c>
      <c r="F48" s="81" t="s">
        <v>166</v>
      </c>
      <c r="G48" s="82" t="s">
        <v>167</v>
      </c>
      <c r="H48" s="82" t="s">
        <v>3716</v>
      </c>
      <c r="I48" s="79" t="s">
        <v>2666</v>
      </c>
      <c r="J48" s="83">
        <v>119.1</v>
      </c>
      <c r="K48" s="83">
        <v>90.742857142857147</v>
      </c>
      <c r="L48" s="83">
        <v>90.742857142857147</v>
      </c>
      <c r="M48" s="84">
        <v>81.668571428571425</v>
      </c>
      <c r="N48" s="59">
        <f t="shared" si="0"/>
        <v>0.31428571428571428</v>
      </c>
      <c r="O48" s="85" t="s">
        <v>16</v>
      </c>
      <c r="P48" s="86" t="s">
        <v>2848</v>
      </c>
      <c r="Q48" s="87" t="s">
        <v>3208</v>
      </c>
      <c r="R48" s="87">
        <v>10</v>
      </c>
      <c r="S48" s="88">
        <v>11.91</v>
      </c>
      <c r="T48" s="88">
        <v>9.0742857142857147</v>
      </c>
      <c r="U48" s="88">
        <v>8.1668571428571433</v>
      </c>
      <c r="V48" s="87" t="s">
        <v>3061</v>
      </c>
      <c r="W48" s="87" t="s">
        <v>3102</v>
      </c>
      <c r="X48" s="90" t="s">
        <v>3477</v>
      </c>
      <c r="Y48" s="89"/>
      <c r="Z48" s="89">
        <v>3</v>
      </c>
      <c r="AA48" s="89" t="s">
        <v>3207</v>
      </c>
      <c r="AB48" s="89"/>
    </row>
    <row r="49" spans="1:28" s="31" customFormat="1" ht="60" customHeight="1" x14ac:dyDescent="0.2">
      <c r="A49" s="76">
        <v>48</v>
      </c>
      <c r="B49" s="77">
        <v>50000063</v>
      </c>
      <c r="C49" s="78" t="s">
        <v>168</v>
      </c>
      <c r="D49" s="79">
        <v>0.05</v>
      </c>
      <c r="E49" s="80">
        <v>30049099</v>
      </c>
      <c r="F49" s="81" t="s">
        <v>169</v>
      </c>
      <c r="G49" s="82" t="s">
        <v>170</v>
      </c>
      <c r="H49" s="82" t="s">
        <v>3717</v>
      </c>
      <c r="I49" s="79" t="s">
        <v>2666</v>
      </c>
      <c r="J49" s="83">
        <v>90.46</v>
      </c>
      <c r="K49" s="83">
        <v>68.921904761904756</v>
      </c>
      <c r="L49" s="83">
        <v>63.178412698412693</v>
      </c>
      <c r="M49" s="84">
        <v>56.860571428571426</v>
      </c>
      <c r="N49" s="59">
        <f t="shared" si="0"/>
        <v>0.37142857142857144</v>
      </c>
      <c r="O49" s="85" t="s">
        <v>16</v>
      </c>
      <c r="P49" s="86" t="s">
        <v>2707</v>
      </c>
      <c r="Q49" s="87" t="s">
        <v>3208</v>
      </c>
      <c r="R49" s="87">
        <v>10</v>
      </c>
      <c r="S49" s="88">
        <v>9.0459999999999994</v>
      </c>
      <c r="T49" s="88">
        <v>6.3178412698412689</v>
      </c>
      <c r="U49" s="88">
        <v>5.6860571428571429</v>
      </c>
      <c r="V49" s="87" t="s">
        <v>3061</v>
      </c>
      <c r="W49" s="87" t="s">
        <v>3107</v>
      </c>
      <c r="X49" s="90" t="s">
        <v>3477</v>
      </c>
      <c r="Y49" s="89"/>
      <c r="Z49" s="89">
        <v>12</v>
      </c>
      <c r="AA49" s="89"/>
      <c r="AB49" s="89"/>
    </row>
    <row r="50" spans="1:28" s="31" customFormat="1" ht="60" customHeight="1" x14ac:dyDescent="0.2">
      <c r="A50" s="76">
        <v>49</v>
      </c>
      <c r="B50" s="77">
        <v>50002843</v>
      </c>
      <c r="C50" s="78" t="s">
        <v>171</v>
      </c>
      <c r="D50" s="79">
        <v>0.05</v>
      </c>
      <c r="E50" s="80">
        <v>30049087</v>
      </c>
      <c r="F50" s="81" t="s">
        <v>172</v>
      </c>
      <c r="G50" s="82" t="s">
        <v>173</v>
      </c>
      <c r="H50" s="82" t="s">
        <v>3718</v>
      </c>
      <c r="I50" s="79" t="s">
        <v>2666</v>
      </c>
      <c r="J50" s="83">
        <v>181</v>
      </c>
      <c r="K50" s="83">
        <v>137.9047619047619</v>
      </c>
      <c r="L50" s="83">
        <v>126.41269841269842</v>
      </c>
      <c r="M50" s="84">
        <v>113.77142857142857</v>
      </c>
      <c r="N50" s="59">
        <f t="shared" si="0"/>
        <v>0.37142857142857144</v>
      </c>
      <c r="O50" s="85" t="s">
        <v>16</v>
      </c>
      <c r="P50" s="86" t="s">
        <v>2676</v>
      </c>
      <c r="Q50" s="87" t="s">
        <v>3208</v>
      </c>
      <c r="R50" s="87">
        <v>10</v>
      </c>
      <c r="S50" s="88">
        <v>18.100000000000001</v>
      </c>
      <c r="T50" s="88">
        <v>12.641269841269843</v>
      </c>
      <c r="U50" s="88">
        <v>11.377142857142857</v>
      </c>
      <c r="V50" s="87" t="s">
        <v>3061</v>
      </c>
      <c r="W50" s="87" t="s">
        <v>3102</v>
      </c>
      <c r="X50" s="90" t="s">
        <v>3477</v>
      </c>
      <c r="Y50" s="89"/>
      <c r="Z50" s="89">
        <v>6</v>
      </c>
      <c r="AA50" s="89"/>
      <c r="AB50" s="89"/>
    </row>
    <row r="51" spans="1:28" s="31" customFormat="1" ht="60" customHeight="1" x14ac:dyDescent="0.2">
      <c r="A51" s="76">
        <v>50</v>
      </c>
      <c r="B51" s="77">
        <v>50002844</v>
      </c>
      <c r="C51" s="78" t="s">
        <v>174</v>
      </c>
      <c r="D51" s="79">
        <v>0.05</v>
      </c>
      <c r="E51" s="80">
        <v>30049087</v>
      </c>
      <c r="F51" s="81" t="s">
        <v>175</v>
      </c>
      <c r="G51" s="82" t="s">
        <v>176</v>
      </c>
      <c r="H51" s="82" t="s">
        <v>3719</v>
      </c>
      <c r="I51" s="79" t="s">
        <v>2666</v>
      </c>
      <c r="J51" s="83">
        <v>182.96</v>
      </c>
      <c r="K51" s="83">
        <v>139.39809523809524</v>
      </c>
      <c r="L51" s="83">
        <v>108.42074074074074</v>
      </c>
      <c r="M51" s="84">
        <v>107.33653333333334</v>
      </c>
      <c r="N51" s="59">
        <f t="shared" si="0"/>
        <v>0.41333333333333333</v>
      </c>
      <c r="O51" s="85" t="s">
        <v>16</v>
      </c>
      <c r="P51" s="86" t="s">
        <v>2701</v>
      </c>
      <c r="Q51" s="87" t="s">
        <v>3207</v>
      </c>
      <c r="R51" s="87">
        <v>10</v>
      </c>
      <c r="S51" s="88">
        <v>18.295999999999999</v>
      </c>
      <c r="T51" s="88">
        <v>10.842074074074073</v>
      </c>
      <c r="U51" s="88">
        <v>10.733653333333333</v>
      </c>
      <c r="V51" s="87" t="s">
        <v>3061</v>
      </c>
      <c r="W51" s="87" t="s">
        <v>3102</v>
      </c>
      <c r="X51" s="90" t="s">
        <v>3477</v>
      </c>
      <c r="Y51" s="89"/>
      <c r="Z51" s="89">
        <v>6</v>
      </c>
      <c r="AA51" s="89"/>
      <c r="AB51" s="89"/>
    </row>
    <row r="52" spans="1:28" s="31" customFormat="1" ht="60" customHeight="1" x14ac:dyDescent="0.2">
      <c r="A52" s="76">
        <v>51</v>
      </c>
      <c r="B52" s="77">
        <v>50001967</v>
      </c>
      <c r="C52" s="78" t="s">
        <v>177</v>
      </c>
      <c r="D52" s="79">
        <v>0.05</v>
      </c>
      <c r="E52" s="80">
        <v>30049087</v>
      </c>
      <c r="F52" s="81" t="s">
        <v>178</v>
      </c>
      <c r="G52" s="82" t="s">
        <v>179</v>
      </c>
      <c r="H52" s="82" t="s">
        <v>3720</v>
      </c>
      <c r="I52" s="79" t="s">
        <v>2702</v>
      </c>
      <c r="J52" s="83">
        <v>251.74</v>
      </c>
      <c r="K52" s="83">
        <v>191.80190476190475</v>
      </c>
      <c r="L52" s="83">
        <v>191.80190476190475</v>
      </c>
      <c r="M52" s="84">
        <v>172.62171428571426</v>
      </c>
      <c r="N52" s="59">
        <f t="shared" si="0"/>
        <v>0.31428571428571439</v>
      </c>
      <c r="O52" s="85" t="s">
        <v>16</v>
      </c>
      <c r="P52" s="86" t="s">
        <v>68</v>
      </c>
      <c r="Q52" s="87" t="s">
        <v>3208</v>
      </c>
      <c r="R52" s="87">
        <v>6</v>
      </c>
      <c r="S52" s="88">
        <v>41.956666666666671</v>
      </c>
      <c r="T52" s="88">
        <v>31.966984126984126</v>
      </c>
      <c r="U52" s="88">
        <v>28.770285714285709</v>
      </c>
      <c r="V52" s="87" t="s">
        <v>3061</v>
      </c>
      <c r="W52" s="87" t="s">
        <v>3102</v>
      </c>
      <c r="X52" s="90" t="s">
        <v>3477</v>
      </c>
      <c r="Y52" s="89"/>
      <c r="Z52" s="89">
        <v>3</v>
      </c>
      <c r="AA52" s="89"/>
      <c r="AB52" s="89"/>
    </row>
    <row r="53" spans="1:28" s="31" customFormat="1" ht="60" customHeight="1" x14ac:dyDescent="0.2">
      <c r="A53" s="76">
        <v>52</v>
      </c>
      <c r="B53" s="77">
        <v>50002845</v>
      </c>
      <c r="C53" s="78" t="s">
        <v>180</v>
      </c>
      <c r="D53" s="79">
        <v>0.05</v>
      </c>
      <c r="E53" s="80">
        <v>30049087</v>
      </c>
      <c r="F53" s="81" t="s">
        <v>181</v>
      </c>
      <c r="G53" s="82" t="s">
        <v>182</v>
      </c>
      <c r="H53" s="82" t="s">
        <v>3721</v>
      </c>
      <c r="I53" s="79" t="s">
        <v>2666</v>
      </c>
      <c r="J53" s="83">
        <v>123.37</v>
      </c>
      <c r="K53" s="83">
        <v>93.996190476190478</v>
      </c>
      <c r="L53" s="83">
        <v>86.163174603174596</v>
      </c>
      <c r="M53" s="84">
        <v>77.546857142857107</v>
      </c>
      <c r="N53" s="59">
        <f t="shared" si="0"/>
        <v>0.37142857142857172</v>
      </c>
      <c r="O53" s="85" t="s">
        <v>16</v>
      </c>
      <c r="P53" s="86" t="s">
        <v>2701</v>
      </c>
      <c r="Q53" s="87" t="s">
        <v>3208</v>
      </c>
      <c r="R53" s="87">
        <v>10</v>
      </c>
      <c r="S53" s="88">
        <v>12.337</v>
      </c>
      <c r="T53" s="88">
        <v>8.6163174603174593</v>
      </c>
      <c r="U53" s="88">
        <v>7.7546857142857109</v>
      </c>
      <c r="V53" s="87" t="s">
        <v>3061</v>
      </c>
      <c r="W53" s="87" t="s">
        <v>3102</v>
      </c>
      <c r="X53" s="90" t="s">
        <v>3477</v>
      </c>
      <c r="Y53" s="89"/>
      <c r="Z53" s="89">
        <v>6</v>
      </c>
      <c r="AA53" s="89"/>
      <c r="AB53" s="89"/>
    </row>
    <row r="54" spans="1:28" s="31" customFormat="1" ht="60" customHeight="1" x14ac:dyDescent="0.2">
      <c r="A54" s="76">
        <v>53</v>
      </c>
      <c r="B54" s="77">
        <v>50000819</v>
      </c>
      <c r="C54" s="78" t="s">
        <v>183</v>
      </c>
      <c r="D54" s="79">
        <v>0.05</v>
      </c>
      <c r="E54" s="80">
        <v>30049087</v>
      </c>
      <c r="F54" s="81" t="s">
        <v>184</v>
      </c>
      <c r="G54" s="82" t="s">
        <v>182</v>
      </c>
      <c r="H54" s="82" t="s">
        <v>3722</v>
      </c>
      <c r="I54" s="79" t="s">
        <v>2678</v>
      </c>
      <c r="J54" s="83">
        <v>64.39</v>
      </c>
      <c r="K54" s="83">
        <v>49.059047619047618</v>
      </c>
      <c r="L54" s="83">
        <v>40.882539682539679</v>
      </c>
      <c r="M54" s="84">
        <v>40.882539682539679</v>
      </c>
      <c r="N54" s="59">
        <f t="shared" si="0"/>
        <v>0.36507936507936511</v>
      </c>
      <c r="O54" s="85" t="s">
        <v>16</v>
      </c>
      <c r="P54" s="86" t="s">
        <v>2703</v>
      </c>
      <c r="Q54" s="87" t="s">
        <v>3207</v>
      </c>
      <c r="R54" s="87">
        <v>1</v>
      </c>
      <c r="S54" s="88">
        <v>64.39</v>
      </c>
      <c r="T54" s="88">
        <v>40.882539682539679</v>
      </c>
      <c r="U54" s="88">
        <v>40.882539682539679</v>
      </c>
      <c r="V54" s="87" t="s">
        <v>3062</v>
      </c>
      <c r="W54" s="87" t="s">
        <v>3102</v>
      </c>
      <c r="X54" s="90" t="s">
        <v>3480</v>
      </c>
      <c r="Y54" s="89"/>
      <c r="Z54" s="89">
        <v>1</v>
      </c>
      <c r="AA54" s="89"/>
      <c r="AB54" s="89"/>
    </row>
    <row r="55" spans="1:28" s="31" customFormat="1" ht="60" customHeight="1" x14ac:dyDescent="0.2">
      <c r="A55" s="76">
        <v>54</v>
      </c>
      <c r="B55" s="77">
        <v>50000305</v>
      </c>
      <c r="C55" s="78" t="s">
        <v>185</v>
      </c>
      <c r="D55" s="79">
        <v>0.05</v>
      </c>
      <c r="E55" s="80">
        <v>30049087</v>
      </c>
      <c r="F55" s="81" t="s">
        <v>186</v>
      </c>
      <c r="G55" s="82" t="s">
        <v>187</v>
      </c>
      <c r="H55" s="82" t="s">
        <v>3723</v>
      </c>
      <c r="I55" s="79" t="s">
        <v>2672</v>
      </c>
      <c r="J55" s="83">
        <v>97.96</v>
      </c>
      <c r="K55" s="83">
        <v>74.636190476190478</v>
      </c>
      <c r="L55" s="83">
        <v>62.196825396825396</v>
      </c>
      <c r="M55" s="84">
        <v>62.196825396825396</v>
      </c>
      <c r="N55" s="59">
        <f t="shared" si="0"/>
        <v>0.36507936507936506</v>
      </c>
      <c r="O55" s="85" t="s">
        <v>16</v>
      </c>
      <c r="P55" s="86" t="s">
        <v>2701</v>
      </c>
      <c r="Q55" s="87" t="s">
        <v>3208</v>
      </c>
      <c r="R55" s="87">
        <v>1</v>
      </c>
      <c r="S55" s="88">
        <v>97.96</v>
      </c>
      <c r="T55" s="88">
        <v>62.196825396825396</v>
      </c>
      <c r="U55" s="88">
        <v>62.196825396825396</v>
      </c>
      <c r="V55" s="87" t="s">
        <v>3062</v>
      </c>
      <c r="W55" s="87" t="s">
        <v>3102</v>
      </c>
      <c r="X55" s="90" t="s">
        <v>3482</v>
      </c>
      <c r="Y55" s="89"/>
      <c r="Z55" s="89">
        <v>1</v>
      </c>
      <c r="AA55" s="89"/>
      <c r="AB55" s="89"/>
    </row>
    <row r="56" spans="1:28" s="31" customFormat="1" ht="60" customHeight="1" x14ac:dyDescent="0.2">
      <c r="A56" s="76">
        <v>55</v>
      </c>
      <c r="B56" s="77">
        <v>50000332</v>
      </c>
      <c r="C56" s="78" t="s">
        <v>188</v>
      </c>
      <c r="D56" s="79">
        <v>0.05</v>
      </c>
      <c r="E56" s="80">
        <v>30049087</v>
      </c>
      <c r="F56" s="81" t="s">
        <v>189</v>
      </c>
      <c r="G56" s="82" t="s">
        <v>190</v>
      </c>
      <c r="H56" s="82" t="s">
        <v>3724</v>
      </c>
      <c r="I56" s="79" t="s">
        <v>2678</v>
      </c>
      <c r="J56" s="83">
        <v>180.92</v>
      </c>
      <c r="K56" s="83">
        <v>137.84380952380951</v>
      </c>
      <c r="L56" s="83">
        <v>114.86984126984127</v>
      </c>
      <c r="M56" s="84">
        <v>104.20992000000001</v>
      </c>
      <c r="N56" s="59">
        <f t="shared" si="0"/>
        <v>0.42399999999999988</v>
      </c>
      <c r="O56" s="85" t="s">
        <v>16</v>
      </c>
      <c r="P56" s="86" t="s">
        <v>2701</v>
      </c>
      <c r="Q56" s="87" t="s">
        <v>3208</v>
      </c>
      <c r="R56" s="87">
        <v>1</v>
      </c>
      <c r="S56" s="88">
        <v>180.92</v>
      </c>
      <c r="T56" s="88">
        <v>114.86984126984127</v>
      </c>
      <c r="U56" s="88">
        <v>104.20992000000001</v>
      </c>
      <c r="V56" s="87" t="s">
        <v>3062</v>
      </c>
      <c r="W56" s="87" t="s">
        <v>3102</v>
      </c>
      <c r="X56" s="90" t="s">
        <v>3480</v>
      </c>
      <c r="Y56" s="89"/>
      <c r="Z56" s="89">
        <v>1</v>
      </c>
      <c r="AA56" s="89"/>
      <c r="AB56" s="89"/>
    </row>
    <row r="57" spans="1:28" s="31" customFormat="1" ht="60" customHeight="1" x14ac:dyDescent="0.2">
      <c r="A57" s="76">
        <v>56</v>
      </c>
      <c r="B57" s="77">
        <v>50004334</v>
      </c>
      <c r="C57" s="78" t="s">
        <v>191</v>
      </c>
      <c r="D57" s="79">
        <v>0.05</v>
      </c>
      <c r="E57" s="80">
        <v>30049087</v>
      </c>
      <c r="F57" s="81" t="s">
        <v>192</v>
      </c>
      <c r="G57" s="82" t="s">
        <v>193</v>
      </c>
      <c r="H57" s="82" t="s">
        <v>3725</v>
      </c>
      <c r="I57" s="79" t="s">
        <v>2704</v>
      </c>
      <c r="J57" s="83">
        <v>201.55</v>
      </c>
      <c r="K57" s="83">
        <v>153.56190476190477</v>
      </c>
      <c r="L57" s="83">
        <v>140.7650793650794</v>
      </c>
      <c r="M57" s="84">
        <v>140.7650793650794</v>
      </c>
      <c r="N57" s="59">
        <f t="shared" si="0"/>
        <v>0.30158730158730146</v>
      </c>
      <c r="O57" s="85" t="s">
        <v>16</v>
      </c>
      <c r="P57" s="86" t="s">
        <v>3147</v>
      </c>
      <c r="Q57" s="87" t="s">
        <v>3208</v>
      </c>
      <c r="R57" s="87">
        <v>1</v>
      </c>
      <c r="S57" s="88">
        <v>201.55</v>
      </c>
      <c r="T57" s="88">
        <v>140.7650793650794</v>
      </c>
      <c r="U57" s="88">
        <v>140.7650793650794</v>
      </c>
      <c r="V57" s="87" t="s">
        <v>3062</v>
      </c>
      <c r="W57" s="87" t="s">
        <v>3102</v>
      </c>
      <c r="X57" s="90" t="s">
        <v>3480</v>
      </c>
      <c r="Y57" s="89"/>
      <c r="Z57" s="89">
        <v>1</v>
      </c>
      <c r="AA57" s="89"/>
      <c r="AB57" s="89"/>
    </row>
    <row r="58" spans="1:28" s="31" customFormat="1" ht="60" customHeight="1" x14ac:dyDescent="0.2">
      <c r="A58" s="76">
        <v>57</v>
      </c>
      <c r="B58" s="77">
        <v>50002762</v>
      </c>
      <c r="C58" s="78" t="s">
        <v>194</v>
      </c>
      <c r="D58" s="79">
        <v>0.05</v>
      </c>
      <c r="E58" s="80">
        <v>30045039</v>
      </c>
      <c r="F58" s="81" t="s">
        <v>195</v>
      </c>
      <c r="G58" s="82" t="s">
        <v>196</v>
      </c>
      <c r="H58" s="82" t="s">
        <v>197</v>
      </c>
      <c r="I58" s="79" t="s">
        <v>2705</v>
      </c>
      <c r="J58" s="83">
        <v>22.65</v>
      </c>
      <c r="K58" s="83">
        <v>17.25714285714286</v>
      </c>
      <c r="L58" s="83">
        <v>17.25714285714286</v>
      </c>
      <c r="M58" s="84">
        <v>15.531428571428574</v>
      </c>
      <c r="N58" s="59">
        <f t="shared" si="0"/>
        <v>0.31428571428571411</v>
      </c>
      <c r="O58" s="85" t="s">
        <v>16</v>
      </c>
      <c r="P58" s="86" t="s">
        <v>2706</v>
      </c>
      <c r="Q58" s="87" t="s">
        <v>3208</v>
      </c>
      <c r="R58" s="87">
        <v>1</v>
      </c>
      <c r="S58" s="88">
        <v>22.65</v>
      </c>
      <c r="T58" s="88">
        <v>17.25714285714286</v>
      </c>
      <c r="U58" s="88">
        <v>15.531428571428574</v>
      </c>
      <c r="V58" s="87" t="s">
        <v>3064</v>
      </c>
      <c r="W58" s="87" t="s">
        <v>3108</v>
      </c>
      <c r="X58" s="90" t="s">
        <v>3491</v>
      </c>
      <c r="Y58" s="89"/>
      <c r="Z58" s="89">
        <v>10</v>
      </c>
      <c r="AA58" s="89" t="s">
        <v>3207</v>
      </c>
      <c r="AB58" s="89"/>
    </row>
    <row r="59" spans="1:28" s="31" customFormat="1" ht="60" customHeight="1" x14ac:dyDescent="0.2">
      <c r="A59" s="76">
        <v>58</v>
      </c>
      <c r="B59" s="77">
        <v>50002853</v>
      </c>
      <c r="C59" s="78" t="s">
        <v>198</v>
      </c>
      <c r="D59" s="79">
        <v>0.05</v>
      </c>
      <c r="E59" s="80">
        <v>30049099</v>
      </c>
      <c r="F59" s="81" t="s">
        <v>199</v>
      </c>
      <c r="G59" s="82" t="s">
        <v>200</v>
      </c>
      <c r="H59" s="82" t="s">
        <v>3726</v>
      </c>
      <c r="I59" s="79" t="s">
        <v>2663</v>
      </c>
      <c r="J59" s="83">
        <v>238.91</v>
      </c>
      <c r="K59" s="83">
        <v>182.02666666666667</v>
      </c>
      <c r="L59" s="83">
        <v>166.85777777777778</v>
      </c>
      <c r="M59" s="84">
        <v>150.17200000000003</v>
      </c>
      <c r="N59" s="59">
        <f t="shared" si="0"/>
        <v>0.37142857142857133</v>
      </c>
      <c r="O59" s="85" t="s">
        <v>16</v>
      </c>
      <c r="P59" s="86" t="s">
        <v>2707</v>
      </c>
      <c r="Q59" s="87" t="s">
        <v>3208</v>
      </c>
      <c r="R59" s="87">
        <v>15</v>
      </c>
      <c r="S59" s="88">
        <v>15.927333333333333</v>
      </c>
      <c r="T59" s="88">
        <v>11.123851851851851</v>
      </c>
      <c r="U59" s="88">
        <v>10.011466666666669</v>
      </c>
      <c r="V59" s="87" t="s">
        <v>3061</v>
      </c>
      <c r="W59" s="87" t="s">
        <v>3105</v>
      </c>
      <c r="X59" s="90" t="s">
        <v>3477</v>
      </c>
      <c r="Y59" s="89"/>
      <c r="Z59" s="89">
        <v>6</v>
      </c>
      <c r="AA59" s="89" t="s">
        <v>3207</v>
      </c>
      <c r="AB59" s="89"/>
    </row>
    <row r="60" spans="1:28" s="31" customFormat="1" ht="60" customHeight="1" x14ac:dyDescent="0.2">
      <c r="A60" s="76">
        <v>59</v>
      </c>
      <c r="B60" s="77">
        <v>50003378</v>
      </c>
      <c r="C60" s="78" t="s">
        <v>201</v>
      </c>
      <c r="D60" s="79">
        <v>0.05</v>
      </c>
      <c r="E60" s="80">
        <v>30049099</v>
      </c>
      <c r="F60" s="81" t="s">
        <v>202</v>
      </c>
      <c r="G60" s="82" t="s">
        <v>203</v>
      </c>
      <c r="H60" s="82" t="s">
        <v>204</v>
      </c>
      <c r="I60" s="79" t="s">
        <v>2708</v>
      </c>
      <c r="J60" s="83">
        <v>83.02</v>
      </c>
      <c r="K60" s="83">
        <v>63.25333333333333</v>
      </c>
      <c r="L60" s="83">
        <v>50.602666666666664</v>
      </c>
      <c r="M60" s="84">
        <v>45.542399999999994</v>
      </c>
      <c r="N60" s="59">
        <f t="shared" si="0"/>
        <v>0.45142857142857146</v>
      </c>
      <c r="O60" s="85" t="s">
        <v>16</v>
      </c>
      <c r="P60" s="86" t="s">
        <v>2709</v>
      </c>
      <c r="Q60" s="87" t="s">
        <v>3208</v>
      </c>
      <c r="R60" s="87">
        <v>1</v>
      </c>
      <c r="S60" s="88">
        <v>83.02</v>
      </c>
      <c r="T60" s="88">
        <v>50.602666666666664</v>
      </c>
      <c r="U60" s="88">
        <v>45.542399999999994</v>
      </c>
      <c r="V60" s="87" t="s">
        <v>3065</v>
      </c>
      <c r="W60" s="87" t="s">
        <v>3105</v>
      </c>
      <c r="X60" s="90" t="s">
        <v>3479</v>
      </c>
      <c r="Y60" s="89"/>
      <c r="Z60" s="89">
        <v>5</v>
      </c>
      <c r="AA60" s="89" t="s">
        <v>3207</v>
      </c>
      <c r="AB60" s="89"/>
    </row>
    <row r="61" spans="1:28" s="31" customFormat="1" ht="60" customHeight="1" x14ac:dyDescent="0.2">
      <c r="A61" s="76">
        <v>60</v>
      </c>
      <c r="B61" s="77">
        <v>50000140</v>
      </c>
      <c r="C61" s="78" t="s">
        <v>205</v>
      </c>
      <c r="D61" s="79">
        <v>0.05</v>
      </c>
      <c r="E61" s="80">
        <v>30045039</v>
      </c>
      <c r="F61" s="81" t="s">
        <v>206</v>
      </c>
      <c r="G61" s="82" t="s">
        <v>207</v>
      </c>
      <c r="H61" s="82" t="s">
        <v>197</v>
      </c>
      <c r="I61" s="79" t="s">
        <v>2710</v>
      </c>
      <c r="J61" s="83">
        <v>212.12</v>
      </c>
      <c r="K61" s="83">
        <v>161.61523809523811</v>
      </c>
      <c r="L61" s="83">
        <v>161.61523809523811</v>
      </c>
      <c r="M61" s="84">
        <v>145.45371428571431</v>
      </c>
      <c r="N61" s="59">
        <f t="shared" si="0"/>
        <v>0.31428571428571417</v>
      </c>
      <c r="O61" s="85" t="s">
        <v>16</v>
      </c>
      <c r="P61" s="86" t="s">
        <v>2691</v>
      </c>
      <c r="Q61" s="87" t="s">
        <v>3208</v>
      </c>
      <c r="R61" s="87">
        <v>20</v>
      </c>
      <c r="S61" s="88">
        <v>10.606</v>
      </c>
      <c r="T61" s="88">
        <v>8.0807619047619053</v>
      </c>
      <c r="U61" s="88">
        <v>7.272685714285716</v>
      </c>
      <c r="V61" s="87" t="s">
        <v>3061</v>
      </c>
      <c r="W61" s="87" t="s">
        <v>3108</v>
      </c>
      <c r="X61" s="90" t="s">
        <v>3477</v>
      </c>
      <c r="Y61" s="89"/>
      <c r="Z61" s="89">
        <v>6</v>
      </c>
      <c r="AA61" s="89" t="s">
        <v>3207</v>
      </c>
      <c r="AB61" s="89"/>
    </row>
    <row r="62" spans="1:28" s="31" customFormat="1" ht="60" customHeight="1" x14ac:dyDescent="0.2">
      <c r="A62" s="76">
        <v>61</v>
      </c>
      <c r="B62" s="77">
        <v>50000421</v>
      </c>
      <c r="C62" s="78" t="s">
        <v>208</v>
      </c>
      <c r="D62" s="79">
        <v>0.05</v>
      </c>
      <c r="E62" s="80">
        <v>30045039</v>
      </c>
      <c r="F62" s="81" t="s">
        <v>209</v>
      </c>
      <c r="G62" s="82" t="s">
        <v>207</v>
      </c>
      <c r="H62" s="82" t="s">
        <v>3727</v>
      </c>
      <c r="I62" s="79" t="s">
        <v>2711</v>
      </c>
      <c r="J62" s="83">
        <v>29.88</v>
      </c>
      <c r="K62" s="83">
        <v>22.765714285714285</v>
      </c>
      <c r="L62" s="83">
        <v>18.971428571428572</v>
      </c>
      <c r="M62" s="84">
        <v>17.074285714285718</v>
      </c>
      <c r="N62" s="59">
        <f t="shared" si="0"/>
        <v>0.42857142857142844</v>
      </c>
      <c r="O62" s="85" t="s">
        <v>16</v>
      </c>
      <c r="P62" s="86" t="s">
        <v>2712</v>
      </c>
      <c r="Q62" s="87" t="s">
        <v>3208</v>
      </c>
      <c r="R62" s="87">
        <v>1</v>
      </c>
      <c r="S62" s="88">
        <v>29.88</v>
      </c>
      <c r="T62" s="88">
        <v>18.971428571428572</v>
      </c>
      <c r="U62" s="88">
        <v>17.074285714285718</v>
      </c>
      <c r="V62" s="87" t="s">
        <v>3065</v>
      </c>
      <c r="W62" s="87" t="s">
        <v>3108</v>
      </c>
      <c r="X62" s="90" t="s">
        <v>3479</v>
      </c>
      <c r="Y62" s="89"/>
      <c r="Z62" s="89">
        <v>12</v>
      </c>
      <c r="AA62" s="89" t="s">
        <v>3207</v>
      </c>
      <c r="AB62" s="89"/>
    </row>
    <row r="63" spans="1:28" s="31" customFormat="1" ht="60" customHeight="1" x14ac:dyDescent="0.2">
      <c r="A63" s="76">
        <v>62</v>
      </c>
      <c r="B63" s="77">
        <v>50000025</v>
      </c>
      <c r="C63" s="78" t="s">
        <v>211</v>
      </c>
      <c r="D63" s="79">
        <v>0.05</v>
      </c>
      <c r="E63" s="80">
        <v>30045039</v>
      </c>
      <c r="F63" s="81" t="s">
        <v>212</v>
      </c>
      <c r="G63" s="82" t="s">
        <v>213</v>
      </c>
      <c r="H63" s="82" t="s">
        <v>214</v>
      </c>
      <c r="I63" s="79" t="s">
        <v>2666</v>
      </c>
      <c r="J63" s="83">
        <v>78.69</v>
      </c>
      <c r="K63" s="83">
        <v>59.95428571428571</v>
      </c>
      <c r="L63" s="83">
        <v>59.95428571428571</v>
      </c>
      <c r="M63" s="84">
        <v>53.958857142857134</v>
      </c>
      <c r="N63" s="59">
        <f t="shared" si="0"/>
        <v>0.31428571428571439</v>
      </c>
      <c r="O63" s="85" t="s">
        <v>16</v>
      </c>
      <c r="P63" s="86" t="s">
        <v>22</v>
      </c>
      <c r="Q63" s="87" t="s">
        <v>3208</v>
      </c>
      <c r="R63" s="87">
        <v>10</v>
      </c>
      <c r="S63" s="88">
        <v>7.8689999999999998</v>
      </c>
      <c r="T63" s="88">
        <v>5.9954285714285707</v>
      </c>
      <c r="U63" s="88">
        <v>5.3958857142857131</v>
      </c>
      <c r="V63" s="87" t="s">
        <v>3061</v>
      </c>
      <c r="W63" s="87" t="s">
        <v>3108</v>
      </c>
      <c r="X63" s="90" t="s">
        <v>3477</v>
      </c>
      <c r="Y63" s="89"/>
      <c r="Z63" s="89">
        <v>6</v>
      </c>
      <c r="AA63" s="89" t="s">
        <v>3207</v>
      </c>
      <c r="AB63" s="89"/>
    </row>
    <row r="64" spans="1:28" s="31" customFormat="1" ht="60" customHeight="1" x14ac:dyDescent="0.2">
      <c r="A64" s="76">
        <v>63</v>
      </c>
      <c r="B64" s="77">
        <v>50001418</v>
      </c>
      <c r="C64" s="78" t="s">
        <v>215</v>
      </c>
      <c r="D64" s="79">
        <v>0.05</v>
      </c>
      <c r="E64" s="80">
        <v>30045039</v>
      </c>
      <c r="F64" s="81" t="s">
        <v>216</v>
      </c>
      <c r="G64" s="82" t="s">
        <v>4822</v>
      </c>
      <c r="H64" s="82" t="s">
        <v>3728</v>
      </c>
      <c r="I64" s="79" t="s">
        <v>2711</v>
      </c>
      <c r="J64" s="83">
        <v>27.4</v>
      </c>
      <c r="K64" s="83">
        <v>20.876190476190477</v>
      </c>
      <c r="L64" s="83">
        <v>17.396825396825399</v>
      </c>
      <c r="M64" s="84">
        <v>15.65714285714286</v>
      </c>
      <c r="N64" s="59">
        <f t="shared" si="0"/>
        <v>0.42857142857142844</v>
      </c>
      <c r="O64" s="85" t="s">
        <v>16</v>
      </c>
      <c r="P64" s="86" t="s">
        <v>2808</v>
      </c>
      <c r="Q64" s="87" t="s">
        <v>3208</v>
      </c>
      <c r="R64" s="87">
        <v>1</v>
      </c>
      <c r="S64" s="88">
        <v>27.4</v>
      </c>
      <c r="T64" s="88">
        <v>17.396825396825399</v>
      </c>
      <c r="U64" s="88">
        <v>15.65714285714286</v>
      </c>
      <c r="V64" s="87" t="s">
        <v>3065</v>
      </c>
      <c r="W64" s="87" t="s">
        <v>3108</v>
      </c>
      <c r="X64" s="90" t="s">
        <v>3479</v>
      </c>
      <c r="Y64" s="89"/>
      <c r="Z64" s="89">
        <v>12</v>
      </c>
      <c r="AA64" s="89" t="s">
        <v>3207</v>
      </c>
      <c r="AB64" s="89"/>
    </row>
    <row r="65" spans="1:28" s="31" customFormat="1" ht="60" customHeight="1" x14ac:dyDescent="0.2">
      <c r="A65" s="76">
        <v>64</v>
      </c>
      <c r="B65" s="77">
        <v>50000015</v>
      </c>
      <c r="C65" s="78" t="s">
        <v>217</v>
      </c>
      <c r="D65" s="79">
        <v>0.05</v>
      </c>
      <c r="E65" s="80">
        <v>30049067</v>
      </c>
      <c r="F65" s="81" t="s">
        <v>218</v>
      </c>
      <c r="G65" s="82" t="s">
        <v>219</v>
      </c>
      <c r="H65" s="82" t="s">
        <v>220</v>
      </c>
      <c r="I65" s="79" t="s">
        <v>2666</v>
      </c>
      <c r="J65" s="83">
        <v>62.24</v>
      </c>
      <c r="K65" s="83">
        <v>47.420952380952386</v>
      </c>
      <c r="L65" s="83">
        <v>39.517460317460319</v>
      </c>
      <c r="M65" s="84">
        <v>35.565714285714265</v>
      </c>
      <c r="N65" s="59">
        <f t="shared" si="0"/>
        <v>0.42857142857142894</v>
      </c>
      <c r="O65" s="85" t="s">
        <v>16</v>
      </c>
      <c r="P65" s="86" t="s">
        <v>2713</v>
      </c>
      <c r="Q65" s="87" t="s">
        <v>3208</v>
      </c>
      <c r="R65" s="87">
        <v>10</v>
      </c>
      <c r="S65" s="88">
        <v>6.2240000000000002</v>
      </c>
      <c r="T65" s="88">
        <v>3.951746031746032</v>
      </c>
      <c r="U65" s="88">
        <v>3.5565714285714263</v>
      </c>
      <c r="V65" s="87" t="s">
        <v>3061</v>
      </c>
      <c r="W65" s="87" t="s">
        <v>3106</v>
      </c>
      <c r="X65" s="90" t="s">
        <v>3477</v>
      </c>
      <c r="Y65" s="89"/>
      <c r="Z65" s="89">
        <v>15</v>
      </c>
      <c r="AA65" s="89"/>
      <c r="AB65" s="89"/>
    </row>
    <row r="66" spans="1:28" s="31" customFormat="1" ht="60" customHeight="1" x14ac:dyDescent="0.2">
      <c r="A66" s="76">
        <v>65</v>
      </c>
      <c r="B66" s="77">
        <v>50000726</v>
      </c>
      <c r="C66" s="78" t="s">
        <v>221</v>
      </c>
      <c r="D66" s="79">
        <v>0.05</v>
      </c>
      <c r="E66" s="80">
        <v>30049069</v>
      </c>
      <c r="F66" s="81" t="s">
        <v>222</v>
      </c>
      <c r="G66" s="82" t="s">
        <v>223</v>
      </c>
      <c r="H66" s="82" t="s">
        <v>4082</v>
      </c>
      <c r="I66" s="79" t="s">
        <v>2666</v>
      </c>
      <c r="J66" s="83">
        <v>93.57</v>
      </c>
      <c r="K66" s="83">
        <v>71.291428571428568</v>
      </c>
      <c r="L66" s="83">
        <v>71.291428571428568</v>
      </c>
      <c r="M66" s="84">
        <v>64.162285714285701</v>
      </c>
      <c r="N66" s="59">
        <f t="shared" ref="N66:N129" si="1">(J66-M66)/J66</f>
        <v>0.31428571428571439</v>
      </c>
      <c r="O66" s="85" t="s">
        <v>16</v>
      </c>
      <c r="P66" s="86" t="s">
        <v>2714</v>
      </c>
      <c r="Q66" s="87" t="s">
        <v>3208</v>
      </c>
      <c r="R66" s="87">
        <v>10</v>
      </c>
      <c r="S66" s="88">
        <v>9.3569999999999993</v>
      </c>
      <c r="T66" s="88">
        <v>7.129142857142857</v>
      </c>
      <c r="U66" s="88">
        <v>6.4162285714285705</v>
      </c>
      <c r="V66" s="87" t="s">
        <v>3061</v>
      </c>
      <c r="W66" s="87" t="s">
        <v>3106</v>
      </c>
      <c r="X66" s="90" t="s">
        <v>3477</v>
      </c>
      <c r="Y66" s="89"/>
      <c r="Z66" s="89">
        <v>10</v>
      </c>
      <c r="AA66" s="89"/>
      <c r="AB66" s="89"/>
    </row>
    <row r="67" spans="1:28" s="31" customFormat="1" ht="60" customHeight="1" x14ac:dyDescent="0.2">
      <c r="A67" s="76">
        <v>66</v>
      </c>
      <c r="B67" s="77">
        <v>50000727</v>
      </c>
      <c r="C67" s="78" t="s">
        <v>224</v>
      </c>
      <c r="D67" s="79">
        <v>0.05</v>
      </c>
      <c r="E67" s="80">
        <v>30049069</v>
      </c>
      <c r="F67" s="81" t="s">
        <v>225</v>
      </c>
      <c r="G67" s="82" t="s">
        <v>226</v>
      </c>
      <c r="H67" s="82" t="s">
        <v>3729</v>
      </c>
      <c r="I67" s="79" t="s">
        <v>2666</v>
      </c>
      <c r="J67" s="83">
        <v>90.62</v>
      </c>
      <c r="K67" s="83">
        <v>69.043809523809529</v>
      </c>
      <c r="L67" s="83">
        <v>57.536507936507938</v>
      </c>
      <c r="M67" s="84">
        <v>51.782857142857146</v>
      </c>
      <c r="N67" s="59">
        <f t="shared" si="1"/>
        <v>0.42857142857142855</v>
      </c>
      <c r="O67" s="85" t="s">
        <v>16</v>
      </c>
      <c r="P67" s="86" t="s">
        <v>2715</v>
      </c>
      <c r="Q67" s="87" t="s">
        <v>3208</v>
      </c>
      <c r="R67" s="87">
        <v>10</v>
      </c>
      <c r="S67" s="88">
        <v>9.0620000000000012</v>
      </c>
      <c r="T67" s="88">
        <v>5.7536507936507935</v>
      </c>
      <c r="U67" s="88">
        <v>5.1782857142857148</v>
      </c>
      <c r="V67" s="87" t="s">
        <v>3061</v>
      </c>
      <c r="W67" s="87" t="s">
        <v>3106</v>
      </c>
      <c r="X67" s="90" t="s">
        <v>3477</v>
      </c>
      <c r="Y67" s="89"/>
      <c r="Z67" s="89">
        <v>12</v>
      </c>
      <c r="AA67" s="89"/>
      <c r="AB67" s="89"/>
    </row>
    <row r="68" spans="1:28" s="31" customFormat="1" ht="60" customHeight="1" x14ac:dyDescent="0.2">
      <c r="A68" s="76">
        <v>67</v>
      </c>
      <c r="B68" s="77">
        <v>50003246</v>
      </c>
      <c r="C68" s="78" t="s">
        <v>227</v>
      </c>
      <c r="D68" s="79">
        <v>0.05</v>
      </c>
      <c r="E68" s="80">
        <v>30049099</v>
      </c>
      <c r="F68" s="81" t="s">
        <v>228</v>
      </c>
      <c r="G68" s="82" t="s">
        <v>229</v>
      </c>
      <c r="H68" s="82" t="s">
        <v>3730</v>
      </c>
      <c r="I68" s="79" t="s">
        <v>2666</v>
      </c>
      <c r="J68" s="83">
        <v>97.93</v>
      </c>
      <c r="K68" s="83">
        <v>74.61333333333333</v>
      </c>
      <c r="L68" s="83">
        <v>67.152000000000001</v>
      </c>
      <c r="M68" s="84">
        <v>60.436799999999998</v>
      </c>
      <c r="N68" s="59">
        <f t="shared" si="1"/>
        <v>0.3828571428571429</v>
      </c>
      <c r="O68" s="85" t="s">
        <v>16</v>
      </c>
      <c r="P68" s="86" t="s">
        <v>2716</v>
      </c>
      <c r="Q68" s="87" t="s">
        <v>3208</v>
      </c>
      <c r="R68" s="87">
        <v>10</v>
      </c>
      <c r="S68" s="88">
        <v>9.793000000000001</v>
      </c>
      <c r="T68" s="88">
        <v>6.7152000000000003</v>
      </c>
      <c r="U68" s="88">
        <v>6.0436800000000002</v>
      </c>
      <c r="V68" s="87" t="s">
        <v>3061</v>
      </c>
      <c r="W68" s="87" t="s">
        <v>3105</v>
      </c>
      <c r="X68" s="90" t="s">
        <v>3477</v>
      </c>
      <c r="Y68" s="89"/>
      <c r="Z68" s="89">
        <v>12</v>
      </c>
      <c r="AA68" s="89"/>
      <c r="AB68" s="89"/>
    </row>
    <row r="69" spans="1:28" s="31" customFormat="1" ht="60" customHeight="1" x14ac:dyDescent="0.2">
      <c r="A69" s="76">
        <v>68</v>
      </c>
      <c r="B69" s="77">
        <v>50002546</v>
      </c>
      <c r="C69" s="78" t="s">
        <v>230</v>
      </c>
      <c r="D69" s="79">
        <v>0.05</v>
      </c>
      <c r="E69" s="80">
        <v>30049099</v>
      </c>
      <c r="F69" s="81" t="s">
        <v>231</v>
      </c>
      <c r="G69" s="82" t="s">
        <v>232</v>
      </c>
      <c r="H69" s="82" t="s">
        <v>3731</v>
      </c>
      <c r="I69" s="79" t="s">
        <v>2717</v>
      </c>
      <c r="J69" s="83">
        <v>20.49</v>
      </c>
      <c r="K69" s="83">
        <v>15.611428571428572</v>
      </c>
      <c r="L69" s="83">
        <v>14.050285714285714</v>
      </c>
      <c r="M69" s="84">
        <v>12.676479999999996</v>
      </c>
      <c r="N69" s="59">
        <f t="shared" si="1"/>
        <v>0.38133333333333347</v>
      </c>
      <c r="O69" s="85" t="s">
        <v>16</v>
      </c>
      <c r="P69" s="86" t="s">
        <v>2718</v>
      </c>
      <c r="Q69" s="87" t="s">
        <v>3208</v>
      </c>
      <c r="R69" s="87">
        <v>1</v>
      </c>
      <c r="S69" s="88">
        <v>20.49</v>
      </c>
      <c r="T69" s="88">
        <v>14.050285714285714</v>
      </c>
      <c r="U69" s="88">
        <v>12.676479999999996</v>
      </c>
      <c r="V69" s="87" t="s">
        <v>3065</v>
      </c>
      <c r="W69" s="87" t="s">
        <v>3105</v>
      </c>
      <c r="X69" s="90" t="s">
        <v>3479</v>
      </c>
      <c r="Y69" s="89"/>
      <c r="Z69" s="89">
        <v>10</v>
      </c>
      <c r="AA69" s="89"/>
      <c r="AB69" s="89"/>
    </row>
    <row r="70" spans="1:28" s="31" customFormat="1" ht="60" customHeight="1" x14ac:dyDescent="0.2">
      <c r="A70" s="76">
        <v>69</v>
      </c>
      <c r="B70" s="77">
        <v>50002194</v>
      </c>
      <c r="C70" s="78" t="s">
        <v>233</v>
      </c>
      <c r="D70" s="79">
        <v>0.05</v>
      </c>
      <c r="E70" s="80">
        <v>30049099</v>
      </c>
      <c r="F70" s="81" t="s">
        <v>234</v>
      </c>
      <c r="G70" s="82" t="s">
        <v>4749</v>
      </c>
      <c r="H70" s="82"/>
      <c r="I70" s="79" t="s">
        <v>2672</v>
      </c>
      <c r="J70" s="83">
        <v>54.68</v>
      </c>
      <c r="K70" s="83">
        <v>41.660952380952381</v>
      </c>
      <c r="L70" s="83">
        <v>27.773968253968253</v>
      </c>
      <c r="M70" s="84">
        <v>24.996571428571428</v>
      </c>
      <c r="N70" s="59">
        <f t="shared" si="1"/>
        <v>0.54285714285714282</v>
      </c>
      <c r="O70" s="85" t="s">
        <v>16</v>
      </c>
      <c r="P70" s="86" t="s">
        <v>4774</v>
      </c>
      <c r="Q70" s="87" t="s">
        <v>3207</v>
      </c>
      <c r="R70" s="87">
        <v>1</v>
      </c>
      <c r="S70" s="88">
        <v>54.68</v>
      </c>
      <c r="T70" s="88">
        <v>27.773968253968253</v>
      </c>
      <c r="U70" s="88">
        <v>24.996571428571428</v>
      </c>
      <c r="V70" s="87" t="s">
        <v>3062</v>
      </c>
      <c r="W70" s="87" t="s">
        <v>3103</v>
      </c>
      <c r="X70" s="90" t="s">
        <v>3485</v>
      </c>
      <c r="Y70" s="89"/>
      <c r="Z70" s="89">
        <v>1</v>
      </c>
      <c r="AA70" s="89"/>
      <c r="AB70" s="89"/>
    </row>
    <row r="71" spans="1:28" s="31" customFormat="1" ht="60" customHeight="1" x14ac:dyDescent="0.2">
      <c r="A71" s="76">
        <v>70</v>
      </c>
      <c r="B71" s="77">
        <v>50003241</v>
      </c>
      <c r="C71" s="78" t="s">
        <v>238</v>
      </c>
      <c r="D71" s="79">
        <v>0.05</v>
      </c>
      <c r="E71" s="80">
        <v>30049029</v>
      </c>
      <c r="F71" s="81" t="s">
        <v>239</v>
      </c>
      <c r="G71" s="82" t="s">
        <v>4673</v>
      </c>
      <c r="H71" s="82" t="s">
        <v>158</v>
      </c>
      <c r="I71" s="79" t="s">
        <v>2720</v>
      </c>
      <c r="J71" s="83">
        <v>20.64</v>
      </c>
      <c r="K71" s="83">
        <v>15.725714285714286</v>
      </c>
      <c r="L71" s="83">
        <v>14.153142857142857</v>
      </c>
      <c r="M71" s="84">
        <v>12.737828571428572</v>
      </c>
      <c r="N71" s="59">
        <f t="shared" si="1"/>
        <v>0.38285714285714284</v>
      </c>
      <c r="O71" s="85" t="s">
        <v>16</v>
      </c>
      <c r="P71" s="86" t="s">
        <v>2668</v>
      </c>
      <c r="Q71" s="87" t="s">
        <v>3207</v>
      </c>
      <c r="R71" s="87">
        <v>2</v>
      </c>
      <c r="S71" s="88">
        <v>10.32</v>
      </c>
      <c r="T71" s="88">
        <v>7.0765714285714285</v>
      </c>
      <c r="U71" s="88">
        <v>6.3689142857142862</v>
      </c>
      <c r="V71" s="87" t="s">
        <v>3061</v>
      </c>
      <c r="W71" s="87" t="s">
        <v>3104</v>
      </c>
      <c r="X71" s="90" t="s">
        <v>3477</v>
      </c>
      <c r="Y71" s="89"/>
      <c r="Z71" s="89">
        <v>10</v>
      </c>
      <c r="AA71" s="89"/>
      <c r="AB71" s="89"/>
    </row>
    <row r="72" spans="1:28" s="31" customFormat="1" ht="60" customHeight="1" x14ac:dyDescent="0.2">
      <c r="A72" s="76">
        <v>71</v>
      </c>
      <c r="B72" s="77">
        <v>50003242</v>
      </c>
      <c r="C72" s="78" t="s">
        <v>240</v>
      </c>
      <c r="D72" s="79">
        <v>0.05</v>
      </c>
      <c r="E72" s="80">
        <v>30049029</v>
      </c>
      <c r="F72" s="81" t="s">
        <v>241</v>
      </c>
      <c r="G72" s="82" t="s">
        <v>3070</v>
      </c>
      <c r="H72" s="82" t="s">
        <v>242</v>
      </c>
      <c r="I72" s="79" t="s">
        <v>2720</v>
      </c>
      <c r="J72" s="83">
        <v>25.74</v>
      </c>
      <c r="K72" s="83">
        <v>19.611428571428572</v>
      </c>
      <c r="L72" s="83">
        <v>17.977142857142859</v>
      </c>
      <c r="M72" s="84">
        <v>16.179428571428566</v>
      </c>
      <c r="N72" s="59">
        <f t="shared" si="1"/>
        <v>0.37142857142857161</v>
      </c>
      <c r="O72" s="85" t="s">
        <v>16</v>
      </c>
      <c r="P72" s="86" t="s">
        <v>2668</v>
      </c>
      <c r="Q72" s="87" t="s">
        <v>3207</v>
      </c>
      <c r="R72" s="87">
        <v>2</v>
      </c>
      <c r="S72" s="88">
        <v>12.87</v>
      </c>
      <c r="T72" s="88">
        <v>8.9885714285714293</v>
      </c>
      <c r="U72" s="88">
        <v>8.0897142857142832</v>
      </c>
      <c r="V72" s="87" t="s">
        <v>3061</v>
      </c>
      <c r="W72" s="87" t="s">
        <v>3104</v>
      </c>
      <c r="X72" s="90" t="s">
        <v>3477</v>
      </c>
      <c r="Y72" s="89"/>
      <c r="Z72" s="89">
        <v>30</v>
      </c>
      <c r="AA72" s="89"/>
      <c r="AB72" s="89"/>
    </row>
    <row r="73" spans="1:28" s="31" customFormat="1" ht="60" customHeight="1" x14ac:dyDescent="0.2">
      <c r="A73" s="76">
        <v>72</v>
      </c>
      <c r="B73" s="77">
        <v>50003243</v>
      </c>
      <c r="C73" s="78" t="s">
        <v>243</v>
      </c>
      <c r="D73" s="79">
        <v>0.05</v>
      </c>
      <c r="E73" s="80">
        <v>30049029</v>
      </c>
      <c r="F73" s="81" t="s">
        <v>244</v>
      </c>
      <c r="G73" s="82" t="s">
        <v>245</v>
      </c>
      <c r="H73" s="82" t="s">
        <v>246</v>
      </c>
      <c r="I73" s="79" t="s">
        <v>2720</v>
      </c>
      <c r="J73" s="83">
        <v>37.26</v>
      </c>
      <c r="K73" s="83">
        <v>28.388571428571431</v>
      </c>
      <c r="L73" s="83">
        <v>28.388571428571431</v>
      </c>
      <c r="M73" s="84">
        <v>25.549714285714291</v>
      </c>
      <c r="N73" s="59">
        <f t="shared" si="1"/>
        <v>0.31428571428571411</v>
      </c>
      <c r="O73" s="85" t="s">
        <v>16</v>
      </c>
      <c r="P73" s="86" t="s">
        <v>2668</v>
      </c>
      <c r="Q73" s="87" t="s">
        <v>3207</v>
      </c>
      <c r="R73" s="87">
        <v>2</v>
      </c>
      <c r="S73" s="88">
        <v>18.63</v>
      </c>
      <c r="T73" s="88">
        <v>14.194285714285716</v>
      </c>
      <c r="U73" s="88">
        <v>12.774857142857146</v>
      </c>
      <c r="V73" s="87" t="s">
        <v>3061</v>
      </c>
      <c r="W73" s="87" t="s">
        <v>3104</v>
      </c>
      <c r="X73" s="90" t="s">
        <v>3477</v>
      </c>
      <c r="Y73" s="89"/>
      <c r="Z73" s="89">
        <v>15</v>
      </c>
      <c r="AA73" s="89"/>
      <c r="AB73" s="89"/>
    </row>
    <row r="74" spans="1:28" s="31" customFormat="1" ht="60" customHeight="1" x14ac:dyDescent="0.2">
      <c r="A74" s="76">
        <v>73</v>
      </c>
      <c r="B74" s="77">
        <v>50000592</v>
      </c>
      <c r="C74" s="78" t="s">
        <v>247</v>
      </c>
      <c r="D74" s="79">
        <v>0.05</v>
      </c>
      <c r="E74" s="80">
        <v>30049029</v>
      </c>
      <c r="F74" s="81" t="s">
        <v>248</v>
      </c>
      <c r="G74" s="82" t="s">
        <v>249</v>
      </c>
      <c r="H74" s="82" t="s">
        <v>47</v>
      </c>
      <c r="I74" s="79" t="s">
        <v>2671</v>
      </c>
      <c r="J74" s="83">
        <v>30.98</v>
      </c>
      <c r="K74" s="83">
        <v>23.603809523809524</v>
      </c>
      <c r="L74" s="83">
        <v>23.603809523809524</v>
      </c>
      <c r="M74" s="84">
        <v>21.24342857142857</v>
      </c>
      <c r="N74" s="59">
        <f t="shared" si="1"/>
        <v>0.31428571428571433</v>
      </c>
      <c r="O74" s="85" t="s">
        <v>16</v>
      </c>
      <c r="P74" s="86" t="s">
        <v>2721</v>
      </c>
      <c r="Q74" s="87" t="s">
        <v>3207</v>
      </c>
      <c r="R74" s="87">
        <v>1</v>
      </c>
      <c r="S74" s="88">
        <v>30.98</v>
      </c>
      <c r="T74" s="88">
        <v>23.603809523809524</v>
      </c>
      <c r="U74" s="88">
        <v>21.24342857142857</v>
      </c>
      <c r="V74" s="87" t="s">
        <v>3061</v>
      </c>
      <c r="W74" s="87" t="s">
        <v>3104</v>
      </c>
      <c r="X74" s="90" t="s">
        <v>3477</v>
      </c>
      <c r="Y74" s="89"/>
      <c r="Z74" s="89">
        <v>5</v>
      </c>
      <c r="AA74" s="89"/>
      <c r="AB74" s="89"/>
    </row>
    <row r="75" spans="1:28" s="31" customFormat="1" ht="60" customHeight="1" x14ac:dyDescent="0.2">
      <c r="A75" s="76">
        <v>74</v>
      </c>
      <c r="B75" s="77">
        <v>50000036</v>
      </c>
      <c r="C75" s="78" t="s">
        <v>250</v>
      </c>
      <c r="D75" s="79">
        <v>0.05</v>
      </c>
      <c r="E75" s="80">
        <v>30049099</v>
      </c>
      <c r="F75" s="81" t="s">
        <v>251</v>
      </c>
      <c r="G75" s="82" t="s">
        <v>252</v>
      </c>
      <c r="H75" s="82" t="s">
        <v>3732</v>
      </c>
      <c r="I75" s="79" t="s">
        <v>2722</v>
      </c>
      <c r="J75" s="83">
        <v>79.47</v>
      </c>
      <c r="K75" s="83">
        <v>60.548571428571428</v>
      </c>
      <c r="L75" s="83">
        <v>40.365714285714283</v>
      </c>
      <c r="M75" s="84">
        <v>36.450240000000008</v>
      </c>
      <c r="N75" s="59">
        <f t="shared" si="1"/>
        <v>0.54133333333333322</v>
      </c>
      <c r="O75" s="85" t="s">
        <v>16</v>
      </c>
      <c r="P75" s="86" t="s">
        <v>2723</v>
      </c>
      <c r="Q75" s="87" t="s">
        <v>3208</v>
      </c>
      <c r="R75" s="87">
        <v>1</v>
      </c>
      <c r="S75" s="88">
        <v>79.47</v>
      </c>
      <c r="T75" s="88">
        <v>40.365714285714283</v>
      </c>
      <c r="U75" s="88">
        <v>36.450240000000008</v>
      </c>
      <c r="V75" s="87" t="s">
        <v>3066</v>
      </c>
      <c r="W75" s="87" t="s">
        <v>3104</v>
      </c>
      <c r="X75" s="90" t="s">
        <v>3481</v>
      </c>
      <c r="Y75" s="89"/>
      <c r="Z75" s="89">
        <v>1</v>
      </c>
      <c r="AA75" s="89"/>
      <c r="AB75" s="89"/>
    </row>
    <row r="76" spans="1:28" s="31" customFormat="1" ht="60" customHeight="1" x14ac:dyDescent="0.2">
      <c r="A76" s="76">
        <v>75</v>
      </c>
      <c r="B76" s="77">
        <v>50002159</v>
      </c>
      <c r="C76" s="78" t="s">
        <v>254</v>
      </c>
      <c r="D76" s="79">
        <v>0.05</v>
      </c>
      <c r="E76" s="80">
        <v>30043200</v>
      </c>
      <c r="F76" s="81" t="s">
        <v>255</v>
      </c>
      <c r="G76" s="82" t="s">
        <v>256</v>
      </c>
      <c r="H76" s="82" t="s">
        <v>257</v>
      </c>
      <c r="I76" s="79" t="s">
        <v>2724</v>
      </c>
      <c r="J76" s="83">
        <v>94.71</v>
      </c>
      <c r="K76" s="83">
        <v>72.16</v>
      </c>
      <c r="L76" s="83">
        <v>66.146666666666661</v>
      </c>
      <c r="M76" s="84">
        <v>59.532000000000011</v>
      </c>
      <c r="N76" s="59">
        <f t="shared" si="1"/>
        <v>0.37142857142857127</v>
      </c>
      <c r="O76" s="85" t="s">
        <v>16</v>
      </c>
      <c r="P76" s="86" t="s">
        <v>235</v>
      </c>
      <c r="Q76" s="87" t="s">
        <v>3208</v>
      </c>
      <c r="R76" s="87">
        <v>1</v>
      </c>
      <c r="S76" s="88">
        <v>94.71</v>
      </c>
      <c r="T76" s="88">
        <v>66.146666666666661</v>
      </c>
      <c r="U76" s="88">
        <v>59.532000000000011</v>
      </c>
      <c r="V76" s="87" t="s">
        <v>3066</v>
      </c>
      <c r="W76" s="87" t="s">
        <v>3109</v>
      </c>
      <c r="X76" s="90" t="s">
        <v>3494</v>
      </c>
      <c r="Y76" s="89"/>
      <c r="Z76" s="89">
        <v>1</v>
      </c>
      <c r="AA76" s="89"/>
      <c r="AB76" s="89"/>
    </row>
    <row r="77" spans="1:28" s="31" customFormat="1" ht="60" customHeight="1" x14ac:dyDescent="0.2">
      <c r="A77" s="76">
        <v>76</v>
      </c>
      <c r="B77" s="77">
        <v>50003192</v>
      </c>
      <c r="C77" s="78" t="s">
        <v>258</v>
      </c>
      <c r="D77" s="79">
        <v>0.05</v>
      </c>
      <c r="E77" s="80">
        <v>30049099</v>
      </c>
      <c r="F77" s="81" t="s">
        <v>259</v>
      </c>
      <c r="G77" s="82" t="s">
        <v>260</v>
      </c>
      <c r="H77" s="82" t="s">
        <v>3733</v>
      </c>
      <c r="I77" s="79" t="s">
        <v>2708</v>
      </c>
      <c r="J77" s="83">
        <v>86.71</v>
      </c>
      <c r="K77" s="83">
        <v>66.064761904761909</v>
      </c>
      <c r="L77" s="83">
        <v>60.55936507936508</v>
      </c>
      <c r="M77" s="84">
        <v>54.503428571428564</v>
      </c>
      <c r="N77" s="59">
        <f t="shared" si="1"/>
        <v>0.37142857142857144</v>
      </c>
      <c r="O77" s="85" t="s">
        <v>16</v>
      </c>
      <c r="P77" s="86" t="s">
        <v>235</v>
      </c>
      <c r="Q77" s="87" t="s">
        <v>3208</v>
      </c>
      <c r="R77" s="87">
        <v>1</v>
      </c>
      <c r="S77" s="88">
        <v>86.71</v>
      </c>
      <c r="T77" s="88">
        <v>60.55936507936508</v>
      </c>
      <c r="U77" s="88">
        <v>54.503428571428564</v>
      </c>
      <c r="V77" s="87" t="s">
        <v>3067</v>
      </c>
      <c r="W77" s="87" t="s">
        <v>3110</v>
      </c>
      <c r="X77" s="90" t="s">
        <v>3482</v>
      </c>
      <c r="Y77" s="89"/>
      <c r="Z77" s="89">
        <v>1</v>
      </c>
      <c r="AA77" s="89"/>
      <c r="AB77" s="89"/>
    </row>
    <row r="78" spans="1:28" s="31" customFormat="1" ht="60" customHeight="1" x14ac:dyDescent="0.2">
      <c r="A78" s="76">
        <v>77</v>
      </c>
      <c r="B78" s="77">
        <v>50003240</v>
      </c>
      <c r="C78" s="78" t="s">
        <v>261</v>
      </c>
      <c r="D78" s="79">
        <v>0.05</v>
      </c>
      <c r="E78" s="80">
        <v>30049039</v>
      </c>
      <c r="F78" s="81" t="s">
        <v>262</v>
      </c>
      <c r="G78" s="82" t="s">
        <v>263</v>
      </c>
      <c r="H78" s="82" t="s">
        <v>264</v>
      </c>
      <c r="I78" s="79" t="s">
        <v>2663</v>
      </c>
      <c r="J78" s="83">
        <v>81.66</v>
      </c>
      <c r="K78" s="83">
        <v>62.217142857142861</v>
      </c>
      <c r="L78" s="83">
        <v>51.847619047619055</v>
      </c>
      <c r="M78" s="84">
        <v>46.662857142857156</v>
      </c>
      <c r="N78" s="59">
        <f t="shared" si="1"/>
        <v>0.42857142857142838</v>
      </c>
      <c r="O78" s="85" t="s">
        <v>16</v>
      </c>
      <c r="P78" s="86" t="s">
        <v>2699</v>
      </c>
      <c r="Q78" s="87" t="s">
        <v>3208</v>
      </c>
      <c r="R78" s="87">
        <v>15</v>
      </c>
      <c r="S78" s="88">
        <v>5.444</v>
      </c>
      <c r="T78" s="88">
        <v>3.4565079365079372</v>
      </c>
      <c r="U78" s="88">
        <v>3.1108571428571437</v>
      </c>
      <c r="V78" s="87" t="s">
        <v>3061</v>
      </c>
      <c r="W78" s="87" t="s">
        <v>3105</v>
      </c>
      <c r="X78" s="90" t="s">
        <v>3477</v>
      </c>
      <c r="Y78" s="89"/>
      <c r="Z78" s="89">
        <v>10</v>
      </c>
      <c r="AA78" s="89"/>
      <c r="AB78" s="89"/>
    </row>
    <row r="79" spans="1:28" s="31" customFormat="1" ht="60" customHeight="1" x14ac:dyDescent="0.2">
      <c r="A79" s="76">
        <v>78</v>
      </c>
      <c r="B79" s="77">
        <v>50004996</v>
      </c>
      <c r="C79" s="78" t="s">
        <v>3078</v>
      </c>
      <c r="D79" s="79">
        <v>0.05</v>
      </c>
      <c r="E79" s="80">
        <v>30049039</v>
      </c>
      <c r="F79" s="81" t="s">
        <v>3079</v>
      </c>
      <c r="G79" s="82" t="s">
        <v>3080</v>
      </c>
      <c r="H79" s="82" t="s">
        <v>3081</v>
      </c>
      <c r="I79" s="79" t="s">
        <v>2666</v>
      </c>
      <c r="J79" s="83">
        <v>97.96</v>
      </c>
      <c r="K79" s="83">
        <v>74.636190476190478</v>
      </c>
      <c r="L79" s="83">
        <v>68.416507936507941</v>
      </c>
      <c r="M79" s="84">
        <v>61.574857142857148</v>
      </c>
      <c r="N79" s="59">
        <f t="shared" si="1"/>
        <v>0.37142857142857133</v>
      </c>
      <c r="O79" s="85" t="s">
        <v>16</v>
      </c>
      <c r="P79" s="86" t="s">
        <v>123</v>
      </c>
      <c r="Q79" s="87" t="s">
        <v>3208</v>
      </c>
      <c r="R79" s="87">
        <v>10</v>
      </c>
      <c r="S79" s="88">
        <v>9.7959999999999994</v>
      </c>
      <c r="T79" s="88">
        <v>6.8416507936507944</v>
      </c>
      <c r="U79" s="88">
        <v>6.1574857142857145</v>
      </c>
      <c r="V79" s="87" t="s">
        <v>3061</v>
      </c>
      <c r="W79" s="87" t="s">
        <v>3105</v>
      </c>
      <c r="X79" s="90" t="s">
        <v>3477</v>
      </c>
      <c r="Y79" s="89"/>
      <c r="Z79" s="89">
        <v>3</v>
      </c>
      <c r="AA79" s="89"/>
      <c r="AB79" s="89"/>
    </row>
    <row r="80" spans="1:28" s="31" customFormat="1" ht="60" customHeight="1" x14ac:dyDescent="0.2">
      <c r="A80" s="76">
        <v>79</v>
      </c>
      <c r="B80" s="77">
        <v>50000216</v>
      </c>
      <c r="C80" s="78" t="s">
        <v>265</v>
      </c>
      <c r="D80" s="79">
        <v>0.05</v>
      </c>
      <c r="E80" s="80">
        <v>30049039</v>
      </c>
      <c r="F80" s="81" t="s">
        <v>266</v>
      </c>
      <c r="G80" s="82" t="s">
        <v>267</v>
      </c>
      <c r="H80" s="82" t="s">
        <v>3097</v>
      </c>
      <c r="I80" s="79" t="s">
        <v>2666</v>
      </c>
      <c r="J80" s="83">
        <v>234.57</v>
      </c>
      <c r="K80" s="83">
        <v>178.72</v>
      </c>
      <c r="L80" s="83">
        <v>178.72</v>
      </c>
      <c r="M80" s="84">
        <v>160.84799999999996</v>
      </c>
      <c r="N80" s="59">
        <f t="shared" si="1"/>
        <v>0.31428571428571445</v>
      </c>
      <c r="O80" s="85" t="s">
        <v>16</v>
      </c>
      <c r="P80" s="86" t="s">
        <v>123</v>
      </c>
      <c r="Q80" s="87" t="s">
        <v>3208</v>
      </c>
      <c r="R80" s="87">
        <v>10</v>
      </c>
      <c r="S80" s="88">
        <v>23.457000000000001</v>
      </c>
      <c r="T80" s="88">
        <v>17.872</v>
      </c>
      <c r="U80" s="88">
        <v>16.084799999999994</v>
      </c>
      <c r="V80" s="87" t="s">
        <v>3061</v>
      </c>
      <c r="W80" s="87" t="s">
        <v>3105</v>
      </c>
      <c r="X80" s="90" t="s">
        <v>3477</v>
      </c>
      <c r="Y80" s="89"/>
      <c r="Z80" s="89">
        <v>3</v>
      </c>
      <c r="AA80" s="89"/>
      <c r="AB80" s="89"/>
    </row>
    <row r="81" spans="1:28" s="31" customFormat="1" ht="60" customHeight="1" x14ac:dyDescent="0.2">
      <c r="A81" s="76">
        <v>80</v>
      </c>
      <c r="B81" s="77">
        <v>50000547</v>
      </c>
      <c r="C81" s="78" t="s">
        <v>268</v>
      </c>
      <c r="D81" s="79">
        <v>0.05</v>
      </c>
      <c r="E81" s="80">
        <v>30049039</v>
      </c>
      <c r="F81" s="81" t="s">
        <v>269</v>
      </c>
      <c r="G81" s="82" t="s">
        <v>270</v>
      </c>
      <c r="H81" s="82" t="s">
        <v>3734</v>
      </c>
      <c r="I81" s="79" t="s">
        <v>2693</v>
      </c>
      <c r="J81" s="83">
        <v>127.88</v>
      </c>
      <c r="K81" s="83">
        <v>97.432380952380953</v>
      </c>
      <c r="L81" s="83">
        <v>88.574891774891768</v>
      </c>
      <c r="M81" s="84">
        <v>79.717402597402597</v>
      </c>
      <c r="N81" s="59">
        <f t="shared" si="1"/>
        <v>0.37662337662337658</v>
      </c>
      <c r="O81" s="85" t="s">
        <v>16</v>
      </c>
      <c r="P81" s="86" t="s">
        <v>2725</v>
      </c>
      <c r="Q81" s="87" t="s">
        <v>3208</v>
      </c>
      <c r="R81" s="87">
        <v>10</v>
      </c>
      <c r="S81" s="88">
        <v>12.788</v>
      </c>
      <c r="T81" s="88">
        <v>8.8574891774891764</v>
      </c>
      <c r="U81" s="88">
        <v>7.97174025974026</v>
      </c>
      <c r="V81" s="87" t="s">
        <v>3061</v>
      </c>
      <c r="W81" s="87" t="s">
        <v>3105</v>
      </c>
      <c r="X81" s="90" t="s">
        <v>3478</v>
      </c>
      <c r="Y81" s="89"/>
      <c r="Z81" s="89">
        <v>6</v>
      </c>
      <c r="AA81" s="89"/>
      <c r="AB81" s="89"/>
    </row>
    <row r="82" spans="1:28" s="31" customFormat="1" ht="60" customHeight="1" x14ac:dyDescent="0.2">
      <c r="A82" s="76">
        <v>81</v>
      </c>
      <c r="B82" s="77">
        <v>50000178</v>
      </c>
      <c r="C82" s="78" t="s">
        <v>271</v>
      </c>
      <c r="D82" s="79">
        <v>0.05</v>
      </c>
      <c r="E82" s="80">
        <v>30049039</v>
      </c>
      <c r="F82" s="81" t="s">
        <v>272</v>
      </c>
      <c r="G82" s="82" t="s">
        <v>273</v>
      </c>
      <c r="H82" s="82" t="s">
        <v>3735</v>
      </c>
      <c r="I82" s="79" t="s">
        <v>2710</v>
      </c>
      <c r="J82" s="83">
        <v>101.4</v>
      </c>
      <c r="K82" s="83">
        <v>77.257142857142853</v>
      </c>
      <c r="L82" s="83">
        <v>69.531428571428563</v>
      </c>
      <c r="M82" s="84">
        <v>62.578285714285698</v>
      </c>
      <c r="N82" s="59">
        <f t="shared" si="1"/>
        <v>0.38285714285714306</v>
      </c>
      <c r="O82" s="85" t="s">
        <v>16</v>
      </c>
      <c r="P82" s="86" t="s">
        <v>2726</v>
      </c>
      <c r="Q82" s="87" t="s">
        <v>3208</v>
      </c>
      <c r="R82" s="87">
        <v>20</v>
      </c>
      <c r="S82" s="88">
        <v>5.07</v>
      </c>
      <c r="T82" s="88">
        <v>3.476571428571428</v>
      </c>
      <c r="U82" s="88">
        <v>3.1289142857142851</v>
      </c>
      <c r="V82" s="87" t="s">
        <v>3061</v>
      </c>
      <c r="W82" s="87" t="s">
        <v>3105</v>
      </c>
      <c r="X82" s="90" t="s">
        <v>3477</v>
      </c>
      <c r="Y82" s="89"/>
      <c r="Z82" s="89">
        <v>15</v>
      </c>
      <c r="AA82" s="89" t="s">
        <v>3207</v>
      </c>
      <c r="AB82" s="89"/>
    </row>
    <row r="83" spans="1:28" s="31" customFormat="1" ht="60" customHeight="1" x14ac:dyDescent="0.2">
      <c r="A83" s="76">
        <v>82</v>
      </c>
      <c r="B83" s="77">
        <v>50000878</v>
      </c>
      <c r="C83" s="78" t="s">
        <v>276</v>
      </c>
      <c r="D83" s="79">
        <v>0.05</v>
      </c>
      <c r="E83" s="80">
        <v>30049079</v>
      </c>
      <c r="F83" s="81" t="s">
        <v>277</v>
      </c>
      <c r="G83" s="82" t="s">
        <v>278</v>
      </c>
      <c r="H83" s="82" t="s">
        <v>3736</v>
      </c>
      <c r="I83" s="79" t="s">
        <v>2666</v>
      </c>
      <c r="J83" s="83">
        <v>86.08</v>
      </c>
      <c r="K83" s="83">
        <v>65.584761904761905</v>
      </c>
      <c r="L83" s="83">
        <v>65.584761904761905</v>
      </c>
      <c r="M83" s="84">
        <v>59.02628571428572</v>
      </c>
      <c r="N83" s="59">
        <f t="shared" si="1"/>
        <v>0.31428571428571422</v>
      </c>
      <c r="O83" s="85" t="s">
        <v>16</v>
      </c>
      <c r="P83" s="86" t="s">
        <v>2707</v>
      </c>
      <c r="Q83" s="87" t="s">
        <v>3208</v>
      </c>
      <c r="R83" s="87">
        <v>10</v>
      </c>
      <c r="S83" s="88">
        <v>8.6080000000000005</v>
      </c>
      <c r="T83" s="88">
        <v>6.5584761904761901</v>
      </c>
      <c r="U83" s="88">
        <v>5.902628571428572</v>
      </c>
      <c r="V83" s="87" t="s">
        <v>3061</v>
      </c>
      <c r="W83" s="87" t="s">
        <v>3100</v>
      </c>
      <c r="X83" s="90" t="s">
        <v>3477</v>
      </c>
      <c r="Y83" s="89" t="s">
        <v>3455</v>
      </c>
      <c r="Z83" s="89">
        <v>6</v>
      </c>
      <c r="AA83" s="89" t="s">
        <v>3207</v>
      </c>
      <c r="AB83" s="89"/>
    </row>
    <row r="84" spans="1:28" s="31" customFormat="1" ht="60" customHeight="1" x14ac:dyDescent="0.2">
      <c r="A84" s="76">
        <v>83</v>
      </c>
      <c r="B84" s="77">
        <v>50003060</v>
      </c>
      <c r="C84" s="78" t="s">
        <v>279</v>
      </c>
      <c r="D84" s="79">
        <v>0.05</v>
      </c>
      <c r="E84" s="80">
        <v>30049079</v>
      </c>
      <c r="F84" s="81" t="s">
        <v>280</v>
      </c>
      <c r="G84" s="82" t="s">
        <v>281</v>
      </c>
      <c r="H84" s="82" t="s">
        <v>3737</v>
      </c>
      <c r="I84" s="79" t="s">
        <v>2666</v>
      </c>
      <c r="J84" s="83">
        <v>124.5</v>
      </c>
      <c r="K84" s="83">
        <v>94.857142857142861</v>
      </c>
      <c r="L84" s="83">
        <v>94.857142857142861</v>
      </c>
      <c r="M84" s="84">
        <v>85.371428571428567</v>
      </c>
      <c r="N84" s="59">
        <f t="shared" si="1"/>
        <v>0.31428571428571433</v>
      </c>
      <c r="O84" s="85" t="s">
        <v>16</v>
      </c>
      <c r="P84" s="86" t="s">
        <v>123</v>
      </c>
      <c r="Q84" s="87" t="s">
        <v>3208</v>
      </c>
      <c r="R84" s="87">
        <v>10</v>
      </c>
      <c r="S84" s="88">
        <v>12.45</v>
      </c>
      <c r="T84" s="88">
        <v>9.4857142857142858</v>
      </c>
      <c r="U84" s="88">
        <v>8.5371428571428574</v>
      </c>
      <c r="V84" s="87" t="s">
        <v>3061</v>
      </c>
      <c r="W84" s="87" t="s">
        <v>3100</v>
      </c>
      <c r="X84" s="90" t="s">
        <v>3477</v>
      </c>
      <c r="Y84" s="89" t="s">
        <v>3455</v>
      </c>
      <c r="Z84" s="89">
        <v>3</v>
      </c>
      <c r="AA84" s="89" t="s">
        <v>3207</v>
      </c>
      <c r="AB84" s="89"/>
    </row>
    <row r="85" spans="1:28" s="31" customFormat="1" ht="60" customHeight="1" x14ac:dyDescent="0.2">
      <c r="A85" s="76">
        <v>84</v>
      </c>
      <c r="B85" s="77">
        <v>50005269</v>
      </c>
      <c r="C85" s="78" t="s">
        <v>3459</v>
      </c>
      <c r="D85" s="79">
        <v>0.05</v>
      </c>
      <c r="E85" s="80">
        <v>30049079</v>
      </c>
      <c r="F85" s="81" t="s">
        <v>3462</v>
      </c>
      <c r="G85" s="82" t="s">
        <v>3469</v>
      </c>
      <c r="H85" s="82" t="s">
        <v>3470</v>
      </c>
      <c r="I85" s="79" t="s">
        <v>2666</v>
      </c>
      <c r="J85" s="83">
        <v>151.87</v>
      </c>
      <c r="K85" s="83">
        <v>115.7104761904762</v>
      </c>
      <c r="L85" s="83">
        <v>115.7104761904762</v>
      </c>
      <c r="M85" s="84">
        <v>104.1394285714286</v>
      </c>
      <c r="N85" s="59">
        <f t="shared" si="1"/>
        <v>0.31428571428571417</v>
      </c>
      <c r="O85" s="85" t="s">
        <v>16</v>
      </c>
      <c r="P85" s="86" t="s">
        <v>2791</v>
      </c>
      <c r="Q85" s="87" t="s">
        <v>3208</v>
      </c>
      <c r="R85" s="87">
        <v>10</v>
      </c>
      <c r="S85" s="88">
        <v>15.187000000000001</v>
      </c>
      <c r="T85" s="88">
        <v>11.57104761904762</v>
      </c>
      <c r="U85" s="88">
        <v>10.41394285714286</v>
      </c>
      <c r="V85" s="87" t="s">
        <v>3061</v>
      </c>
      <c r="W85" s="87" t="s">
        <v>3100</v>
      </c>
      <c r="X85" s="90" t="s">
        <v>3477</v>
      </c>
      <c r="Y85" s="89"/>
      <c r="Z85" s="89">
        <v>3</v>
      </c>
      <c r="AA85" s="89" t="s">
        <v>3207</v>
      </c>
      <c r="AB85" s="89"/>
    </row>
    <row r="86" spans="1:28" s="31" customFormat="1" ht="60" customHeight="1" x14ac:dyDescent="0.2">
      <c r="A86" s="76">
        <v>85</v>
      </c>
      <c r="B86" s="77">
        <v>50001817</v>
      </c>
      <c r="C86" s="78" t="s">
        <v>282</v>
      </c>
      <c r="D86" s="79">
        <v>0.05</v>
      </c>
      <c r="E86" s="80">
        <v>30049079</v>
      </c>
      <c r="F86" s="81" t="s">
        <v>283</v>
      </c>
      <c r="G86" s="82" t="s">
        <v>284</v>
      </c>
      <c r="H86" s="82" t="s">
        <v>3738</v>
      </c>
      <c r="I86" s="79" t="s">
        <v>2666</v>
      </c>
      <c r="J86" s="83">
        <v>118.53</v>
      </c>
      <c r="K86" s="83">
        <v>90.308571428571426</v>
      </c>
      <c r="L86" s="83">
        <v>90.308571428571426</v>
      </c>
      <c r="M86" s="84">
        <v>81.277714285714282</v>
      </c>
      <c r="N86" s="59">
        <f t="shared" si="1"/>
        <v>0.31428571428571433</v>
      </c>
      <c r="O86" s="85" t="s">
        <v>16</v>
      </c>
      <c r="P86" s="86" t="s">
        <v>2729</v>
      </c>
      <c r="Q86" s="87" t="s">
        <v>3208</v>
      </c>
      <c r="R86" s="87">
        <v>10</v>
      </c>
      <c r="S86" s="88">
        <v>11.853</v>
      </c>
      <c r="T86" s="88">
        <v>9.0308571428571423</v>
      </c>
      <c r="U86" s="88">
        <v>8.1277714285714282</v>
      </c>
      <c r="V86" s="87" t="s">
        <v>3061</v>
      </c>
      <c r="W86" s="87" t="s">
        <v>3100</v>
      </c>
      <c r="X86" s="90" t="s">
        <v>3477</v>
      </c>
      <c r="Y86" s="89"/>
      <c r="Z86" s="89">
        <v>6</v>
      </c>
      <c r="AA86" s="89" t="s">
        <v>3207</v>
      </c>
      <c r="AB86" s="89"/>
    </row>
    <row r="87" spans="1:28" s="31" customFormat="1" ht="60" customHeight="1" x14ac:dyDescent="0.2">
      <c r="A87" s="76">
        <v>86</v>
      </c>
      <c r="B87" s="77">
        <v>50005034</v>
      </c>
      <c r="C87" s="78" t="s">
        <v>3210</v>
      </c>
      <c r="D87" s="79">
        <v>0.05</v>
      </c>
      <c r="E87" s="80">
        <v>30049079</v>
      </c>
      <c r="F87" s="81" t="s">
        <v>3211</v>
      </c>
      <c r="G87" s="82" t="s">
        <v>3212</v>
      </c>
      <c r="H87" s="82" t="s">
        <v>3739</v>
      </c>
      <c r="I87" s="79" t="s">
        <v>2666</v>
      </c>
      <c r="J87" s="83">
        <v>163.95</v>
      </c>
      <c r="K87" s="83">
        <v>124.91428571428571</v>
      </c>
      <c r="L87" s="83">
        <v>124.91428571428571</v>
      </c>
      <c r="M87" s="84">
        <v>112.42285714285714</v>
      </c>
      <c r="N87" s="59">
        <f t="shared" si="1"/>
        <v>0.31428571428571428</v>
      </c>
      <c r="O87" s="85" t="s">
        <v>16</v>
      </c>
      <c r="P87" s="86" t="s">
        <v>48</v>
      </c>
      <c r="Q87" s="87" t="s">
        <v>3208</v>
      </c>
      <c r="R87" s="87">
        <v>10</v>
      </c>
      <c r="S87" s="88">
        <v>16.395</v>
      </c>
      <c r="T87" s="88">
        <v>12.491428571428571</v>
      </c>
      <c r="U87" s="88">
        <v>11.242285714285714</v>
      </c>
      <c r="V87" s="87" t="s">
        <v>3061</v>
      </c>
      <c r="W87" s="87" t="s">
        <v>3100</v>
      </c>
      <c r="X87" s="90" t="s">
        <v>3477</v>
      </c>
      <c r="Y87" s="89"/>
      <c r="Z87" s="89">
        <v>3</v>
      </c>
      <c r="AA87" s="89" t="s">
        <v>3207</v>
      </c>
      <c r="AB87" s="89" t="s">
        <v>4613</v>
      </c>
    </row>
    <row r="88" spans="1:28" s="31" customFormat="1" ht="60" customHeight="1" x14ac:dyDescent="0.2">
      <c r="A88" s="76">
        <v>87</v>
      </c>
      <c r="B88" s="77">
        <v>50000548</v>
      </c>
      <c r="C88" s="78" t="s">
        <v>285</v>
      </c>
      <c r="D88" s="79">
        <v>0.05</v>
      </c>
      <c r="E88" s="80">
        <v>30049079</v>
      </c>
      <c r="F88" s="81" t="s">
        <v>286</v>
      </c>
      <c r="G88" s="82" t="s">
        <v>287</v>
      </c>
      <c r="H88" s="82" t="s">
        <v>3740</v>
      </c>
      <c r="I88" s="79" t="s">
        <v>2666</v>
      </c>
      <c r="J88" s="83">
        <v>102.3</v>
      </c>
      <c r="K88" s="83">
        <v>77.94285714285715</v>
      </c>
      <c r="L88" s="83">
        <v>77.94285714285715</v>
      </c>
      <c r="M88" s="84">
        <v>70.148571428571444</v>
      </c>
      <c r="N88" s="59">
        <f t="shared" si="1"/>
        <v>0.31428571428571411</v>
      </c>
      <c r="O88" s="85" t="s">
        <v>16</v>
      </c>
      <c r="P88" s="86" t="s">
        <v>4735</v>
      </c>
      <c r="Q88" s="87" t="s">
        <v>3208</v>
      </c>
      <c r="R88" s="87">
        <v>10</v>
      </c>
      <c r="S88" s="88">
        <v>10.23</v>
      </c>
      <c r="T88" s="88">
        <v>7.7942857142857154</v>
      </c>
      <c r="U88" s="88">
        <v>7.014857142857144</v>
      </c>
      <c r="V88" s="87" t="s">
        <v>3061</v>
      </c>
      <c r="W88" s="87" t="s">
        <v>3100</v>
      </c>
      <c r="X88" s="90" t="s">
        <v>3477</v>
      </c>
      <c r="Y88" s="89" t="s">
        <v>3455</v>
      </c>
      <c r="Z88" s="89">
        <v>6</v>
      </c>
      <c r="AA88" s="89" t="s">
        <v>3207</v>
      </c>
      <c r="AB88" s="89"/>
    </row>
    <row r="89" spans="1:28" s="31" customFormat="1" ht="60" customHeight="1" x14ac:dyDescent="0.2">
      <c r="A89" s="76">
        <v>88</v>
      </c>
      <c r="B89" s="77">
        <v>50000585</v>
      </c>
      <c r="C89" s="78" t="s">
        <v>288</v>
      </c>
      <c r="D89" s="79">
        <v>0.05</v>
      </c>
      <c r="E89" s="80">
        <v>30049079</v>
      </c>
      <c r="F89" s="81" t="s">
        <v>289</v>
      </c>
      <c r="G89" s="82" t="s">
        <v>290</v>
      </c>
      <c r="H89" s="82" t="s">
        <v>3741</v>
      </c>
      <c r="I89" s="79" t="s">
        <v>2666</v>
      </c>
      <c r="J89" s="83">
        <v>155.22999999999999</v>
      </c>
      <c r="K89" s="83">
        <v>118.27047619047616</v>
      </c>
      <c r="L89" s="83">
        <v>118.27047619047616</v>
      </c>
      <c r="M89" s="84">
        <v>106.44342857142853</v>
      </c>
      <c r="N89" s="59">
        <f t="shared" si="1"/>
        <v>0.3142857142857145</v>
      </c>
      <c r="O89" s="85" t="s">
        <v>16</v>
      </c>
      <c r="P89" s="86" t="s">
        <v>2731</v>
      </c>
      <c r="Q89" s="87" t="s">
        <v>3208</v>
      </c>
      <c r="R89" s="87">
        <v>10</v>
      </c>
      <c r="S89" s="88">
        <v>15.523</v>
      </c>
      <c r="T89" s="88">
        <v>11.827047619047615</v>
      </c>
      <c r="U89" s="88">
        <v>10.644342857142853</v>
      </c>
      <c r="V89" s="87" t="s">
        <v>3061</v>
      </c>
      <c r="W89" s="87" t="s">
        <v>3100</v>
      </c>
      <c r="X89" s="90" t="s">
        <v>3477</v>
      </c>
      <c r="Y89" s="89"/>
      <c r="Z89" s="89">
        <v>6</v>
      </c>
      <c r="AA89" s="89" t="s">
        <v>3207</v>
      </c>
      <c r="AB89" s="89"/>
    </row>
    <row r="90" spans="1:28" s="31" customFormat="1" ht="60" customHeight="1" x14ac:dyDescent="0.2">
      <c r="A90" s="76">
        <v>89</v>
      </c>
      <c r="B90" s="77">
        <v>50000894</v>
      </c>
      <c r="C90" s="78" t="s">
        <v>291</v>
      </c>
      <c r="D90" s="79">
        <v>0.05</v>
      </c>
      <c r="E90" s="80">
        <v>30049079</v>
      </c>
      <c r="F90" s="81" t="s">
        <v>292</v>
      </c>
      <c r="G90" s="82" t="s">
        <v>293</v>
      </c>
      <c r="H90" s="82" t="s">
        <v>294</v>
      </c>
      <c r="I90" s="79" t="s">
        <v>2666</v>
      </c>
      <c r="J90" s="83">
        <v>25.44</v>
      </c>
      <c r="K90" s="83">
        <v>19.382857142857141</v>
      </c>
      <c r="L90" s="83">
        <v>19.382857142857141</v>
      </c>
      <c r="M90" s="84">
        <v>17.444571428571429</v>
      </c>
      <c r="N90" s="59">
        <f t="shared" si="1"/>
        <v>0.31428571428571433</v>
      </c>
      <c r="O90" s="85" t="s">
        <v>16</v>
      </c>
      <c r="P90" s="86" t="s">
        <v>2668</v>
      </c>
      <c r="Q90" s="87" t="s">
        <v>3207</v>
      </c>
      <c r="R90" s="87">
        <v>10</v>
      </c>
      <c r="S90" s="88">
        <v>2.544</v>
      </c>
      <c r="T90" s="88">
        <v>1.9382857142857142</v>
      </c>
      <c r="U90" s="88">
        <v>1.7444571428571429</v>
      </c>
      <c r="V90" s="87" t="s">
        <v>3061</v>
      </c>
      <c r="W90" s="87" t="s">
        <v>3100</v>
      </c>
      <c r="X90" s="90" t="s">
        <v>3477</v>
      </c>
      <c r="Y90" s="89" t="s">
        <v>3455</v>
      </c>
      <c r="Z90" s="89">
        <v>12</v>
      </c>
      <c r="AA90" s="89" t="s">
        <v>3207</v>
      </c>
      <c r="AB90" s="89"/>
    </row>
    <row r="91" spans="1:28" s="31" customFormat="1" ht="60" customHeight="1" x14ac:dyDescent="0.2">
      <c r="A91" s="76">
        <v>90</v>
      </c>
      <c r="B91" s="77">
        <v>50000486</v>
      </c>
      <c r="C91" s="78" t="s">
        <v>295</v>
      </c>
      <c r="D91" s="79">
        <v>0.05</v>
      </c>
      <c r="E91" s="80">
        <v>30049079</v>
      </c>
      <c r="F91" s="81" t="s">
        <v>296</v>
      </c>
      <c r="G91" s="82" t="s">
        <v>297</v>
      </c>
      <c r="H91" s="82" t="s">
        <v>115</v>
      </c>
      <c r="I91" s="79" t="s">
        <v>2666</v>
      </c>
      <c r="J91" s="83">
        <v>41.25</v>
      </c>
      <c r="K91" s="83">
        <v>31.428571428571427</v>
      </c>
      <c r="L91" s="83">
        <v>31.428571428571427</v>
      </c>
      <c r="M91" s="84">
        <v>28.285714285714281</v>
      </c>
      <c r="N91" s="59">
        <f t="shared" si="1"/>
        <v>0.31428571428571439</v>
      </c>
      <c r="O91" s="85" t="s">
        <v>16</v>
      </c>
      <c r="P91" s="86" t="s">
        <v>4652</v>
      </c>
      <c r="Q91" s="87" t="s">
        <v>3207</v>
      </c>
      <c r="R91" s="87">
        <v>10</v>
      </c>
      <c r="S91" s="88">
        <v>4.125</v>
      </c>
      <c r="T91" s="88">
        <v>3.1428571428571428</v>
      </c>
      <c r="U91" s="88">
        <v>2.8285714285714283</v>
      </c>
      <c r="V91" s="87" t="s">
        <v>3061</v>
      </c>
      <c r="W91" s="87" t="s">
        <v>3100</v>
      </c>
      <c r="X91" s="90" t="s">
        <v>3477</v>
      </c>
      <c r="Y91" s="89" t="s">
        <v>3455</v>
      </c>
      <c r="Z91" s="89">
        <v>12</v>
      </c>
      <c r="AA91" s="89" t="s">
        <v>3207</v>
      </c>
      <c r="AB91" s="89"/>
    </row>
    <row r="92" spans="1:28" s="31" customFormat="1" ht="60" customHeight="1" x14ac:dyDescent="0.2">
      <c r="A92" s="76">
        <v>91</v>
      </c>
      <c r="B92" s="77">
        <v>50006035</v>
      </c>
      <c r="C92" s="78" t="s">
        <v>295</v>
      </c>
      <c r="D92" s="79">
        <v>0.05</v>
      </c>
      <c r="E92" s="80">
        <v>30049079</v>
      </c>
      <c r="F92" s="81" t="s">
        <v>4674</v>
      </c>
      <c r="G92" s="82" t="s">
        <v>297</v>
      </c>
      <c r="H92" s="82" t="s">
        <v>115</v>
      </c>
      <c r="I92" s="79" t="s">
        <v>2663</v>
      </c>
      <c r="J92" s="83">
        <v>61.87</v>
      </c>
      <c r="K92" s="83">
        <v>47.139047619047616</v>
      </c>
      <c r="L92" s="83">
        <v>47.139047619047616</v>
      </c>
      <c r="M92" s="84">
        <v>42.425142857142852</v>
      </c>
      <c r="N92" s="59">
        <f t="shared" si="1"/>
        <v>0.31428571428571433</v>
      </c>
      <c r="O92" s="85" t="s">
        <v>16</v>
      </c>
      <c r="P92" s="86" t="s">
        <v>37</v>
      </c>
      <c r="Q92" s="87" t="s">
        <v>3207</v>
      </c>
      <c r="R92" s="87">
        <v>15</v>
      </c>
      <c r="S92" s="88">
        <v>4.1246666666666663</v>
      </c>
      <c r="T92" s="88">
        <v>3.1426031746031744</v>
      </c>
      <c r="U92" s="88">
        <v>2.8283428571428568</v>
      </c>
      <c r="V92" s="87" t="s">
        <v>3061</v>
      </c>
      <c r="W92" s="87" t="s">
        <v>3100</v>
      </c>
      <c r="X92" s="90" t="s">
        <v>3477</v>
      </c>
      <c r="Y92" s="89"/>
      <c r="Z92" s="89"/>
      <c r="AA92" s="89"/>
      <c r="AB92" s="89"/>
    </row>
    <row r="93" spans="1:28" s="31" customFormat="1" ht="60" customHeight="1" x14ac:dyDescent="0.2">
      <c r="A93" s="76">
        <v>92</v>
      </c>
      <c r="B93" s="77">
        <v>50000451</v>
      </c>
      <c r="C93" s="78" t="s">
        <v>298</v>
      </c>
      <c r="D93" s="79">
        <v>0.05</v>
      </c>
      <c r="E93" s="80">
        <v>30049079</v>
      </c>
      <c r="F93" s="81" t="s">
        <v>299</v>
      </c>
      <c r="G93" s="82" t="s">
        <v>300</v>
      </c>
      <c r="H93" s="82" t="s">
        <v>119</v>
      </c>
      <c r="I93" s="79" t="s">
        <v>2666</v>
      </c>
      <c r="J93" s="83">
        <v>82</v>
      </c>
      <c r="K93" s="83">
        <v>62.476190476190482</v>
      </c>
      <c r="L93" s="83">
        <v>62.476190476190482</v>
      </c>
      <c r="M93" s="84">
        <v>56.228571428571428</v>
      </c>
      <c r="N93" s="59">
        <f t="shared" si="1"/>
        <v>0.31428571428571428</v>
      </c>
      <c r="O93" s="85" t="s">
        <v>16</v>
      </c>
      <c r="P93" s="86" t="s">
        <v>4653</v>
      </c>
      <c r="Q93" s="87" t="s">
        <v>3207</v>
      </c>
      <c r="R93" s="87">
        <v>10</v>
      </c>
      <c r="S93" s="88">
        <v>8.1999999999999993</v>
      </c>
      <c r="T93" s="88">
        <v>6.2476190476190485</v>
      </c>
      <c r="U93" s="88">
        <v>5.6228571428571428</v>
      </c>
      <c r="V93" s="87" t="s">
        <v>3061</v>
      </c>
      <c r="W93" s="87" t="s">
        <v>3100</v>
      </c>
      <c r="X93" s="90" t="s">
        <v>3477</v>
      </c>
      <c r="Y93" s="89" t="s">
        <v>3455</v>
      </c>
      <c r="Z93" s="89">
        <v>6</v>
      </c>
      <c r="AA93" s="89" t="s">
        <v>3207</v>
      </c>
      <c r="AB93" s="89"/>
    </row>
    <row r="94" spans="1:28" s="31" customFormat="1" ht="60" customHeight="1" x14ac:dyDescent="0.2">
      <c r="A94" s="76">
        <v>93</v>
      </c>
      <c r="B94" s="77">
        <v>50002021</v>
      </c>
      <c r="C94" s="78" t="s">
        <v>301</v>
      </c>
      <c r="D94" s="79">
        <v>0.05</v>
      </c>
      <c r="E94" s="80">
        <v>30049079</v>
      </c>
      <c r="F94" s="81" t="s">
        <v>302</v>
      </c>
      <c r="G94" s="82" t="s">
        <v>303</v>
      </c>
      <c r="H94" s="82" t="s">
        <v>3742</v>
      </c>
      <c r="I94" s="79" t="s">
        <v>2666</v>
      </c>
      <c r="J94" s="83">
        <v>136.12</v>
      </c>
      <c r="K94" s="83">
        <v>103.7104761904762</v>
      </c>
      <c r="L94" s="83">
        <v>103.7104761904762</v>
      </c>
      <c r="M94" s="84">
        <v>93.339428571428584</v>
      </c>
      <c r="N94" s="59">
        <f t="shared" si="1"/>
        <v>0.31428571428571422</v>
      </c>
      <c r="O94" s="85" t="s">
        <v>16</v>
      </c>
      <c r="P94" s="86" t="s">
        <v>2732</v>
      </c>
      <c r="Q94" s="87" t="s">
        <v>3208</v>
      </c>
      <c r="R94" s="87">
        <v>10</v>
      </c>
      <c r="S94" s="88">
        <v>13.612</v>
      </c>
      <c r="T94" s="88">
        <v>10.371047619047619</v>
      </c>
      <c r="U94" s="88">
        <v>9.3339428571428584</v>
      </c>
      <c r="V94" s="87" t="s">
        <v>3061</v>
      </c>
      <c r="W94" s="87" t="s">
        <v>3100</v>
      </c>
      <c r="X94" s="90" t="s">
        <v>3477</v>
      </c>
      <c r="Y94" s="89" t="s">
        <v>3455</v>
      </c>
      <c r="Z94" s="89">
        <v>4</v>
      </c>
      <c r="AA94" s="89" t="s">
        <v>3207</v>
      </c>
      <c r="AB94" s="89"/>
    </row>
    <row r="95" spans="1:28" s="31" customFormat="1" ht="60" customHeight="1" x14ac:dyDescent="0.2">
      <c r="A95" s="76">
        <v>94</v>
      </c>
      <c r="B95" s="77">
        <v>50002022</v>
      </c>
      <c r="C95" s="78" t="s">
        <v>306</v>
      </c>
      <c r="D95" s="79">
        <v>0.05</v>
      </c>
      <c r="E95" s="80">
        <v>30049079</v>
      </c>
      <c r="F95" s="81" t="s">
        <v>307</v>
      </c>
      <c r="G95" s="82" t="s">
        <v>308</v>
      </c>
      <c r="H95" s="82" t="s">
        <v>3743</v>
      </c>
      <c r="I95" s="79" t="s">
        <v>2666</v>
      </c>
      <c r="J95" s="83">
        <v>154.58000000000001</v>
      </c>
      <c r="K95" s="83">
        <v>117.77523809523811</v>
      </c>
      <c r="L95" s="83">
        <v>117.77523809523811</v>
      </c>
      <c r="M95" s="84">
        <v>105.9977142857143</v>
      </c>
      <c r="N95" s="59">
        <f t="shared" si="1"/>
        <v>0.31428571428571428</v>
      </c>
      <c r="O95" s="85" t="s">
        <v>16</v>
      </c>
      <c r="P95" s="86" t="s">
        <v>2733</v>
      </c>
      <c r="Q95" s="87" t="s">
        <v>3208</v>
      </c>
      <c r="R95" s="87">
        <v>10</v>
      </c>
      <c r="S95" s="88">
        <v>15.458000000000002</v>
      </c>
      <c r="T95" s="88">
        <v>11.77752380952381</v>
      </c>
      <c r="U95" s="88">
        <v>10.59977142857143</v>
      </c>
      <c r="V95" s="87" t="s">
        <v>3061</v>
      </c>
      <c r="W95" s="87" t="s">
        <v>3100</v>
      </c>
      <c r="X95" s="90" t="s">
        <v>3477</v>
      </c>
      <c r="Y95" s="89" t="s">
        <v>3455</v>
      </c>
      <c r="Z95" s="89">
        <v>4</v>
      </c>
      <c r="AA95" s="89" t="s">
        <v>3207</v>
      </c>
      <c r="AB95" s="89"/>
    </row>
    <row r="96" spans="1:28" s="31" customFormat="1" ht="60" customHeight="1" x14ac:dyDescent="0.2">
      <c r="A96" s="76">
        <v>95</v>
      </c>
      <c r="B96" s="77">
        <v>50005033</v>
      </c>
      <c r="C96" s="78" t="s">
        <v>3161</v>
      </c>
      <c r="D96" s="79">
        <v>0.05</v>
      </c>
      <c r="E96" s="80">
        <v>30049079</v>
      </c>
      <c r="F96" s="81" t="s">
        <v>3162</v>
      </c>
      <c r="G96" s="82" t="s">
        <v>3183</v>
      </c>
      <c r="H96" s="82" t="s">
        <v>3744</v>
      </c>
      <c r="I96" s="79" t="s">
        <v>2666</v>
      </c>
      <c r="J96" s="83">
        <v>113.43</v>
      </c>
      <c r="K96" s="83">
        <v>86.42285714285714</v>
      </c>
      <c r="L96" s="83">
        <v>86.42285714285714</v>
      </c>
      <c r="M96" s="84">
        <v>77.780571428571434</v>
      </c>
      <c r="N96" s="59">
        <f t="shared" si="1"/>
        <v>0.31428571428571428</v>
      </c>
      <c r="O96" s="85" t="s">
        <v>16</v>
      </c>
      <c r="P96" s="86" t="s">
        <v>2751</v>
      </c>
      <c r="Q96" s="87" t="s">
        <v>3208</v>
      </c>
      <c r="R96" s="87">
        <v>10</v>
      </c>
      <c r="S96" s="88">
        <v>11.343</v>
      </c>
      <c r="T96" s="88">
        <v>8.6422857142857143</v>
      </c>
      <c r="U96" s="88">
        <v>7.7780571428571434</v>
      </c>
      <c r="V96" s="87" t="s">
        <v>3061</v>
      </c>
      <c r="W96" s="87" t="s">
        <v>3100</v>
      </c>
      <c r="X96" s="90" t="s">
        <v>3477</v>
      </c>
      <c r="Y96" s="89"/>
      <c r="Z96" s="89">
        <v>3</v>
      </c>
      <c r="AA96" s="89" t="s">
        <v>3207</v>
      </c>
      <c r="AB96" s="89"/>
    </row>
    <row r="97" spans="1:28" s="31" customFormat="1" ht="60" customHeight="1" x14ac:dyDescent="0.2">
      <c r="A97" s="76">
        <v>96</v>
      </c>
      <c r="B97" s="77">
        <v>50005035</v>
      </c>
      <c r="C97" s="78" t="s">
        <v>3163</v>
      </c>
      <c r="D97" s="79">
        <v>0.05</v>
      </c>
      <c r="E97" s="80">
        <v>30049079</v>
      </c>
      <c r="F97" s="81" t="s">
        <v>3164</v>
      </c>
      <c r="G97" s="82" t="s">
        <v>3184</v>
      </c>
      <c r="H97" s="82" t="s">
        <v>3745</v>
      </c>
      <c r="I97" s="79" t="s">
        <v>2666</v>
      </c>
      <c r="J97" s="83">
        <v>140.61000000000001</v>
      </c>
      <c r="K97" s="83">
        <v>107.13142857142859</v>
      </c>
      <c r="L97" s="83">
        <v>107.13142857142859</v>
      </c>
      <c r="M97" s="84">
        <v>96.418285714285716</v>
      </c>
      <c r="N97" s="59">
        <f t="shared" si="1"/>
        <v>0.31428571428571433</v>
      </c>
      <c r="O97" s="85" t="s">
        <v>16</v>
      </c>
      <c r="P97" s="86" t="s">
        <v>2751</v>
      </c>
      <c r="Q97" s="87" t="s">
        <v>3208</v>
      </c>
      <c r="R97" s="87">
        <v>10</v>
      </c>
      <c r="S97" s="88">
        <v>14.061000000000002</v>
      </c>
      <c r="T97" s="88">
        <v>10.713142857142859</v>
      </c>
      <c r="U97" s="88">
        <v>9.6418285714285723</v>
      </c>
      <c r="V97" s="87" t="s">
        <v>3061</v>
      </c>
      <c r="W97" s="87" t="s">
        <v>3100</v>
      </c>
      <c r="X97" s="90" t="s">
        <v>3477</v>
      </c>
      <c r="Y97" s="89"/>
      <c r="Z97" s="89">
        <v>3</v>
      </c>
      <c r="AA97" s="89" t="s">
        <v>3207</v>
      </c>
      <c r="AB97" s="89"/>
    </row>
    <row r="98" spans="1:28" s="31" customFormat="1" ht="60" customHeight="1" x14ac:dyDescent="0.2">
      <c r="A98" s="76">
        <v>97</v>
      </c>
      <c r="B98" s="77">
        <v>50003067</v>
      </c>
      <c r="C98" s="78" t="s">
        <v>309</v>
      </c>
      <c r="D98" s="79">
        <v>0.05</v>
      </c>
      <c r="E98" s="80">
        <v>30049079</v>
      </c>
      <c r="F98" s="81" t="s">
        <v>310</v>
      </c>
      <c r="G98" s="82" t="s">
        <v>311</v>
      </c>
      <c r="H98" s="82" t="s">
        <v>3746</v>
      </c>
      <c r="I98" s="79" t="s">
        <v>2666</v>
      </c>
      <c r="J98" s="83">
        <v>136.99</v>
      </c>
      <c r="K98" s="83">
        <v>104.37333333333333</v>
      </c>
      <c r="L98" s="83">
        <v>95.675555555555547</v>
      </c>
      <c r="M98" s="84">
        <v>86.107999999999976</v>
      </c>
      <c r="N98" s="59">
        <f t="shared" si="1"/>
        <v>0.37142857142857166</v>
      </c>
      <c r="O98" s="85" t="s">
        <v>16</v>
      </c>
      <c r="P98" s="86" t="s">
        <v>2734</v>
      </c>
      <c r="Q98" s="87" t="s">
        <v>3208</v>
      </c>
      <c r="R98" s="87">
        <v>10</v>
      </c>
      <c r="S98" s="88">
        <v>13.699000000000002</v>
      </c>
      <c r="T98" s="88">
        <v>9.567555555555554</v>
      </c>
      <c r="U98" s="88">
        <v>8.6107999999999976</v>
      </c>
      <c r="V98" s="87" t="s">
        <v>3061</v>
      </c>
      <c r="W98" s="87" t="s">
        <v>3100</v>
      </c>
      <c r="X98" s="90" t="s">
        <v>3477</v>
      </c>
      <c r="Y98" s="89"/>
      <c r="Z98" s="89">
        <v>3</v>
      </c>
      <c r="AA98" s="89" t="s">
        <v>3207</v>
      </c>
      <c r="AB98" s="89"/>
    </row>
    <row r="99" spans="1:28" s="31" customFormat="1" ht="60" customHeight="1" x14ac:dyDescent="0.2">
      <c r="A99" s="76">
        <v>98</v>
      </c>
      <c r="B99" s="77">
        <v>50003340</v>
      </c>
      <c r="C99" s="78" t="s">
        <v>312</v>
      </c>
      <c r="D99" s="79">
        <v>0.05</v>
      </c>
      <c r="E99" s="80">
        <v>30049079</v>
      </c>
      <c r="F99" s="81" t="s">
        <v>313</v>
      </c>
      <c r="G99" s="82" t="s">
        <v>314</v>
      </c>
      <c r="H99" s="82" t="s">
        <v>3747</v>
      </c>
      <c r="I99" s="79" t="s">
        <v>2666</v>
      </c>
      <c r="J99" s="83">
        <v>137.25</v>
      </c>
      <c r="K99" s="83">
        <v>104.57142857142858</v>
      </c>
      <c r="L99" s="83">
        <v>95.857142857142875</v>
      </c>
      <c r="M99" s="84">
        <v>86.271428571428586</v>
      </c>
      <c r="N99" s="59">
        <f t="shared" si="1"/>
        <v>0.37142857142857133</v>
      </c>
      <c r="O99" s="85" t="s">
        <v>16</v>
      </c>
      <c r="P99" s="86" t="s">
        <v>2734</v>
      </c>
      <c r="Q99" s="87" t="s">
        <v>3208</v>
      </c>
      <c r="R99" s="87">
        <v>10</v>
      </c>
      <c r="S99" s="88">
        <v>13.725</v>
      </c>
      <c r="T99" s="88">
        <v>9.5857142857142872</v>
      </c>
      <c r="U99" s="88">
        <v>8.627142857142859</v>
      </c>
      <c r="V99" s="87" t="s">
        <v>3061</v>
      </c>
      <c r="W99" s="87" t="s">
        <v>3100</v>
      </c>
      <c r="X99" s="90" t="s">
        <v>3477</v>
      </c>
      <c r="Y99" s="89"/>
      <c r="Z99" s="89">
        <v>3</v>
      </c>
      <c r="AA99" s="89" t="s">
        <v>3207</v>
      </c>
      <c r="AB99" s="89"/>
    </row>
    <row r="100" spans="1:28" s="31" customFormat="1" ht="60" customHeight="1" x14ac:dyDescent="0.2">
      <c r="A100" s="76">
        <v>99</v>
      </c>
      <c r="B100" s="77">
        <v>50000502</v>
      </c>
      <c r="C100" s="78" t="s">
        <v>320</v>
      </c>
      <c r="D100" s="79">
        <v>0.05</v>
      </c>
      <c r="E100" s="80">
        <v>30049069</v>
      </c>
      <c r="F100" s="81" t="s">
        <v>321</v>
      </c>
      <c r="G100" s="82" t="s">
        <v>322</v>
      </c>
      <c r="H100" s="82" t="s">
        <v>323</v>
      </c>
      <c r="I100" s="79" t="s">
        <v>3140</v>
      </c>
      <c r="J100" s="83">
        <v>33.99</v>
      </c>
      <c r="K100" s="83">
        <v>25.89714285714286</v>
      </c>
      <c r="L100" s="83">
        <v>25.89714285714286</v>
      </c>
      <c r="M100" s="84">
        <v>23.30742857142857</v>
      </c>
      <c r="N100" s="59">
        <f t="shared" si="1"/>
        <v>0.31428571428571439</v>
      </c>
      <c r="O100" s="85" t="s">
        <v>16</v>
      </c>
      <c r="P100" s="86" t="s">
        <v>2736</v>
      </c>
      <c r="Q100" s="87" t="s">
        <v>3208</v>
      </c>
      <c r="R100" s="87">
        <v>1</v>
      </c>
      <c r="S100" s="88">
        <v>33.99</v>
      </c>
      <c r="T100" s="88">
        <v>25.89714285714286</v>
      </c>
      <c r="U100" s="88">
        <v>23.30742857142857</v>
      </c>
      <c r="V100" s="87" t="s">
        <v>3062</v>
      </c>
      <c r="W100" s="87" t="s">
        <v>3106</v>
      </c>
      <c r="X100" s="90" t="s">
        <v>3482</v>
      </c>
      <c r="Y100" s="89"/>
      <c r="Z100" s="89">
        <v>1</v>
      </c>
      <c r="AA100" s="89"/>
      <c r="AB100" s="89"/>
    </row>
    <row r="101" spans="1:28" s="31" customFormat="1" ht="60" customHeight="1" x14ac:dyDescent="0.2">
      <c r="A101" s="76">
        <v>100</v>
      </c>
      <c r="B101" s="77">
        <v>50000485</v>
      </c>
      <c r="C101" s="78" t="s">
        <v>330</v>
      </c>
      <c r="D101" s="79">
        <v>0.05</v>
      </c>
      <c r="E101" s="80">
        <v>30049069</v>
      </c>
      <c r="F101" s="81" t="s">
        <v>331</v>
      </c>
      <c r="G101" s="82" t="s">
        <v>326</v>
      </c>
      <c r="H101" s="82" t="s">
        <v>332</v>
      </c>
      <c r="I101" s="79" t="s">
        <v>2680</v>
      </c>
      <c r="J101" s="83">
        <v>42.82</v>
      </c>
      <c r="K101" s="83">
        <v>32.624761904761904</v>
      </c>
      <c r="L101" s="83">
        <v>29.906031746031747</v>
      </c>
      <c r="M101" s="84">
        <v>26.915428571428563</v>
      </c>
      <c r="N101" s="59">
        <f t="shared" si="1"/>
        <v>0.37142857142857161</v>
      </c>
      <c r="O101" s="85" t="s">
        <v>16</v>
      </c>
      <c r="P101" s="86" t="s">
        <v>2736</v>
      </c>
      <c r="Q101" s="87" t="s">
        <v>3207</v>
      </c>
      <c r="R101" s="87">
        <v>1</v>
      </c>
      <c r="S101" s="88">
        <v>42.82</v>
      </c>
      <c r="T101" s="88">
        <v>29.906031746031747</v>
      </c>
      <c r="U101" s="88">
        <v>26.915428571428563</v>
      </c>
      <c r="V101" s="87" t="s">
        <v>3062</v>
      </c>
      <c r="W101" s="87" t="s">
        <v>3106</v>
      </c>
      <c r="X101" s="90" t="s">
        <v>3480</v>
      </c>
      <c r="Y101" s="89"/>
      <c r="Z101" s="89">
        <v>1</v>
      </c>
      <c r="AA101" s="89"/>
      <c r="AB101" s="89"/>
    </row>
    <row r="102" spans="1:28" s="31" customFormat="1" ht="60" customHeight="1" x14ac:dyDescent="0.2">
      <c r="A102" s="76">
        <v>101</v>
      </c>
      <c r="B102" s="77">
        <v>50000064</v>
      </c>
      <c r="C102" s="78" t="s">
        <v>324</v>
      </c>
      <c r="D102" s="79">
        <v>0.05</v>
      </c>
      <c r="E102" s="80">
        <v>30049069</v>
      </c>
      <c r="F102" s="81" t="s">
        <v>325</v>
      </c>
      <c r="G102" s="82" t="s">
        <v>326</v>
      </c>
      <c r="H102" s="82" t="s">
        <v>66</v>
      </c>
      <c r="I102" s="79" t="s">
        <v>2666</v>
      </c>
      <c r="J102" s="83">
        <v>18.71</v>
      </c>
      <c r="K102" s="83">
        <v>14.255238095238095</v>
      </c>
      <c r="L102" s="83">
        <v>14.255238095238095</v>
      </c>
      <c r="M102" s="84">
        <v>12.829714285714285</v>
      </c>
      <c r="N102" s="59">
        <f t="shared" si="1"/>
        <v>0.31428571428571433</v>
      </c>
      <c r="O102" s="85" t="s">
        <v>16</v>
      </c>
      <c r="P102" s="86" t="s">
        <v>81</v>
      </c>
      <c r="Q102" s="87" t="s">
        <v>3208</v>
      </c>
      <c r="R102" s="87">
        <v>10</v>
      </c>
      <c r="S102" s="88">
        <v>1.871</v>
      </c>
      <c r="T102" s="88">
        <v>1.4255238095238094</v>
      </c>
      <c r="U102" s="88">
        <v>1.2829714285714284</v>
      </c>
      <c r="V102" s="87" t="s">
        <v>3061</v>
      </c>
      <c r="W102" s="87" t="s">
        <v>3106</v>
      </c>
      <c r="X102" s="90" t="s">
        <v>3477</v>
      </c>
      <c r="Y102" s="89"/>
      <c r="Z102" s="89">
        <v>10</v>
      </c>
      <c r="AA102" s="89"/>
      <c r="AB102" s="89"/>
    </row>
    <row r="103" spans="1:28" s="31" customFormat="1" ht="60" customHeight="1" x14ac:dyDescent="0.2">
      <c r="A103" s="76">
        <v>102</v>
      </c>
      <c r="B103" s="77">
        <v>50000735</v>
      </c>
      <c r="C103" s="78" t="s">
        <v>315</v>
      </c>
      <c r="D103" s="79">
        <v>0.05</v>
      </c>
      <c r="E103" s="80">
        <v>30049069</v>
      </c>
      <c r="F103" s="81" t="s">
        <v>316</v>
      </c>
      <c r="G103" s="82" t="s">
        <v>317</v>
      </c>
      <c r="H103" s="82" t="s">
        <v>76</v>
      </c>
      <c r="I103" s="79" t="s">
        <v>2680</v>
      </c>
      <c r="J103" s="83">
        <v>23.69</v>
      </c>
      <c r="K103" s="83">
        <v>18.049523809523812</v>
      </c>
      <c r="L103" s="83">
        <v>18.049523809523812</v>
      </c>
      <c r="M103" s="84">
        <v>18.049523809523812</v>
      </c>
      <c r="N103" s="59">
        <f t="shared" si="1"/>
        <v>0.23809523809523803</v>
      </c>
      <c r="O103" s="85" t="s">
        <v>16</v>
      </c>
      <c r="P103" s="86" t="s">
        <v>318</v>
      </c>
      <c r="Q103" s="87" t="s">
        <v>3207</v>
      </c>
      <c r="R103" s="87">
        <v>1</v>
      </c>
      <c r="S103" s="88">
        <v>23.69</v>
      </c>
      <c r="T103" s="88">
        <v>18.049523809523812</v>
      </c>
      <c r="U103" s="88">
        <v>18.049523809523812</v>
      </c>
      <c r="V103" s="87" t="s">
        <v>3062</v>
      </c>
      <c r="W103" s="87" t="s">
        <v>3106</v>
      </c>
      <c r="X103" s="90" t="s">
        <v>3480</v>
      </c>
      <c r="Y103" s="89"/>
      <c r="Z103" s="89">
        <v>1</v>
      </c>
      <c r="AA103" s="89"/>
      <c r="AB103" s="89"/>
    </row>
    <row r="104" spans="1:28" s="31" customFormat="1" ht="60" customHeight="1" x14ac:dyDescent="0.2">
      <c r="A104" s="76">
        <v>103</v>
      </c>
      <c r="B104" s="77">
        <v>50003244</v>
      </c>
      <c r="C104" s="78" t="s">
        <v>327</v>
      </c>
      <c r="D104" s="79">
        <v>0.05</v>
      </c>
      <c r="E104" s="80">
        <v>30049069</v>
      </c>
      <c r="F104" s="81" t="s">
        <v>328</v>
      </c>
      <c r="G104" s="82" t="s">
        <v>329</v>
      </c>
      <c r="H104" s="82" t="s">
        <v>72</v>
      </c>
      <c r="I104" s="79" t="s">
        <v>2663</v>
      </c>
      <c r="J104" s="83">
        <v>14.25</v>
      </c>
      <c r="K104" s="83">
        <v>10.857142857142858</v>
      </c>
      <c r="L104" s="83">
        <v>10.857142857142858</v>
      </c>
      <c r="M104" s="84">
        <v>10.857142857142859</v>
      </c>
      <c r="N104" s="59">
        <f t="shared" si="1"/>
        <v>0.23809523809523794</v>
      </c>
      <c r="O104" s="85" t="s">
        <v>16</v>
      </c>
      <c r="P104" s="86" t="s">
        <v>2737</v>
      </c>
      <c r="Q104" s="87" t="s">
        <v>3207</v>
      </c>
      <c r="R104" s="87">
        <v>15</v>
      </c>
      <c r="S104" s="88">
        <v>0.95</v>
      </c>
      <c r="T104" s="88">
        <v>0.72380952380952379</v>
      </c>
      <c r="U104" s="88">
        <v>0.72380952380952401</v>
      </c>
      <c r="V104" s="87" t="s">
        <v>3061</v>
      </c>
      <c r="W104" s="87" t="s">
        <v>3106</v>
      </c>
      <c r="X104" s="90" t="s">
        <v>3477</v>
      </c>
      <c r="Y104" s="89"/>
      <c r="Z104" s="89">
        <v>10</v>
      </c>
      <c r="AA104" s="89"/>
      <c r="AB104" s="89"/>
    </row>
    <row r="105" spans="1:28" s="31" customFormat="1" ht="60" customHeight="1" x14ac:dyDescent="0.2">
      <c r="A105" s="76">
        <v>104</v>
      </c>
      <c r="B105" s="77">
        <v>50000662</v>
      </c>
      <c r="C105" s="78" t="s">
        <v>333</v>
      </c>
      <c r="D105" s="79">
        <v>0.05</v>
      </c>
      <c r="E105" s="80">
        <v>30043919</v>
      </c>
      <c r="F105" s="81" t="s">
        <v>334</v>
      </c>
      <c r="G105" s="82" t="s">
        <v>335</v>
      </c>
      <c r="H105" s="82" t="s">
        <v>3748</v>
      </c>
      <c r="I105" s="79" t="s">
        <v>2738</v>
      </c>
      <c r="J105" s="83">
        <v>368.56</v>
      </c>
      <c r="K105" s="83">
        <v>280.80761904761903</v>
      </c>
      <c r="L105" s="83">
        <v>56.161523809523807</v>
      </c>
      <c r="M105" s="84">
        <v>56.161523809523807</v>
      </c>
      <c r="N105" s="59">
        <f t="shared" si="1"/>
        <v>0.84761904761904761</v>
      </c>
      <c r="O105" s="85" t="s">
        <v>16</v>
      </c>
      <c r="P105" s="86" t="s">
        <v>253</v>
      </c>
      <c r="Q105" s="87" t="s">
        <v>3208</v>
      </c>
      <c r="R105" s="87">
        <v>1</v>
      </c>
      <c r="S105" s="88">
        <v>368.56</v>
      </c>
      <c r="T105" s="88">
        <v>56.161523809523807</v>
      </c>
      <c r="U105" s="88">
        <v>56.161523809523807</v>
      </c>
      <c r="V105" s="87" t="s">
        <v>3061</v>
      </c>
      <c r="W105" s="87" t="s">
        <v>3113</v>
      </c>
      <c r="X105" s="90" t="s">
        <v>3492</v>
      </c>
      <c r="Y105" s="89"/>
      <c r="Z105" s="89">
        <v>1</v>
      </c>
      <c r="AA105" s="89"/>
      <c r="AB105" s="89"/>
    </row>
    <row r="106" spans="1:28" s="31" customFormat="1" ht="60" customHeight="1" x14ac:dyDescent="0.2">
      <c r="A106" s="76">
        <v>105</v>
      </c>
      <c r="B106" s="77">
        <v>50002282</v>
      </c>
      <c r="C106" s="78" t="s">
        <v>336</v>
      </c>
      <c r="D106" s="79">
        <v>0.05</v>
      </c>
      <c r="E106" s="80">
        <v>30049035</v>
      </c>
      <c r="F106" s="81" t="s">
        <v>337</v>
      </c>
      <c r="G106" s="82" t="s">
        <v>338</v>
      </c>
      <c r="H106" s="82" t="s">
        <v>339</v>
      </c>
      <c r="I106" s="79" t="s">
        <v>3335</v>
      </c>
      <c r="J106" s="83">
        <v>19.02</v>
      </c>
      <c r="K106" s="83">
        <v>14.491428571428571</v>
      </c>
      <c r="L106" s="83">
        <v>14.491428571428571</v>
      </c>
      <c r="M106" s="84">
        <v>13.042285714285713</v>
      </c>
      <c r="N106" s="59">
        <f t="shared" si="1"/>
        <v>0.31428571428571433</v>
      </c>
      <c r="O106" s="85" t="s">
        <v>16</v>
      </c>
      <c r="P106" s="86" t="s">
        <v>2739</v>
      </c>
      <c r="Q106" s="87" t="s">
        <v>3208</v>
      </c>
      <c r="R106" s="87">
        <v>1</v>
      </c>
      <c r="S106" s="88">
        <v>19.02</v>
      </c>
      <c r="T106" s="88">
        <v>14.491428571428571</v>
      </c>
      <c r="U106" s="88">
        <v>13.042285714285713</v>
      </c>
      <c r="V106" s="87" t="s">
        <v>3064</v>
      </c>
      <c r="W106" s="87" t="s">
        <v>3105</v>
      </c>
      <c r="X106" s="90" t="s">
        <v>3489</v>
      </c>
      <c r="Y106" s="89"/>
      <c r="Z106" s="89">
        <v>12</v>
      </c>
      <c r="AA106" s="89"/>
      <c r="AB106" s="89"/>
    </row>
    <row r="107" spans="1:28" s="31" customFormat="1" ht="60" customHeight="1" x14ac:dyDescent="0.2">
      <c r="A107" s="76">
        <v>106</v>
      </c>
      <c r="B107" s="77">
        <v>50000558</v>
      </c>
      <c r="C107" s="78" t="s">
        <v>340</v>
      </c>
      <c r="D107" s="79">
        <v>0.05</v>
      </c>
      <c r="E107" s="80">
        <v>30049035</v>
      </c>
      <c r="F107" s="81" t="s">
        <v>341</v>
      </c>
      <c r="G107" s="82" t="s">
        <v>342</v>
      </c>
      <c r="H107" s="82" t="s">
        <v>343</v>
      </c>
      <c r="I107" s="79" t="s">
        <v>2666</v>
      </c>
      <c r="J107" s="83">
        <v>51.04</v>
      </c>
      <c r="K107" s="83">
        <v>38.887619047619047</v>
      </c>
      <c r="L107" s="83">
        <v>38.887619047619047</v>
      </c>
      <c r="M107" s="84">
        <v>34.99885714285714</v>
      </c>
      <c r="N107" s="59">
        <f t="shared" si="1"/>
        <v>0.31428571428571433</v>
      </c>
      <c r="O107" s="85" t="s">
        <v>16</v>
      </c>
      <c r="P107" s="86" t="s">
        <v>37</v>
      </c>
      <c r="Q107" s="87" t="s">
        <v>3208</v>
      </c>
      <c r="R107" s="87">
        <v>10</v>
      </c>
      <c r="S107" s="88">
        <v>5.1040000000000001</v>
      </c>
      <c r="T107" s="88">
        <v>3.8887619047619046</v>
      </c>
      <c r="U107" s="88">
        <v>3.499885714285714</v>
      </c>
      <c r="V107" s="87" t="s">
        <v>3061</v>
      </c>
      <c r="W107" s="87" t="s">
        <v>3105</v>
      </c>
      <c r="X107" s="90" t="s">
        <v>3477</v>
      </c>
      <c r="Y107" s="89"/>
      <c r="Z107" s="89">
        <v>6</v>
      </c>
      <c r="AA107" s="89"/>
      <c r="AB107" s="89"/>
    </row>
    <row r="108" spans="1:28" s="31" customFormat="1" ht="60" customHeight="1" x14ac:dyDescent="0.2">
      <c r="A108" s="76">
        <v>107</v>
      </c>
      <c r="B108" s="77">
        <v>50000551</v>
      </c>
      <c r="C108" s="78" t="s">
        <v>344</v>
      </c>
      <c r="D108" s="79">
        <v>0.05</v>
      </c>
      <c r="E108" s="80">
        <v>30049035</v>
      </c>
      <c r="F108" s="81" t="s">
        <v>345</v>
      </c>
      <c r="G108" s="82" t="s">
        <v>338</v>
      </c>
      <c r="H108" s="82" t="s">
        <v>339</v>
      </c>
      <c r="I108" s="79" t="s">
        <v>2666</v>
      </c>
      <c r="J108" s="83">
        <v>48.11</v>
      </c>
      <c r="K108" s="83">
        <v>36.65523809523809</v>
      </c>
      <c r="L108" s="83">
        <v>30.546031746031741</v>
      </c>
      <c r="M108" s="84">
        <v>27.49142857142856</v>
      </c>
      <c r="N108" s="59">
        <f t="shared" si="1"/>
        <v>0.42857142857142877</v>
      </c>
      <c r="O108" s="85" t="s">
        <v>16</v>
      </c>
      <c r="P108" s="86" t="s">
        <v>2729</v>
      </c>
      <c r="Q108" s="87" t="s">
        <v>3207</v>
      </c>
      <c r="R108" s="87">
        <v>10</v>
      </c>
      <c r="S108" s="88">
        <v>4.8109999999999999</v>
      </c>
      <c r="T108" s="88">
        <v>3.0546031746031739</v>
      </c>
      <c r="U108" s="88">
        <v>2.7491428571428562</v>
      </c>
      <c r="V108" s="87" t="s">
        <v>3061</v>
      </c>
      <c r="W108" s="87" t="s">
        <v>3105</v>
      </c>
      <c r="X108" s="90" t="s">
        <v>3477</v>
      </c>
      <c r="Y108" s="89"/>
      <c r="Z108" s="89">
        <v>10</v>
      </c>
      <c r="AA108" s="89"/>
      <c r="AB108" s="89"/>
    </row>
    <row r="109" spans="1:28" s="31" customFormat="1" ht="60" customHeight="1" x14ac:dyDescent="0.2">
      <c r="A109" s="76">
        <v>108</v>
      </c>
      <c r="B109" s="77">
        <v>50000550</v>
      </c>
      <c r="C109" s="78" t="s">
        <v>346</v>
      </c>
      <c r="D109" s="79">
        <v>0.05</v>
      </c>
      <c r="E109" s="80">
        <v>30049035</v>
      </c>
      <c r="F109" s="81" t="s">
        <v>347</v>
      </c>
      <c r="G109" s="82" t="s">
        <v>342</v>
      </c>
      <c r="H109" s="82" t="s">
        <v>343</v>
      </c>
      <c r="I109" s="79" t="s">
        <v>2717</v>
      </c>
      <c r="J109" s="83">
        <v>12.71</v>
      </c>
      <c r="K109" s="83">
        <v>9.6838095238095239</v>
      </c>
      <c r="L109" s="83">
        <v>3.8735238095238098</v>
      </c>
      <c r="M109" s="84">
        <v>3.5543570536828963</v>
      </c>
      <c r="N109" s="59">
        <f t="shared" si="1"/>
        <v>0.72034956304619235</v>
      </c>
      <c r="O109" s="85" t="s">
        <v>16</v>
      </c>
      <c r="P109" s="86" t="s">
        <v>4654</v>
      </c>
      <c r="Q109" s="87" t="s">
        <v>3207</v>
      </c>
      <c r="R109" s="87">
        <v>1</v>
      </c>
      <c r="S109" s="88">
        <v>12.71</v>
      </c>
      <c r="T109" s="88">
        <v>3.8735238095238098</v>
      </c>
      <c r="U109" s="88">
        <v>3.5543570536828963</v>
      </c>
      <c r="V109" s="87" t="s">
        <v>3065</v>
      </c>
      <c r="W109" s="87" t="s">
        <v>3105</v>
      </c>
      <c r="X109" s="90" t="s">
        <v>3479</v>
      </c>
      <c r="Y109" s="89"/>
      <c r="Z109" s="89">
        <v>12</v>
      </c>
      <c r="AA109" s="89"/>
      <c r="AB109" s="89"/>
    </row>
    <row r="110" spans="1:28" s="31" customFormat="1" ht="60" customHeight="1" x14ac:dyDescent="0.2">
      <c r="A110" s="76">
        <v>109</v>
      </c>
      <c r="B110" s="77">
        <v>50000633</v>
      </c>
      <c r="C110" s="78" t="s">
        <v>346</v>
      </c>
      <c r="D110" s="79">
        <v>0.05</v>
      </c>
      <c r="E110" s="80">
        <v>30049035</v>
      </c>
      <c r="F110" s="81" t="s">
        <v>348</v>
      </c>
      <c r="G110" s="82" t="s">
        <v>342</v>
      </c>
      <c r="H110" s="82" t="s">
        <v>3749</v>
      </c>
      <c r="I110" s="79" t="s">
        <v>2672</v>
      </c>
      <c r="J110" s="83">
        <v>40.93</v>
      </c>
      <c r="K110" s="83">
        <v>31.184761904761906</v>
      </c>
      <c r="L110" s="83">
        <v>22.453028571428572</v>
      </c>
      <c r="M110" s="84">
        <v>20.207725714285715</v>
      </c>
      <c r="N110" s="59">
        <f t="shared" si="1"/>
        <v>0.50628571428571423</v>
      </c>
      <c r="O110" s="85" t="s">
        <v>16</v>
      </c>
      <c r="P110" s="86" t="s">
        <v>2740</v>
      </c>
      <c r="Q110" s="87" t="s">
        <v>3207</v>
      </c>
      <c r="R110" s="87">
        <v>1</v>
      </c>
      <c r="S110" s="88">
        <v>40.93</v>
      </c>
      <c r="T110" s="88">
        <v>22.453028571428572</v>
      </c>
      <c r="U110" s="88">
        <v>20.207725714285715</v>
      </c>
      <c r="V110" s="87" t="s">
        <v>3067</v>
      </c>
      <c r="W110" s="87" t="s">
        <v>3105</v>
      </c>
      <c r="X110" s="90" t="s">
        <v>3479</v>
      </c>
      <c r="Y110" s="89"/>
      <c r="Z110" s="89">
        <v>1</v>
      </c>
      <c r="AA110" s="89"/>
      <c r="AB110" s="89"/>
    </row>
    <row r="111" spans="1:28" s="31" customFormat="1" ht="60" customHeight="1" x14ac:dyDescent="0.2">
      <c r="A111" s="76">
        <v>110</v>
      </c>
      <c r="B111" s="77">
        <v>50000846</v>
      </c>
      <c r="C111" s="78" t="s">
        <v>349</v>
      </c>
      <c r="D111" s="79">
        <v>0.05</v>
      </c>
      <c r="E111" s="80">
        <v>30049035</v>
      </c>
      <c r="F111" s="81" t="s">
        <v>350</v>
      </c>
      <c r="G111" s="82" t="s">
        <v>342</v>
      </c>
      <c r="H111" s="82" t="s">
        <v>351</v>
      </c>
      <c r="I111" s="79" t="s">
        <v>2678</v>
      </c>
      <c r="J111" s="83">
        <v>40.01</v>
      </c>
      <c r="K111" s="83">
        <v>30.483809523809526</v>
      </c>
      <c r="L111" s="83">
        <v>27.943492063492066</v>
      </c>
      <c r="M111" s="84">
        <v>25.149142857142852</v>
      </c>
      <c r="N111" s="59">
        <f t="shared" si="1"/>
        <v>0.3714285714285715</v>
      </c>
      <c r="O111" s="85" t="s">
        <v>16</v>
      </c>
      <c r="P111" s="86" t="s">
        <v>2697</v>
      </c>
      <c r="Q111" s="87" t="s">
        <v>3207</v>
      </c>
      <c r="R111" s="87">
        <v>1</v>
      </c>
      <c r="S111" s="88">
        <v>40.01</v>
      </c>
      <c r="T111" s="88">
        <v>27.943492063492066</v>
      </c>
      <c r="U111" s="88">
        <v>25.149142857142852</v>
      </c>
      <c r="V111" s="87" t="s">
        <v>3062</v>
      </c>
      <c r="W111" s="87" t="s">
        <v>3105</v>
      </c>
      <c r="X111" s="90" t="s">
        <v>3480</v>
      </c>
      <c r="Y111" s="89"/>
      <c r="Z111" s="89">
        <v>1</v>
      </c>
      <c r="AA111" s="89"/>
      <c r="AB111" s="89"/>
    </row>
    <row r="112" spans="1:28" s="31" customFormat="1" ht="60" customHeight="1" x14ac:dyDescent="0.2">
      <c r="A112" s="76">
        <v>111</v>
      </c>
      <c r="B112" s="77">
        <v>50005178</v>
      </c>
      <c r="C112" s="78" t="s">
        <v>3213</v>
      </c>
      <c r="D112" s="79">
        <v>0.05</v>
      </c>
      <c r="E112" s="80">
        <v>30049099</v>
      </c>
      <c r="F112" s="81" t="s">
        <v>3214</v>
      </c>
      <c r="G112" s="82" t="s">
        <v>3266</v>
      </c>
      <c r="H112" s="82" t="s">
        <v>30</v>
      </c>
      <c r="I112" s="79" t="s">
        <v>2666</v>
      </c>
      <c r="J112" s="83">
        <v>82.49</v>
      </c>
      <c r="K112" s="83">
        <v>62.849523809523802</v>
      </c>
      <c r="L112" s="83">
        <v>57.612063492063491</v>
      </c>
      <c r="M112" s="84">
        <v>52.793599999999991</v>
      </c>
      <c r="N112" s="59">
        <f t="shared" si="1"/>
        <v>0.3600000000000001</v>
      </c>
      <c r="O112" s="85" t="s">
        <v>16</v>
      </c>
      <c r="P112" s="86" t="s">
        <v>2941</v>
      </c>
      <c r="Q112" s="87" t="s">
        <v>3208</v>
      </c>
      <c r="R112" s="87">
        <v>10</v>
      </c>
      <c r="S112" s="88">
        <v>8.2489999999999988</v>
      </c>
      <c r="T112" s="88">
        <v>5.7612063492063488</v>
      </c>
      <c r="U112" s="88">
        <v>5.2793599999999987</v>
      </c>
      <c r="V112" s="87" t="s">
        <v>3061</v>
      </c>
      <c r="W112" s="87" t="s">
        <v>3105</v>
      </c>
      <c r="X112" s="90" t="s">
        <v>3477</v>
      </c>
      <c r="Y112" s="89"/>
      <c r="Z112" s="89">
        <v>3</v>
      </c>
      <c r="AA112" s="89"/>
      <c r="AB112" s="89"/>
    </row>
    <row r="113" spans="1:28" s="31" customFormat="1" ht="60" customHeight="1" x14ac:dyDescent="0.2">
      <c r="A113" s="76">
        <v>112</v>
      </c>
      <c r="B113" s="77">
        <v>50005176</v>
      </c>
      <c r="C113" s="78" t="s">
        <v>3215</v>
      </c>
      <c r="D113" s="79">
        <v>0.05</v>
      </c>
      <c r="E113" s="80">
        <v>30049099</v>
      </c>
      <c r="F113" s="81" t="s">
        <v>3216</v>
      </c>
      <c r="G113" s="82" t="s">
        <v>3267</v>
      </c>
      <c r="H113" s="82" t="s">
        <v>294</v>
      </c>
      <c r="I113" s="79" t="s">
        <v>2666</v>
      </c>
      <c r="J113" s="83">
        <v>154.68</v>
      </c>
      <c r="K113" s="83">
        <v>117.85142857142857</v>
      </c>
      <c r="L113" s="83">
        <v>108.03047619047619</v>
      </c>
      <c r="M113" s="84">
        <v>98.995199999999997</v>
      </c>
      <c r="N113" s="59">
        <f t="shared" si="1"/>
        <v>0.36000000000000004</v>
      </c>
      <c r="O113" s="85" t="s">
        <v>16</v>
      </c>
      <c r="P113" s="86" t="s">
        <v>2941</v>
      </c>
      <c r="Q113" s="87" t="s">
        <v>3208</v>
      </c>
      <c r="R113" s="87">
        <v>10</v>
      </c>
      <c r="S113" s="88">
        <v>15.468</v>
      </c>
      <c r="T113" s="88">
        <v>10.80304761904762</v>
      </c>
      <c r="U113" s="88">
        <v>9.899519999999999</v>
      </c>
      <c r="V113" s="87" t="s">
        <v>3061</v>
      </c>
      <c r="W113" s="87" t="s">
        <v>3105</v>
      </c>
      <c r="X113" s="90" t="s">
        <v>3477</v>
      </c>
      <c r="Y113" s="89"/>
      <c r="Z113" s="89">
        <v>3</v>
      </c>
      <c r="AA113" s="89"/>
      <c r="AB113" s="89"/>
    </row>
    <row r="114" spans="1:28" s="31" customFormat="1" ht="60" customHeight="1" x14ac:dyDescent="0.2">
      <c r="A114" s="76">
        <v>113</v>
      </c>
      <c r="B114" s="77">
        <v>50000848</v>
      </c>
      <c r="C114" s="78" t="s">
        <v>352</v>
      </c>
      <c r="D114" s="79">
        <v>0.05</v>
      </c>
      <c r="E114" s="80">
        <v>30042034</v>
      </c>
      <c r="F114" s="81" t="s">
        <v>353</v>
      </c>
      <c r="G114" s="82" t="s">
        <v>354</v>
      </c>
      <c r="H114" s="82" t="s">
        <v>3750</v>
      </c>
      <c r="I114" s="79" t="s">
        <v>2672</v>
      </c>
      <c r="J114" s="83">
        <v>60.09</v>
      </c>
      <c r="K114" s="83">
        <v>45.782857142857139</v>
      </c>
      <c r="L114" s="83">
        <v>42.120228571428569</v>
      </c>
      <c r="M114" s="84">
        <v>37.908205714285714</v>
      </c>
      <c r="N114" s="59">
        <f t="shared" si="1"/>
        <v>0.36914285714285716</v>
      </c>
      <c r="O114" s="85" t="s">
        <v>16</v>
      </c>
      <c r="P114" s="86" t="s">
        <v>2741</v>
      </c>
      <c r="Q114" s="87" t="s">
        <v>3208</v>
      </c>
      <c r="R114" s="87">
        <v>1</v>
      </c>
      <c r="S114" s="88">
        <v>60.09</v>
      </c>
      <c r="T114" s="88">
        <v>42.120228571428569</v>
      </c>
      <c r="U114" s="88">
        <v>37.908205714285714</v>
      </c>
      <c r="V114" s="87" t="s">
        <v>3067</v>
      </c>
      <c r="W114" s="87" t="s">
        <v>3110</v>
      </c>
      <c r="X114" s="90" t="s">
        <v>3482</v>
      </c>
      <c r="Y114" s="89"/>
      <c r="Z114" s="89">
        <v>1</v>
      </c>
      <c r="AA114" s="89"/>
      <c r="AB114" s="89"/>
    </row>
    <row r="115" spans="1:28" s="31" customFormat="1" ht="60" customHeight="1" x14ac:dyDescent="0.2">
      <c r="A115" s="76">
        <v>114</v>
      </c>
      <c r="B115" s="77">
        <v>50000849</v>
      </c>
      <c r="C115" s="78" t="s">
        <v>355</v>
      </c>
      <c r="D115" s="79">
        <v>0.05</v>
      </c>
      <c r="E115" s="80">
        <v>30042034</v>
      </c>
      <c r="F115" s="81" t="s">
        <v>356</v>
      </c>
      <c r="G115" s="82" t="s">
        <v>357</v>
      </c>
      <c r="H115" s="82" t="s">
        <v>3751</v>
      </c>
      <c r="I115" s="79" t="s">
        <v>2682</v>
      </c>
      <c r="J115" s="83">
        <v>180.89</v>
      </c>
      <c r="K115" s="83">
        <v>137.82095238095238</v>
      </c>
      <c r="L115" s="83">
        <v>45.940317460317459</v>
      </c>
      <c r="M115" s="84">
        <v>41.34628571428572</v>
      </c>
      <c r="N115" s="59">
        <f t="shared" si="1"/>
        <v>0.77142857142857135</v>
      </c>
      <c r="O115" s="85" t="s">
        <v>16</v>
      </c>
      <c r="P115" s="86" t="s">
        <v>4736</v>
      </c>
      <c r="Q115" s="87" t="s">
        <v>3208</v>
      </c>
      <c r="R115" s="87">
        <v>1</v>
      </c>
      <c r="S115" s="88">
        <v>180.89</v>
      </c>
      <c r="T115" s="88">
        <v>45.940317460317459</v>
      </c>
      <c r="U115" s="88">
        <v>41.34628571428572</v>
      </c>
      <c r="V115" s="87" t="s">
        <v>3062</v>
      </c>
      <c r="W115" s="87" t="s">
        <v>3102</v>
      </c>
      <c r="X115" s="90" t="s">
        <v>3479</v>
      </c>
      <c r="Y115" s="89"/>
      <c r="Z115" s="89">
        <v>1</v>
      </c>
      <c r="AA115" s="89"/>
      <c r="AB115" s="89"/>
    </row>
    <row r="116" spans="1:28" s="31" customFormat="1" ht="60" customHeight="1" x14ac:dyDescent="0.2">
      <c r="A116" s="76">
        <v>115</v>
      </c>
      <c r="B116" s="77">
        <v>50000503</v>
      </c>
      <c r="C116" s="78" t="s">
        <v>358</v>
      </c>
      <c r="D116" s="79">
        <v>0.05</v>
      </c>
      <c r="E116" s="80">
        <v>30042034</v>
      </c>
      <c r="F116" s="81" t="s">
        <v>359</v>
      </c>
      <c r="G116" s="82" t="s">
        <v>360</v>
      </c>
      <c r="H116" s="82" t="s">
        <v>361</v>
      </c>
      <c r="I116" s="79" t="s">
        <v>2680</v>
      </c>
      <c r="J116" s="83">
        <v>72.16</v>
      </c>
      <c r="K116" s="83">
        <v>54.97904761904762</v>
      </c>
      <c r="L116" s="83">
        <v>50.397460317460315</v>
      </c>
      <c r="M116" s="84">
        <v>45.357714285714295</v>
      </c>
      <c r="N116" s="59">
        <f t="shared" si="1"/>
        <v>0.37142857142857127</v>
      </c>
      <c r="O116" s="85" t="s">
        <v>16</v>
      </c>
      <c r="P116" s="86" t="s">
        <v>81</v>
      </c>
      <c r="Q116" s="87" t="s">
        <v>3208</v>
      </c>
      <c r="R116" s="87">
        <v>1</v>
      </c>
      <c r="S116" s="88">
        <v>72.16</v>
      </c>
      <c r="T116" s="88">
        <v>50.397460317460315</v>
      </c>
      <c r="U116" s="88">
        <v>45.357714285714295</v>
      </c>
      <c r="V116" s="87" t="s">
        <v>3062</v>
      </c>
      <c r="W116" s="87" t="s">
        <v>3102</v>
      </c>
      <c r="X116" s="90" t="s">
        <v>3480</v>
      </c>
      <c r="Y116" s="89"/>
      <c r="Z116" s="89">
        <v>1</v>
      </c>
      <c r="AA116" s="89"/>
      <c r="AB116" s="89"/>
    </row>
    <row r="117" spans="1:28" s="31" customFormat="1" ht="60" customHeight="1" x14ac:dyDescent="0.2">
      <c r="A117" s="76">
        <v>116</v>
      </c>
      <c r="B117" s="77">
        <v>50000280</v>
      </c>
      <c r="C117" s="78" t="s">
        <v>362</v>
      </c>
      <c r="D117" s="79">
        <v>0.05</v>
      </c>
      <c r="E117" s="80">
        <v>30042034</v>
      </c>
      <c r="F117" s="81" t="s">
        <v>363</v>
      </c>
      <c r="G117" s="82" t="s">
        <v>364</v>
      </c>
      <c r="H117" s="82" t="s">
        <v>323</v>
      </c>
      <c r="I117" s="79" t="s">
        <v>2666</v>
      </c>
      <c r="J117" s="83">
        <v>43.82</v>
      </c>
      <c r="K117" s="83">
        <v>33.38666666666667</v>
      </c>
      <c r="L117" s="83">
        <v>30.351515151515152</v>
      </c>
      <c r="M117" s="84">
        <v>27.316363636363633</v>
      </c>
      <c r="N117" s="59">
        <f t="shared" si="1"/>
        <v>0.37662337662337669</v>
      </c>
      <c r="O117" s="85" t="s">
        <v>16</v>
      </c>
      <c r="P117" s="86" t="s">
        <v>2714</v>
      </c>
      <c r="Q117" s="87" t="s">
        <v>3208</v>
      </c>
      <c r="R117" s="87">
        <v>10</v>
      </c>
      <c r="S117" s="88">
        <v>4.3819999999999997</v>
      </c>
      <c r="T117" s="88">
        <v>3.0351515151515152</v>
      </c>
      <c r="U117" s="88">
        <v>2.7316363636363632</v>
      </c>
      <c r="V117" s="87" t="s">
        <v>3061</v>
      </c>
      <c r="W117" s="87" t="s">
        <v>3102</v>
      </c>
      <c r="X117" s="90" t="s">
        <v>3477</v>
      </c>
      <c r="Y117" s="89"/>
      <c r="Z117" s="89">
        <v>12</v>
      </c>
      <c r="AA117" s="89"/>
      <c r="AB117" s="89"/>
    </row>
    <row r="118" spans="1:28" s="31" customFormat="1" ht="60" customHeight="1" x14ac:dyDescent="0.2">
      <c r="A118" s="76">
        <v>117</v>
      </c>
      <c r="B118" s="77">
        <v>50000504</v>
      </c>
      <c r="C118" s="78" t="s">
        <v>365</v>
      </c>
      <c r="D118" s="79">
        <v>0.05</v>
      </c>
      <c r="E118" s="80">
        <v>30042034</v>
      </c>
      <c r="F118" s="81" t="s">
        <v>366</v>
      </c>
      <c r="G118" s="82" t="s">
        <v>367</v>
      </c>
      <c r="H118" s="82" t="s">
        <v>246</v>
      </c>
      <c r="I118" s="79" t="s">
        <v>2666</v>
      </c>
      <c r="J118" s="83">
        <v>85.07</v>
      </c>
      <c r="K118" s="83">
        <v>64.815238095238101</v>
      </c>
      <c r="L118" s="83">
        <v>49.857875457875465</v>
      </c>
      <c r="M118" s="84">
        <v>44.87208791208792</v>
      </c>
      <c r="N118" s="59">
        <f t="shared" si="1"/>
        <v>0.4725274725274724</v>
      </c>
      <c r="O118" s="85" t="s">
        <v>16</v>
      </c>
      <c r="P118" s="86" t="s">
        <v>2695</v>
      </c>
      <c r="Q118" s="87" t="s">
        <v>3208</v>
      </c>
      <c r="R118" s="87">
        <v>10</v>
      </c>
      <c r="S118" s="88">
        <v>8.5069999999999997</v>
      </c>
      <c r="T118" s="88">
        <v>4.9857875457875469</v>
      </c>
      <c r="U118" s="88">
        <v>4.4872087912087917</v>
      </c>
      <c r="V118" s="87" t="s">
        <v>3061</v>
      </c>
      <c r="W118" s="87" t="s">
        <v>3102</v>
      </c>
      <c r="X118" s="90" t="s">
        <v>3477</v>
      </c>
      <c r="Y118" s="89"/>
      <c r="Z118" s="89">
        <v>12</v>
      </c>
      <c r="AA118" s="89"/>
      <c r="AB118" s="89"/>
    </row>
    <row r="119" spans="1:28" s="31" customFormat="1" ht="60" customHeight="1" x14ac:dyDescent="0.2">
      <c r="A119" s="76">
        <v>118</v>
      </c>
      <c r="B119" s="77">
        <v>50000427</v>
      </c>
      <c r="C119" s="78" t="s">
        <v>368</v>
      </c>
      <c r="D119" s="79">
        <v>0.05</v>
      </c>
      <c r="E119" s="80">
        <v>30042034</v>
      </c>
      <c r="F119" s="81" t="s">
        <v>369</v>
      </c>
      <c r="G119" s="82" t="s">
        <v>370</v>
      </c>
      <c r="H119" s="82" t="s">
        <v>47</v>
      </c>
      <c r="I119" s="79" t="s">
        <v>2666</v>
      </c>
      <c r="J119" s="83">
        <v>170.15</v>
      </c>
      <c r="K119" s="83">
        <v>129.63809523809522</v>
      </c>
      <c r="L119" s="83">
        <v>118.83492063492061</v>
      </c>
      <c r="M119" s="84">
        <v>106.95142857142854</v>
      </c>
      <c r="N119" s="59">
        <f t="shared" si="1"/>
        <v>0.37142857142857166</v>
      </c>
      <c r="O119" s="85" t="s">
        <v>16</v>
      </c>
      <c r="P119" s="86" t="s">
        <v>2699</v>
      </c>
      <c r="Q119" s="87" t="s">
        <v>3208</v>
      </c>
      <c r="R119" s="87">
        <v>10</v>
      </c>
      <c r="S119" s="88">
        <v>17.015000000000001</v>
      </c>
      <c r="T119" s="88">
        <v>11.88349206349206</v>
      </c>
      <c r="U119" s="88">
        <v>10.695142857142853</v>
      </c>
      <c r="V119" s="87" t="s">
        <v>3061</v>
      </c>
      <c r="W119" s="87" t="s">
        <v>3102</v>
      </c>
      <c r="X119" s="90" t="s">
        <v>3477</v>
      </c>
      <c r="Y119" s="89"/>
      <c r="Z119" s="89">
        <v>12</v>
      </c>
      <c r="AA119" s="89"/>
      <c r="AB119" s="89"/>
    </row>
    <row r="120" spans="1:28" s="31" customFormat="1" ht="60" customHeight="1" x14ac:dyDescent="0.2">
      <c r="A120" s="76">
        <v>119</v>
      </c>
      <c r="B120" s="77">
        <v>50003063</v>
      </c>
      <c r="C120" s="78" t="s">
        <v>371</v>
      </c>
      <c r="D120" s="79">
        <v>0.05</v>
      </c>
      <c r="E120" s="80">
        <v>30049099</v>
      </c>
      <c r="F120" s="81" t="s">
        <v>372</v>
      </c>
      <c r="G120" s="82" t="s">
        <v>3305</v>
      </c>
      <c r="H120" s="82" t="s">
        <v>3752</v>
      </c>
      <c r="I120" s="79" t="s">
        <v>2666</v>
      </c>
      <c r="J120" s="83">
        <v>162.07</v>
      </c>
      <c r="K120" s="83">
        <v>123.48190476190476</v>
      </c>
      <c r="L120" s="83">
        <v>102.9015873015873</v>
      </c>
      <c r="M120" s="84">
        <v>92.61142857142859</v>
      </c>
      <c r="N120" s="59">
        <f t="shared" si="1"/>
        <v>0.42857142857142844</v>
      </c>
      <c r="O120" s="85" t="s">
        <v>16</v>
      </c>
      <c r="P120" s="86" t="s">
        <v>2742</v>
      </c>
      <c r="Q120" s="87" t="s">
        <v>3208</v>
      </c>
      <c r="R120" s="87">
        <v>10</v>
      </c>
      <c r="S120" s="88">
        <v>16.207000000000001</v>
      </c>
      <c r="T120" s="88">
        <v>10.29015873015873</v>
      </c>
      <c r="U120" s="88">
        <v>9.2611428571428593</v>
      </c>
      <c r="V120" s="87" t="s">
        <v>3061</v>
      </c>
      <c r="W120" s="87" t="s">
        <v>3105</v>
      </c>
      <c r="X120" s="90" t="s">
        <v>3477</v>
      </c>
      <c r="Y120" s="89"/>
      <c r="Z120" s="89">
        <v>12</v>
      </c>
      <c r="AA120" s="89"/>
      <c r="AB120" s="89"/>
    </row>
    <row r="121" spans="1:28" s="31" customFormat="1" ht="60" customHeight="1" x14ac:dyDescent="0.2">
      <c r="A121" s="76">
        <v>120</v>
      </c>
      <c r="B121" s="77">
        <v>50002426</v>
      </c>
      <c r="C121" s="78" t="s">
        <v>373</v>
      </c>
      <c r="D121" s="79">
        <v>0.05</v>
      </c>
      <c r="E121" s="80">
        <v>30049069</v>
      </c>
      <c r="F121" s="81" t="s">
        <v>374</v>
      </c>
      <c r="G121" s="82" t="s">
        <v>375</v>
      </c>
      <c r="H121" s="82" t="s">
        <v>3753</v>
      </c>
      <c r="I121" s="79" t="s">
        <v>2666</v>
      </c>
      <c r="J121" s="83">
        <v>99.5</v>
      </c>
      <c r="K121" s="83">
        <v>75.80952380952381</v>
      </c>
      <c r="L121" s="83">
        <v>69.492063492063494</v>
      </c>
      <c r="M121" s="84">
        <v>62.542857142857144</v>
      </c>
      <c r="N121" s="59">
        <f t="shared" si="1"/>
        <v>0.37142857142857139</v>
      </c>
      <c r="O121" s="85" t="s">
        <v>376</v>
      </c>
      <c r="P121" s="86" t="s">
        <v>377</v>
      </c>
      <c r="Q121" s="87" t="s">
        <v>3208</v>
      </c>
      <c r="R121" s="87">
        <v>10</v>
      </c>
      <c r="S121" s="88">
        <v>9.9499999999999993</v>
      </c>
      <c r="T121" s="88">
        <v>6.9492063492063494</v>
      </c>
      <c r="U121" s="88">
        <v>6.2542857142857144</v>
      </c>
      <c r="V121" s="87" t="s">
        <v>3061</v>
      </c>
      <c r="W121" s="87" t="s">
        <v>3105</v>
      </c>
      <c r="X121" s="90" t="s">
        <v>3477</v>
      </c>
      <c r="Y121" s="89"/>
      <c r="Z121" s="89">
        <v>4</v>
      </c>
      <c r="AA121" s="89"/>
      <c r="AB121" s="89"/>
    </row>
    <row r="122" spans="1:28" s="31" customFormat="1" ht="60" customHeight="1" x14ac:dyDescent="0.2">
      <c r="A122" s="76">
        <v>121</v>
      </c>
      <c r="B122" s="77">
        <v>50004942</v>
      </c>
      <c r="C122" s="78" t="s">
        <v>378</v>
      </c>
      <c r="D122" s="79">
        <v>0.05</v>
      </c>
      <c r="E122" s="80">
        <v>30045090</v>
      </c>
      <c r="F122" s="81" t="s">
        <v>379</v>
      </c>
      <c r="G122" s="82" t="s">
        <v>380</v>
      </c>
      <c r="H122" s="82" t="s">
        <v>3754</v>
      </c>
      <c r="I122" s="79" t="s">
        <v>2666</v>
      </c>
      <c r="J122" s="83">
        <v>111.26</v>
      </c>
      <c r="K122" s="83">
        <v>84.769523809523804</v>
      </c>
      <c r="L122" s="83">
        <v>70.641269841269832</v>
      </c>
      <c r="M122" s="84">
        <v>63.577142857142825</v>
      </c>
      <c r="N122" s="59">
        <f t="shared" si="1"/>
        <v>0.42857142857142888</v>
      </c>
      <c r="O122" s="85" t="s">
        <v>376</v>
      </c>
      <c r="P122" s="86" t="s">
        <v>2743</v>
      </c>
      <c r="Q122" s="87" t="s">
        <v>3208</v>
      </c>
      <c r="R122" s="87">
        <v>10</v>
      </c>
      <c r="S122" s="88">
        <v>11.126000000000001</v>
      </c>
      <c r="T122" s="88">
        <v>7.0641269841269834</v>
      </c>
      <c r="U122" s="88">
        <v>6.3577142857142821</v>
      </c>
      <c r="V122" s="87" t="s">
        <v>3061</v>
      </c>
      <c r="W122" s="87" t="s">
        <v>3108</v>
      </c>
      <c r="X122" s="90" t="s">
        <v>3477</v>
      </c>
      <c r="Y122" s="89"/>
      <c r="Z122" s="89">
        <v>6</v>
      </c>
      <c r="AA122" s="89" t="s">
        <v>3207</v>
      </c>
      <c r="AB122" s="89"/>
    </row>
    <row r="123" spans="1:28" s="31" customFormat="1" ht="60" customHeight="1" x14ac:dyDescent="0.2">
      <c r="A123" s="76">
        <v>122</v>
      </c>
      <c r="B123" s="77">
        <v>50003075</v>
      </c>
      <c r="C123" s="78" t="s">
        <v>381</v>
      </c>
      <c r="D123" s="79">
        <v>0.05</v>
      </c>
      <c r="E123" s="80">
        <v>30045036</v>
      </c>
      <c r="F123" s="81" t="s">
        <v>382</v>
      </c>
      <c r="G123" s="82" t="s">
        <v>383</v>
      </c>
      <c r="H123" s="82" t="s">
        <v>384</v>
      </c>
      <c r="I123" s="79" t="s">
        <v>2744</v>
      </c>
      <c r="J123" s="83">
        <v>36.28</v>
      </c>
      <c r="K123" s="83">
        <v>27.641904761904762</v>
      </c>
      <c r="L123" s="83">
        <v>23.034920634920635</v>
      </c>
      <c r="M123" s="84">
        <v>20.731428571428573</v>
      </c>
      <c r="N123" s="59">
        <f t="shared" si="1"/>
        <v>0.42857142857142855</v>
      </c>
      <c r="O123" s="85" t="s">
        <v>376</v>
      </c>
      <c r="P123" s="86" t="s">
        <v>2745</v>
      </c>
      <c r="Q123" s="87" t="s">
        <v>3207</v>
      </c>
      <c r="R123" s="87">
        <v>1</v>
      </c>
      <c r="S123" s="88">
        <v>36.28</v>
      </c>
      <c r="T123" s="88">
        <v>23.034920634920635</v>
      </c>
      <c r="U123" s="88">
        <v>20.731428571428573</v>
      </c>
      <c r="V123" s="87" t="s">
        <v>3064</v>
      </c>
      <c r="W123" s="87" t="s">
        <v>3108</v>
      </c>
      <c r="X123" s="90" t="s">
        <v>3489</v>
      </c>
      <c r="Y123" s="89"/>
      <c r="Z123" s="89">
        <v>8</v>
      </c>
      <c r="AA123" s="89" t="s">
        <v>3207</v>
      </c>
      <c r="AB123" s="89"/>
    </row>
    <row r="124" spans="1:28" s="31" customFormat="1" ht="60" customHeight="1" x14ac:dyDescent="0.2">
      <c r="A124" s="76">
        <v>123</v>
      </c>
      <c r="B124" s="77">
        <v>50005643</v>
      </c>
      <c r="C124" s="78" t="s">
        <v>4149</v>
      </c>
      <c r="D124" s="79">
        <v>0.05</v>
      </c>
      <c r="E124" s="80">
        <v>30045036</v>
      </c>
      <c r="F124" s="81" t="s">
        <v>4150</v>
      </c>
      <c r="G124" s="82" t="s">
        <v>4151</v>
      </c>
      <c r="H124" s="82" t="s">
        <v>4152</v>
      </c>
      <c r="I124" s="79" t="s">
        <v>2708</v>
      </c>
      <c r="J124" s="83">
        <v>73.69</v>
      </c>
      <c r="K124" s="83">
        <v>56.1447619047619</v>
      </c>
      <c r="L124" s="83">
        <v>51.466031746031746</v>
      </c>
      <c r="M124" s="84">
        <v>46.787301587301585</v>
      </c>
      <c r="N124" s="59">
        <f t="shared" si="1"/>
        <v>0.36507936507936511</v>
      </c>
      <c r="O124" s="85" t="s">
        <v>376</v>
      </c>
      <c r="P124" s="86" t="s">
        <v>3304</v>
      </c>
      <c r="Q124" s="87" t="s">
        <v>3208</v>
      </c>
      <c r="R124" s="87">
        <v>1</v>
      </c>
      <c r="S124" s="88">
        <v>73.69</v>
      </c>
      <c r="T124" s="88">
        <v>51.466031746031746</v>
      </c>
      <c r="U124" s="88">
        <v>46.787301587301585</v>
      </c>
      <c r="V124" s="87" t="s">
        <v>3062</v>
      </c>
      <c r="W124" s="87" t="s">
        <v>3108</v>
      </c>
      <c r="X124" s="90" t="s">
        <v>3561</v>
      </c>
      <c r="Y124" s="89"/>
      <c r="Z124" s="89"/>
      <c r="AA124" s="89" t="s">
        <v>3207</v>
      </c>
      <c r="AB124" s="89"/>
    </row>
    <row r="125" spans="1:28" s="31" customFormat="1" ht="60" customHeight="1" x14ac:dyDescent="0.2">
      <c r="A125" s="76">
        <v>124</v>
      </c>
      <c r="B125" s="77">
        <v>50000345</v>
      </c>
      <c r="C125" s="78" t="s">
        <v>386</v>
      </c>
      <c r="D125" s="79">
        <v>0.05</v>
      </c>
      <c r="E125" s="80">
        <v>30049099</v>
      </c>
      <c r="F125" s="81" t="s">
        <v>387</v>
      </c>
      <c r="G125" s="82" t="s">
        <v>388</v>
      </c>
      <c r="H125" s="82" t="s">
        <v>3755</v>
      </c>
      <c r="I125" s="79" t="s">
        <v>2693</v>
      </c>
      <c r="J125" s="83">
        <v>175.2</v>
      </c>
      <c r="K125" s="83">
        <v>133.48571428571429</v>
      </c>
      <c r="L125" s="83">
        <v>111.23809523809524</v>
      </c>
      <c r="M125" s="84">
        <v>100.11428571428573</v>
      </c>
      <c r="N125" s="59">
        <f t="shared" si="1"/>
        <v>0.42857142857142844</v>
      </c>
      <c r="O125" s="85" t="s">
        <v>376</v>
      </c>
      <c r="P125" s="86" t="s">
        <v>2746</v>
      </c>
      <c r="Q125" s="87" t="s">
        <v>3208</v>
      </c>
      <c r="R125" s="87">
        <v>10</v>
      </c>
      <c r="S125" s="88">
        <v>17.52</v>
      </c>
      <c r="T125" s="88">
        <v>11.123809523809523</v>
      </c>
      <c r="U125" s="88">
        <v>10.011428571428572</v>
      </c>
      <c r="V125" s="87" t="s">
        <v>3061</v>
      </c>
      <c r="W125" s="87" t="s">
        <v>3106</v>
      </c>
      <c r="X125" s="90" t="s">
        <v>3478</v>
      </c>
      <c r="Y125" s="89"/>
      <c r="Z125" s="89">
        <v>6</v>
      </c>
      <c r="AA125" s="89" t="s">
        <v>3207</v>
      </c>
      <c r="AB125" s="89"/>
    </row>
    <row r="126" spans="1:28" s="31" customFormat="1" ht="60" customHeight="1" x14ac:dyDescent="0.2">
      <c r="A126" s="76">
        <v>125</v>
      </c>
      <c r="B126" s="77">
        <v>50002001</v>
      </c>
      <c r="C126" s="78" t="s">
        <v>389</v>
      </c>
      <c r="D126" s="79">
        <v>0.05</v>
      </c>
      <c r="E126" s="80">
        <v>30049099</v>
      </c>
      <c r="F126" s="81" t="s">
        <v>390</v>
      </c>
      <c r="G126" s="82" t="s">
        <v>391</v>
      </c>
      <c r="H126" s="82" t="s">
        <v>3756</v>
      </c>
      <c r="I126" s="79" t="s">
        <v>2687</v>
      </c>
      <c r="J126" s="83">
        <v>193.4</v>
      </c>
      <c r="K126" s="83">
        <v>147.35238095238097</v>
      </c>
      <c r="L126" s="83">
        <v>135.07301587301589</v>
      </c>
      <c r="M126" s="84">
        <v>121.56571428571429</v>
      </c>
      <c r="N126" s="59">
        <f t="shared" si="1"/>
        <v>0.37142857142857139</v>
      </c>
      <c r="O126" s="85" t="s">
        <v>376</v>
      </c>
      <c r="P126" s="86" t="s">
        <v>123</v>
      </c>
      <c r="Q126" s="87" t="s">
        <v>3208</v>
      </c>
      <c r="R126" s="87">
        <v>1</v>
      </c>
      <c r="S126" s="88">
        <v>193.4</v>
      </c>
      <c r="T126" s="88">
        <v>135.07301587301589</v>
      </c>
      <c r="U126" s="88">
        <v>121.56571428571429</v>
      </c>
      <c r="V126" s="87" t="s">
        <v>3062</v>
      </c>
      <c r="W126" s="87" t="s">
        <v>3108</v>
      </c>
      <c r="X126" s="90" t="s">
        <v>3480</v>
      </c>
      <c r="Y126" s="89"/>
      <c r="Z126" s="89">
        <v>1</v>
      </c>
      <c r="AA126" s="89" t="s">
        <v>3207</v>
      </c>
      <c r="AB126" s="89"/>
    </row>
    <row r="127" spans="1:28" s="31" customFormat="1" ht="60" customHeight="1" x14ac:dyDescent="0.2">
      <c r="A127" s="76">
        <v>126</v>
      </c>
      <c r="B127" s="77">
        <v>50004695</v>
      </c>
      <c r="C127" s="78" t="s">
        <v>392</v>
      </c>
      <c r="D127" s="79">
        <v>0.05</v>
      </c>
      <c r="E127" s="80">
        <v>30049099</v>
      </c>
      <c r="F127" s="81" t="s">
        <v>3148</v>
      </c>
      <c r="G127" s="82" t="s">
        <v>394</v>
      </c>
      <c r="H127" s="82" t="s">
        <v>3757</v>
      </c>
      <c r="I127" s="79" t="s">
        <v>2687</v>
      </c>
      <c r="J127" s="83">
        <v>159.36000000000001</v>
      </c>
      <c r="K127" s="83">
        <v>121.41714285714288</v>
      </c>
      <c r="L127" s="83">
        <v>101.18095238095241</v>
      </c>
      <c r="M127" s="84">
        <v>99.018651748251798</v>
      </c>
      <c r="N127" s="59">
        <f t="shared" si="1"/>
        <v>0.37864801864801839</v>
      </c>
      <c r="O127" s="85" t="s">
        <v>376</v>
      </c>
      <c r="P127" s="86" t="s">
        <v>2747</v>
      </c>
      <c r="Q127" s="87" t="s">
        <v>3208</v>
      </c>
      <c r="R127" s="87">
        <v>1</v>
      </c>
      <c r="S127" s="88">
        <v>159.36000000000001</v>
      </c>
      <c r="T127" s="88">
        <v>101.18095238095241</v>
      </c>
      <c r="U127" s="88">
        <v>99.018651748251798</v>
      </c>
      <c r="V127" s="87" t="s">
        <v>3062</v>
      </c>
      <c r="W127" s="87" t="s">
        <v>3108</v>
      </c>
      <c r="X127" s="90" t="s">
        <v>3484</v>
      </c>
      <c r="Y127" s="89"/>
      <c r="Z127" s="89">
        <v>1</v>
      </c>
      <c r="AA127" s="89" t="s">
        <v>3207</v>
      </c>
      <c r="AB127" s="89" t="s">
        <v>4672</v>
      </c>
    </row>
    <row r="128" spans="1:28" s="31" customFormat="1" ht="60" customHeight="1" x14ac:dyDescent="0.2">
      <c r="A128" s="76">
        <v>127</v>
      </c>
      <c r="B128" s="77">
        <v>50003821</v>
      </c>
      <c r="C128" s="78" t="s">
        <v>395</v>
      </c>
      <c r="D128" s="79">
        <v>0.05</v>
      </c>
      <c r="E128" s="80">
        <v>30049029</v>
      </c>
      <c r="F128" s="81" t="s">
        <v>396</v>
      </c>
      <c r="G128" s="82" t="s">
        <v>397</v>
      </c>
      <c r="H128" s="82" t="s">
        <v>323</v>
      </c>
      <c r="I128" s="79" t="s">
        <v>2693</v>
      </c>
      <c r="J128" s="83">
        <v>137.9</v>
      </c>
      <c r="K128" s="83">
        <v>105.06666666666668</v>
      </c>
      <c r="L128" s="83">
        <v>80.551111111111126</v>
      </c>
      <c r="M128" s="84">
        <v>80.551111111111112</v>
      </c>
      <c r="N128" s="59">
        <f t="shared" si="1"/>
        <v>0.41587301587301589</v>
      </c>
      <c r="O128" s="85" t="s">
        <v>376</v>
      </c>
      <c r="P128" s="86" t="s">
        <v>2729</v>
      </c>
      <c r="Q128" s="87" t="s">
        <v>3207</v>
      </c>
      <c r="R128" s="87">
        <v>10</v>
      </c>
      <c r="S128" s="88">
        <v>13.790000000000001</v>
      </c>
      <c r="T128" s="88">
        <v>8.0551111111111133</v>
      </c>
      <c r="U128" s="88">
        <v>8.0551111111111116</v>
      </c>
      <c r="V128" s="87" t="s">
        <v>3061</v>
      </c>
      <c r="W128" s="87" t="s">
        <v>3104</v>
      </c>
      <c r="X128" s="90" t="s">
        <v>3478</v>
      </c>
      <c r="Y128" s="89"/>
      <c r="Z128" s="89">
        <v>6</v>
      </c>
      <c r="AA128" s="89" t="s">
        <v>3207</v>
      </c>
      <c r="AB128" s="89"/>
    </row>
    <row r="129" spans="1:28" s="31" customFormat="1" ht="60" customHeight="1" x14ac:dyDescent="0.2">
      <c r="A129" s="76">
        <v>128</v>
      </c>
      <c r="B129" s="77">
        <v>50003820</v>
      </c>
      <c r="C129" s="78" t="s">
        <v>398</v>
      </c>
      <c r="D129" s="79">
        <v>0.05</v>
      </c>
      <c r="E129" s="80">
        <v>30049029</v>
      </c>
      <c r="F129" s="81" t="s">
        <v>399</v>
      </c>
      <c r="G129" s="82" t="s">
        <v>400</v>
      </c>
      <c r="H129" s="82" t="s">
        <v>246</v>
      </c>
      <c r="I129" s="79" t="s">
        <v>2693</v>
      </c>
      <c r="J129" s="83">
        <v>236.25</v>
      </c>
      <c r="K129" s="83">
        <v>180</v>
      </c>
      <c r="L129" s="83">
        <v>138</v>
      </c>
      <c r="M129" s="84">
        <v>138</v>
      </c>
      <c r="N129" s="59">
        <f t="shared" si="1"/>
        <v>0.41587301587301589</v>
      </c>
      <c r="O129" s="85" t="s">
        <v>376</v>
      </c>
      <c r="P129" s="86" t="s">
        <v>2732</v>
      </c>
      <c r="Q129" s="87" t="s">
        <v>3207</v>
      </c>
      <c r="R129" s="87">
        <v>10</v>
      </c>
      <c r="S129" s="88">
        <v>23.625</v>
      </c>
      <c r="T129" s="88">
        <v>13.8</v>
      </c>
      <c r="U129" s="88">
        <v>13.8</v>
      </c>
      <c r="V129" s="87" t="s">
        <v>3061</v>
      </c>
      <c r="W129" s="87" t="s">
        <v>3104</v>
      </c>
      <c r="X129" s="90" t="s">
        <v>3478</v>
      </c>
      <c r="Y129" s="89"/>
      <c r="Z129" s="89">
        <v>6</v>
      </c>
      <c r="AA129" s="89" t="s">
        <v>3207</v>
      </c>
      <c r="AB129" s="89"/>
    </row>
    <row r="130" spans="1:28" s="31" customFormat="1" ht="60" customHeight="1" x14ac:dyDescent="0.2">
      <c r="A130" s="76">
        <v>129</v>
      </c>
      <c r="B130" s="77">
        <v>50005928</v>
      </c>
      <c r="C130" s="78" t="s">
        <v>4220</v>
      </c>
      <c r="D130" s="79">
        <v>0.05</v>
      </c>
      <c r="E130" s="80">
        <v>30049029</v>
      </c>
      <c r="F130" s="81" t="s">
        <v>4232</v>
      </c>
      <c r="G130" s="82" t="s">
        <v>628</v>
      </c>
      <c r="H130" s="82" t="s">
        <v>629</v>
      </c>
      <c r="I130" s="79" t="s">
        <v>4245</v>
      </c>
      <c r="J130" s="83">
        <v>85.31</v>
      </c>
      <c r="K130" s="83">
        <v>64.998095238095246</v>
      </c>
      <c r="L130" s="83">
        <v>54.165079365079372</v>
      </c>
      <c r="M130" s="84">
        <v>53.948419047619048</v>
      </c>
      <c r="N130" s="59">
        <f t="shared" ref="N130:N193" si="2">(J130-M130)/J130</f>
        <v>0.36761904761904762</v>
      </c>
      <c r="O130" s="85" t="s">
        <v>376</v>
      </c>
      <c r="P130" s="86" t="s">
        <v>4655</v>
      </c>
      <c r="Q130" s="87" t="s">
        <v>3208</v>
      </c>
      <c r="R130" s="87">
        <v>1</v>
      </c>
      <c r="S130" s="88">
        <v>85.31</v>
      </c>
      <c r="T130" s="88">
        <v>54.165079365079372</v>
      </c>
      <c r="U130" s="88">
        <v>53.948419047619048</v>
      </c>
      <c r="V130" s="87" t="s">
        <v>3062</v>
      </c>
      <c r="W130" s="87" t="s">
        <v>3104</v>
      </c>
      <c r="X130" s="90" t="s">
        <v>3490</v>
      </c>
      <c r="Y130" s="89"/>
      <c r="Z130" s="89"/>
      <c r="AA130" s="89"/>
      <c r="AB130" s="89"/>
    </row>
    <row r="131" spans="1:28" s="31" customFormat="1" ht="60" customHeight="1" x14ac:dyDescent="0.2">
      <c r="A131" s="76">
        <v>130</v>
      </c>
      <c r="B131" s="77">
        <v>50003920</v>
      </c>
      <c r="C131" s="78" t="s">
        <v>403</v>
      </c>
      <c r="D131" s="79">
        <v>0.05</v>
      </c>
      <c r="E131" s="80">
        <v>30049029</v>
      </c>
      <c r="F131" s="81" t="s">
        <v>404</v>
      </c>
      <c r="G131" s="82" t="s">
        <v>405</v>
      </c>
      <c r="H131" s="82" t="s">
        <v>406</v>
      </c>
      <c r="I131" s="79" t="s">
        <v>2693</v>
      </c>
      <c r="J131" s="83">
        <v>271.20999999999998</v>
      </c>
      <c r="K131" s="83">
        <v>206.63619047619045</v>
      </c>
      <c r="L131" s="83">
        <v>189.41650793650788</v>
      </c>
      <c r="M131" s="84">
        <v>172.41961208189198</v>
      </c>
      <c r="N131" s="59">
        <f t="shared" si="2"/>
        <v>0.36425791054204493</v>
      </c>
      <c r="O131" s="85" t="s">
        <v>376</v>
      </c>
      <c r="P131" s="86" t="s">
        <v>4216</v>
      </c>
      <c r="Q131" s="87" t="s">
        <v>3208</v>
      </c>
      <c r="R131" s="87">
        <v>10</v>
      </c>
      <c r="S131" s="88">
        <v>27.120999999999999</v>
      </c>
      <c r="T131" s="88">
        <v>18.941650793650787</v>
      </c>
      <c r="U131" s="88">
        <v>17.241961208189199</v>
      </c>
      <c r="V131" s="87" t="s">
        <v>3061</v>
      </c>
      <c r="W131" s="87" t="s">
        <v>3104</v>
      </c>
      <c r="X131" s="90" t="s">
        <v>3478</v>
      </c>
      <c r="Y131" s="89"/>
      <c r="Z131" s="89">
        <v>3</v>
      </c>
      <c r="AA131" s="89" t="s">
        <v>3207</v>
      </c>
      <c r="AB131" s="89"/>
    </row>
    <row r="132" spans="1:28" s="31" customFormat="1" ht="60" customHeight="1" x14ac:dyDescent="0.2">
      <c r="A132" s="76">
        <v>131</v>
      </c>
      <c r="B132" s="77">
        <v>50004847</v>
      </c>
      <c r="C132" s="78" t="s">
        <v>407</v>
      </c>
      <c r="D132" s="79">
        <v>0.05</v>
      </c>
      <c r="E132" s="80">
        <v>30049099</v>
      </c>
      <c r="F132" s="81" t="s">
        <v>408</v>
      </c>
      <c r="G132" s="82" t="s">
        <v>409</v>
      </c>
      <c r="H132" s="82" t="s">
        <v>3758</v>
      </c>
      <c r="I132" s="79" t="s">
        <v>2682</v>
      </c>
      <c r="J132" s="83">
        <v>174.54</v>
      </c>
      <c r="K132" s="83">
        <v>132.98285714285714</v>
      </c>
      <c r="L132" s="83">
        <v>88.65523809523809</v>
      </c>
      <c r="M132" s="84">
        <v>88.655238095238104</v>
      </c>
      <c r="N132" s="59">
        <f t="shared" si="2"/>
        <v>0.49206349206349198</v>
      </c>
      <c r="O132" s="85" t="s">
        <v>376</v>
      </c>
      <c r="P132" s="86" t="s">
        <v>4737</v>
      </c>
      <c r="Q132" s="87" t="s">
        <v>3208</v>
      </c>
      <c r="R132" s="87">
        <v>1</v>
      </c>
      <c r="S132" s="88">
        <v>174.54</v>
      </c>
      <c r="T132" s="88">
        <v>88.65523809523809</v>
      </c>
      <c r="U132" s="88">
        <v>88.655238095238104</v>
      </c>
      <c r="V132" s="87" t="s">
        <v>3062</v>
      </c>
      <c r="W132" s="87" t="s">
        <v>3103</v>
      </c>
      <c r="X132" s="90" t="s">
        <v>3480</v>
      </c>
      <c r="Y132" s="89"/>
      <c r="Z132" s="89">
        <v>1</v>
      </c>
      <c r="AA132" s="89"/>
      <c r="AB132" s="89"/>
    </row>
    <row r="133" spans="1:28" s="31" customFormat="1" ht="60" customHeight="1" x14ac:dyDescent="0.2">
      <c r="A133" s="76">
        <v>132</v>
      </c>
      <c r="B133" s="77">
        <v>50004823</v>
      </c>
      <c r="C133" s="78" t="s">
        <v>410</v>
      </c>
      <c r="D133" s="79">
        <v>0.05</v>
      </c>
      <c r="E133" s="80">
        <v>30049099</v>
      </c>
      <c r="F133" s="81" t="s">
        <v>411</v>
      </c>
      <c r="G133" s="82" t="s">
        <v>412</v>
      </c>
      <c r="H133" s="82" t="s">
        <v>3759</v>
      </c>
      <c r="I133" s="79" t="s">
        <v>2682</v>
      </c>
      <c r="J133" s="83">
        <v>113.43</v>
      </c>
      <c r="K133" s="83">
        <v>86.42285714285714</v>
      </c>
      <c r="L133" s="83">
        <v>66.617619047619044</v>
      </c>
      <c r="M133" s="84">
        <v>63.286738095238071</v>
      </c>
      <c r="N133" s="59">
        <f t="shared" si="2"/>
        <v>0.44206349206349232</v>
      </c>
      <c r="O133" s="85" t="s">
        <v>376</v>
      </c>
      <c r="P133" s="86" t="s">
        <v>2747</v>
      </c>
      <c r="Q133" s="87" t="s">
        <v>3208</v>
      </c>
      <c r="R133" s="87">
        <v>1</v>
      </c>
      <c r="S133" s="88">
        <v>113.43</v>
      </c>
      <c r="T133" s="88">
        <v>66.617619047619044</v>
      </c>
      <c r="U133" s="88">
        <v>63.286738095238071</v>
      </c>
      <c r="V133" s="87" t="s">
        <v>3062</v>
      </c>
      <c r="W133" s="87" t="s">
        <v>3103</v>
      </c>
      <c r="X133" s="90" t="s">
        <v>3480</v>
      </c>
      <c r="Y133" s="89"/>
      <c r="Z133" s="89">
        <v>1</v>
      </c>
      <c r="AA133" s="89"/>
      <c r="AB133" s="89"/>
    </row>
    <row r="134" spans="1:28" s="31" customFormat="1" ht="60" customHeight="1" x14ac:dyDescent="0.2">
      <c r="A134" s="76">
        <v>133</v>
      </c>
      <c r="B134" s="77">
        <v>50004824</v>
      </c>
      <c r="C134" s="78" t="s">
        <v>413</v>
      </c>
      <c r="D134" s="79">
        <v>0.05</v>
      </c>
      <c r="E134" s="80">
        <v>30049099</v>
      </c>
      <c r="F134" s="81" t="s">
        <v>414</v>
      </c>
      <c r="G134" s="82" t="s">
        <v>412</v>
      </c>
      <c r="H134" s="82" t="s">
        <v>3760</v>
      </c>
      <c r="I134" s="79" t="s">
        <v>2666</v>
      </c>
      <c r="J134" s="83">
        <v>71.239999999999995</v>
      </c>
      <c r="K134" s="83">
        <v>54.278095238095226</v>
      </c>
      <c r="L134" s="83">
        <v>45.231746031746027</v>
      </c>
      <c r="M134" s="84">
        <v>40.708571428571425</v>
      </c>
      <c r="N134" s="59">
        <f t="shared" si="2"/>
        <v>0.4285714285714286</v>
      </c>
      <c r="O134" s="85" t="s">
        <v>376</v>
      </c>
      <c r="P134" s="86" t="s">
        <v>2681</v>
      </c>
      <c r="Q134" s="87" t="s">
        <v>3208</v>
      </c>
      <c r="R134" s="87">
        <v>10</v>
      </c>
      <c r="S134" s="88">
        <v>7.1239999999999997</v>
      </c>
      <c r="T134" s="88">
        <v>4.5231746031746027</v>
      </c>
      <c r="U134" s="88">
        <v>4.0708571428571423</v>
      </c>
      <c r="V134" s="87" t="s">
        <v>3061</v>
      </c>
      <c r="W134" s="87" t="s">
        <v>3103</v>
      </c>
      <c r="X134" s="90" t="s">
        <v>3477</v>
      </c>
      <c r="Y134" s="89"/>
      <c r="Z134" s="89">
        <v>10</v>
      </c>
      <c r="AA134" s="89"/>
      <c r="AB134" s="89"/>
    </row>
    <row r="135" spans="1:28" s="31" customFormat="1" ht="60" customHeight="1" x14ac:dyDescent="0.2">
      <c r="A135" s="76">
        <v>134</v>
      </c>
      <c r="B135" s="77">
        <v>50004822</v>
      </c>
      <c r="C135" s="78" t="s">
        <v>415</v>
      </c>
      <c r="D135" s="79">
        <v>0.05</v>
      </c>
      <c r="E135" s="80">
        <v>30049099</v>
      </c>
      <c r="F135" s="81" t="s">
        <v>416</v>
      </c>
      <c r="G135" s="82" t="s">
        <v>417</v>
      </c>
      <c r="H135" s="82" t="s">
        <v>3761</v>
      </c>
      <c r="I135" s="79" t="s">
        <v>3140</v>
      </c>
      <c r="J135" s="83">
        <v>72.08</v>
      </c>
      <c r="K135" s="83">
        <v>54.918095238095233</v>
      </c>
      <c r="L135" s="83">
        <v>45.765079365079366</v>
      </c>
      <c r="M135" s="84">
        <v>44.288786482334871</v>
      </c>
      <c r="N135" s="59">
        <f t="shared" si="2"/>
        <v>0.38556067588325649</v>
      </c>
      <c r="O135" s="85" t="s">
        <v>376</v>
      </c>
      <c r="P135" s="86" t="s">
        <v>123</v>
      </c>
      <c r="Q135" s="87" t="s">
        <v>3208</v>
      </c>
      <c r="R135" s="87">
        <v>1</v>
      </c>
      <c r="S135" s="88">
        <v>72.08</v>
      </c>
      <c r="T135" s="88">
        <v>45.765079365079366</v>
      </c>
      <c r="U135" s="88">
        <v>44.288786482334871</v>
      </c>
      <c r="V135" s="87" t="s">
        <v>3062</v>
      </c>
      <c r="W135" s="87" t="s">
        <v>3103</v>
      </c>
      <c r="X135" s="90" t="s">
        <v>3480</v>
      </c>
      <c r="Y135" s="89"/>
      <c r="Z135" s="89">
        <v>1</v>
      </c>
      <c r="AA135" s="89"/>
      <c r="AB135" s="89" t="s">
        <v>4613</v>
      </c>
    </row>
    <row r="136" spans="1:28" s="31" customFormat="1" ht="60" customHeight="1" x14ac:dyDescent="0.2">
      <c r="A136" s="76">
        <v>135</v>
      </c>
      <c r="B136" s="77">
        <v>50000272</v>
      </c>
      <c r="C136" s="78" t="s">
        <v>418</v>
      </c>
      <c r="D136" s="79">
        <v>0.05</v>
      </c>
      <c r="E136" s="80">
        <v>30042097</v>
      </c>
      <c r="F136" s="81" t="s">
        <v>419</v>
      </c>
      <c r="G136" s="82" t="s">
        <v>420</v>
      </c>
      <c r="H136" s="82" t="s">
        <v>421</v>
      </c>
      <c r="I136" s="79" t="s">
        <v>2678</v>
      </c>
      <c r="J136" s="83">
        <v>74.86</v>
      </c>
      <c r="K136" s="83">
        <v>57.03619047619047</v>
      </c>
      <c r="L136" s="83">
        <v>57.03619047619047</v>
      </c>
      <c r="M136" s="84">
        <v>51.332571428571427</v>
      </c>
      <c r="N136" s="59">
        <f t="shared" si="2"/>
        <v>0.31428571428571428</v>
      </c>
      <c r="O136" s="85" t="s">
        <v>376</v>
      </c>
      <c r="P136" s="86" t="s">
        <v>319</v>
      </c>
      <c r="Q136" s="87" t="s">
        <v>3208</v>
      </c>
      <c r="R136" s="87">
        <v>1</v>
      </c>
      <c r="S136" s="88">
        <v>74.86</v>
      </c>
      <c r="T136" s="88">
        <v>57.03619047619047</v>
      </c>
      <c r="U136" s="88">
        <v>51.332571428571427</v>
      </c>
      <c r="V136" s="87" t="s">
        <v>3062</v>
      </c>
      <c r="W136" s="87" t="s">
        <v>3105</v>
      </c>
      <c r="X136" s="90" t="s">
        <v>3480</v>
      </c>
      <c r="Y136" s="89"/>
      <c r="Z136" s="89">
        <v>1</v>
      </c>
      <c r="AA136" s="89"/>
      <c r="AB136" s="89" t="s">
        <v>4613</v>
      </c>
    </row>
    <row r="137" spans="1:28" s="31" customFormat="1" ht="60" customHeight="1" x14ac:dyDescent="0.2">
      <c r="A137" s="76">
        <v>136</v>
      </c>
      <c r="B137" s="77">
        <v>50000154</v>
      </c>
      <c r="C137" s="78" t="s">
        <v>422</v>
      </c>
      <c r="D137" s="79">
        <v>0.05</v>
      </c>
      <c r="E137" s="80">
        <v>30042097</v>
      </c>
      <c r="F137" s="81" t="s">
        <v>423</v>
      </c>
      <c r="G137" s="82" t="s">
        <v>424</v>
      </c>
      <c r="H137" s="82" t="s">
        <v>425</v>
      </c>
      <c r="I137" s="79" t="s">
        <v>2678</v>
      </c>
      <c r="J137" s="83">
        <v>99.58</v>
      </c>
      <c r="K137" s="83">
        <v>75.870476190476182</v>
      </c>
      <c r="L137" s="83">
        <v>75.870476190476182</v>
      </c>
      <c r="M137" s="84">
        <v>68.283428571428558</v>
      </c>
      <c r="N137" s="59">
        <f t="shared" si="2"/>
        <v>0.31428571428571439</v>
      </c>
      <c r="O137" s="85" t="s">
        <v>376</v>
      </c>
      <c r="P137" s="86" t="s">
        <v>319</v>
      </c>
      <c r="Q137" s="87" t="s">
        <v>3208</v>
      </c>
      <c r="R137" s="87">
        <v>1</v>
      </c>
      <c r="S137" s="88">
        <v>99.58</v>
      </c>
      <c r="T137" s="88">
        <v>75.870476190476182</v>
      </c>
      <c r="U137" s="88">
        <v>68.283428571428558</v>
      </c>
      <c r="V137" s="87" t="s">
        <v>3062</v>
      </c>
      <c r="W137" s="87" t="s">
        <v>3105</v>
      </c>
      <c r="X137" s="90" t="s">
        <v>3480</v>
      </c>
      <c r="Y137" s="89"/>
      <c r="Z137" s="89">
        <v>1</v>
      </c>
      <c r="AA137" s="89"/>
      <c r="AB137" s="89"/>
    </row>
    <row r="138" spans="1:28" s="31" customFormat="1" ht="60" customHeight="1" x14ac:dyDescent="0.2">
      <c r="A138" s="76">
        <v>137</v>
      </c>
      <c r="B138" s="77">
        <v>50002209</v>
      </c>
      <c r="C138" s="78" t="s">
        <v>426</v>
      </c>
      <c r="D138" s="79">
        <v>0.05</v>
      </c>
      <c r="E138" s="80">
        <v>30049066</v>
      </c>
      <c r="F138" s="81" t="s">
        <v>427</v>
      </c>
      <c r="G138" s="82" t="s">
        <v>428</v>
      </c>
      <c r="H138" s="82" t="s">
        <v>429</v>
      </c>
      <c r="I138" s="79" t="s">
        <v>2711</v>
      </c>
      <c r="J138" s="83">
        <v>41</v>
      </c>
      <c r="K138" s="83">
        <v>31.238095238095241</v>
      </c>
      <c r="L138" s="83">
        <v>15.61904761904762</v>
      </c>
      <c r="M138" s="84">
        <v>14.838095238095233</v>
      </c>
      <c r="N138" s="59">
        <f t="shared" si="2"/>
        <v>0.63809523809523816</v>
      </c>
      <c r="O138" s="85" t="s">
        <v>376</v>
      </c>
      <c r="P138" s="86" t="s">
        <v>4656</v>
      </c>
      <c r="Q138" s="87" t="s">
        <v>3208</v>
      </c>
      <c r="R138" s="87">
        <v>1</v>
      </c>
      <c r="S138" s="88">
        <v>41</v>
      </c>
      <c r="T138" s="88">
        <v>15.61904761904762</v>
      </c>
      <c r="U138" s="88">
        <v>14.838095238095233</v>
      </c>
      <c r="V138" s="87" t="s">
        <v>3065</v>
      </c>
      <c r="W138" s="87" t="s">
        <v>3106</v>
      </c>
      <c r="X138" s="90" t="s">
        <v>3479</v>
      </c>
      <c r="Y138" s="89"/>
      <c r="Z138" s="89">
        <v>60</v>
      </c>
      <c r="AA138" s="89"/>
      <c r="AB138" s="89"/>
    </row>
    <row r="139" spans="1:28" s="31" customFormat="1" ht="60" customHeight="1" x14ac:dyDescent="0.2">
      <c r="A139" s="76">
        <v>138</v>
      </c>
      <c r="B139" s="77">
        <v>50003221</v>
      </c>
      <c r="C139" s="78" t="s">
        <v>430</v>
      </c>
      <c r="D139" s="79">
        <v>0.05</v>
      </c>
      <c r="E139" s="80">
        <v>30049069</v>
      </c>
      <c r="F139" s="81" t="s">
        <v>431</v>
      </c>
      <c r="G139" s="82" t="s">
        <v>432</v>
      </c>
      <c r="H139" s="82" t="s">
        <v>3729</v>
      </c>
      <c r="I139" s="79" t="s">
        <v>2663</v>
      </c>
      <c r="J139" s="83">
        <v>85.35</v>
      </c>
      <c r="K139" s="83">
        <v>65.028571428571439</v>
      </c>
      <c r="L139" s="83">
        <v>43.352380952380962</v>
      </c>
      <c r="M139" s="84">
        <v>41.184761904761906</v>
      </c>
      <c r="N139" s="59">
        <f t="shared" si="2"/>
        <v>0.5174603174603174</v>
      </c>
      <c r="O139" s="85" t="s">
        <v>376</v>
      </c>
      <c r="P139" s="86" t="s">
        <v>37</v>
      </c>
      <c r="Q139" s="87" t="s">
        <v>3208</v>
      </c>
      <c r="R139" s="87">
        <v>15</v>
      </c>
      <c r="S139" s="88">
        <v>5.6899999999999995</v>
      </c>
      <c r="T139" s="88">
        <v>2.8901587301587308</v>
      </c>
      <c r="U139" s="88">
        <v>2.7456507936507939</v>
      </c>
      <c r="V139" s="87" t="s">
        <v>3061</v>
      </c>
      <c r="W139" s="87" t="s">
        <v>3106</v>
      </c>
      <c r="X139" s="90" t="s">
        <v>3477</v>
      </c>
      <c r="Y139" s="89"/>
      <c r="Z139" s="89">
        <v>8</v>
      </c>
      <c r="AA139" s="89"/>
      <c r="AB139" s="89"/>
    </row>
    <row r="140" spans="1:28" s="31" customFormat="1" ht="60" customHeight="1" x14ac:dyDescent="0.2">
      <c r="A140" s="76">
        <v>139</v>
      </c>
      <c r="B140" s="77">
        <v>50000151</v>
      </c>
      <c r="C140" s="78" t="s">
        <v>433</v>
      </c>
      <c r="D140" s="79">
        <v>0.05</v>
      </c>
      <c r="E140" s="80">
        <v>30049069</v>
      </c>
      <c r="F140" s="81" t="s">
        <v>434</v>
      </c>
      <c r="G140" s="82" t="s">
        <v>435</v>
      </c>
      <c r="H140" s="82" t="s">
        <v>323</v>
      </c>
      <c r="I140" s="79" t="s">
        <v>2666</v>
      </c>
      <c r="J140" s="83">
        <v>43.92</v>
      </c>
      <c r="K140" s="83">
        <v>33.462857142857146</v>
      </c>
      <c r="L140" s="83">
        <v>30.116571428571433</v>
      </c>
      <c r="M140" s="84">
        <v>27.104914285714294</v>
      </c>
      <c r="N140" s="59">
        <f t="shared" si="2"/>
        <v>0.38285714285714267</v>
      </c>
      <c r="O140" s="85" t="s">
        <v>376</v>
      </c>
      <c r="P140" s="86" t="s">
        <v>3158</v>
      </c>
      <c r="Q140" s="87" t="s">
        <v>3208</v>
      </c>
      <c r="R140" s="87">
        <v>10</v>
      </c>
      <c r="S140" s="88">
        <v>4.3920000000000003</v>
      </c>
      <c r="T140" s="88">
        <v>3.0116571428571435</v>
      </c>
      <c r="U140" s="88">
        <v>2.7104914285714292</v>
      </c>
      <c r="V140" s="87" t="s">
        <v>3061</v>
      </c>
      <c r="W140" s="87" t="s">
        <v>3106</v>
      </c>
      <c r="X140" s="90" t="s">
        <v>3477</v>
      </c>
      <c r="Y140" s="89"/>
      <c r="Z140" s="89">
        <v>10</v>
      </c>
      <c r="AA140" s="89"/>
      <c r="AB140" s="89"/>
    </row>
    <row r="141" spans="1:28" s="31" customFormat="1" ht="60" customHeight="1" x14ac:dyDescent="0.2">
      <c r="A141" s="76">
        <v>140</v>
      </c>
      <c r="B141" s="77">
        <v>50000716</v>
      </c>
      <c r="C141" s="78" t="s">
        <v>436</v>
      </c>
      <c r="D141" s="79">
        <v>0.05</v>
      </c>
      <c r="E141" s="80">
        <v>30049099</v>
      </c>
      <c r="F141" s="81" t="s">
        <v>437</v>
      </c>
      <c r="G141" s="82" t="s">
        <v>438</v>
      </c>
      <c r="H141" s="82" t="s">
        <v>3762</v>
      </c>
      <c r="I141" s="79" t="s">
        <v>2666</v>
      </c>
      <c r="J141" s="83">
        <v>93.52</v>
      </c>
      <c r="K141" s="83">
        <v>71.25333333333333</v>
      </c>
      <c r="L141" s="83">
        <v>64.775757575757567</v>
      </c>
      <c r="M141" s="84">
        <v>58.298181818181796</v>
      </c>
      <c r="N141" s="59">
        <f t="shared" si="2"/>
        <v>0.37662337662337686</v>
      </c>
      <c r="O141" s="85" t="s">
        <v>376</v>
      </c>
      <c r="P141" s="86" t="s">
        <v>2750</v>
      </c>
      <c r="Q141" s="87" t="s">
        <v>3208</v>
      </c>
      <c r="R141" s="87">
        <v>10</v>
      </c>
      <c r="S141" s="88">
        <v>9.3520000000000003</v>
      </c>
      <c r="T141" s="88">
        <v>6.4775757575757567</v>
      </c>
      <c r="U141" s="88">
        <v>5.8298181818181796</v>
      </c>
      <c r="V141" s="87" t="s">
        <v>3061</v>
      </c>
      <c r="W141" s="87" t="s">
        <v>3106</v>
      </c>
      <c r="X141" s="90" t="s">
        <v>3477</v>
      </c>
      <c r="Y141" s="89"/>
      <c r="Z141" s="89">
        <v>6</v>
      </c>
      <c r="AA141" s="89"/>
      <c r="AB141" s="89"/>
    </row>
    <row r="142" spans="1:28" s="31" customFormat="1" ht="60" customHeight="1" x14ac:dyDescent="0.2">
      <c r="A142" s="76">
        <v>141</v>
      </c>
      <c r="B142" s="77">
        <v>50000527</v>
      </c>
      <c r="C142" s="78" t="s">
        <v>439</v>
      </c>
      <c r="D142" s="79">
        <v>0.05</v>
      </c>
      <c r="E142" s="80">
        <v>30049069</v>
      </c>
      <c r="F142" s="81" t="s">
        <v>440</v>
      </c>
      <c r="G142" s="82" t="s">
        <v>441</v>
      </c>
      <c r="H142" s="82" t="s">
        <v>246</v>
      </c>
      <c r="I142" s="79" t="s">
        <v>2666</v>
      </c>
      <c r="J142" s="83">
        <v>78.75</v>
      </c>
      <c r="K142" s="83">
        <v>60</v>
      </c>
      <c r="L142" s="83">
        <v>54</v>
      </c>
      <c r="M142" s="84">
        <v>48.599999999999994</v>
      </c>
      <c r="N142" s="59">
        <f t="shared" si="2"/>
        <v>0.38285714285714295</v>
      </c>
      <c r="O142" s="85" t="s">
        <v>376</v>
      </c>
      <c r="P142" s="86" t="s">
        <v>2727</v>
      </c>
      <c r="Q142" s="87" t="s">
        <v>3208</v>
      </c>
      <c r="R142" s="87">
        <v>10</v>
      </c>
      <c r="S142" s="88">
        <v>7.875</v>
      </c>
      <c r="T142" s="88">
        <v>5.4</v>
      </c>
      <c r="U142" s="88">
        <v>4.8599999999999994</v>
      </c>
      <c r="V142" s="87" t="s">
        <v>3061</v>
      </c>
      <c r="W142" s="87" t="s">
        <v>3106</v>
      </c>
      <c r="X142" s="90" t="s">
        <v>3477</v>
      </c>
      <c r="Y142" s="89"/>
      <c r="Z142" s="89">
        <v>10</v>
      </c>
      <c r="AA142" s="89"/>
      <c r="AB142" s="89"/>
    </row>
    <row r="143" spans="1:28" s="31" customFormat="1" ht="60" customHeight="1" x14ac:dyDescent="0.2">
      <c r="A143" s="76">
        <v>142</v>
      </c>
      <c r="B143" s="77">
        <v>50005589</v>
      </c>
      <c r="C143" s="78" t="s">
        <v>3547</v>
      </c>
      <c r="D143" s="79">
        <v>0.05</v>
      </c>
      <c r="E143" s="80">
        <v>30049099</v>
      </c>
      <c r="F143" s="81" t="s">
        <v>3565</v>
      </c>
      <c r="G143" s="82" t="s">
        <v>3567</v>
      </c>
      <c r="H143" s="82" t="s">
        <v>3663</v>
      </c>
      <c r="I143" s="79" t="s">
        <v>2666</v>
      </c>
      <c r="J143" s="83">
        <v>82.37</v>
      </c>
      <c r="K143" s="83">
        <v>62.758095238095237</v>
      </c>
      <c r="L143" s="83">
        <v>57.528253968253971</v>
      </c>
      <c r="M143" s="84">
        <v>50.203965866666664</v>
      </c>
      <c r="N143" s="59">
        <f t="shared" si="2"/>
        <v>0.39050666666666672</v>
      </c>
      <c r="O143" s="85" t="s">
        <v>376</v>
      </c>
      <c r="P143" s="86" t="s">
        <v>2683</v>
      </c>
      <c r="Q143" s="87" t="s">
        <v>3208</v>
      </c>
      <c r="R143" s="87">
        <v>10</v>
      </c>
      <c r="S143" s="88">
        <v>8.2370000000000001</v>
      </c>
      <c r="T143" s="88">
        <v>5.7528253968253971</v>
      </c>
      <c r="U143" s="88">
        <v>5.0203965866666662</v>
      </c>
      <c r="V143" s="87" t="s">
        <v>3061</v>
      </c>
      <c r="W143" s="87" t="s">
        <v>3114</v>
      </c>
      <c r="X143" s="90" t="s">
        <v>3477</v>
      </c>
      <c r="Y143" s="89" t="s">
        <v>3455</v>
      </c>
      <c r="Z143" s="89">
        <v>3</v>
      </c>
      <c r="AA143" s="89" t="s">
        <v>3207</v>
      </c>
      <c r="AB143" s="89" t="s">
        <v>4613</v>
      </c>
    </row>
    <row r="144" spans="1:28" s="31" customFormat="1" ht="60" customHeight="1" x14ac:dyDescent="0.2">
      <c r="A144" s="76">
        <v>143</v>
      </c>
      <c r="B144" s="77">
        <v>50005590</v>
      </c>
      <c r="C144" s="78" t="s">
        <v>3548</v>
      </c>
      <c r="D144" s="79">
        <v>0.05</v>
      </c>
      <c r="E144" s="80">
        <v>30049099</v>
      </c>
      <c r="F144" s="81" t="s">
        <v>3566</v>
      </c>
      <c r="G144" s="82" t="s">
        <v>3549</v>
      </c>
      <c r="H144" s="82" t="s">
        <v>3664</v>
      </c>
      <c r="I144" s="79" t="s">
        <v>2666</v>
      </c>
      <c r="J144" s="83">
        <v>123.64</v>
      </c>
      <c r="K144" s="83">
        <v>94.201904761904757</v>
      </c>
      <c r="L144" s="83">
        <v>86.351746031746032</v>
      </c>
      <c r="M144" s="84">
        <v>78.238277847309149</v>
      </c>
      <c r="N144" s="59">
        <f t="shared" si="2"/>
        <v>0.36720901126408001</v>
      </c>
      <c r="O144" s="85" t="s">
        <v>376</v>
      </c>
      <c r="P144" s="86" t="s">
        <v>3602</v>
      </c>
      <c r="Q144" s="87" t="s">
        <v>3208</v>
      </c>
      <c r="R144" s="87">
        <v>10</v>
      </c>
      <c r="S144" s="88">
        <v>12.364000000000001</v>
      </c>
      <c r="T144" s="88">
        <v>8.6351746031746028</v>
      </c>
      <c r="U144" s="88">
        <v>7.8238277847309146</v>
      </c>
      <c r="V144" s="87" t="s">
        <v>3061</v>
      </c>
      <c r="W144" s="87" t="s">
        <v>3114</v>
      </c>
      <c r="X144" s="90" t="s">
        <v>3477</v>
      </c>
      <c r="Y144" s="89" t="s">
        <v>3455</v>
      </c>
      <c r="Z144" s="89">
        <v>3</v>
      </c>
      <c r="AA144" s="89" t="s">
        <v>3207</v>
      </c>
      <c r="AB144" s="89" t="s">
        <v>4613</v>
      </c>
    </row>
    <row r="145" spans="1:28" s="31" customFormat="1" ht="60" customHeight="1" x14ac:dyDescent="0.2">
      <c r="A145" s="76">
        <v>144</v>
      </c>
      <c r="B145" s="77">
        <v>50005785</v>
      </c>
      <c r="C145" s="78" t="s">
        <v>3623</v>
      </c>
      <c r="D145" s="79">
        <v>0.05</v>
      </c>
      <c r="E145" s="80">
        <v>30049099</v>
      </c>
      <c r="F145" s="81" t="s">
        <v>3638</v>
      </c>
      <c r="G145" s="82" t="s">
        <v>3656</v>
      </c>
      <c r="H145" s="82" t="s">
        <v>3665</v>
      </c>
      <c r="I145" s="79" t="s">
        <v>2666</v>
      </c>
      <c r="J145" s="83">
        <v>112.49</v>
      </c>
      <c r="K145" s="83">
        <v>85.706666666666678</v>
      </c>
      <c r="L145" s="83">
        <v>85.706666666666678</v>
      </c>
      <c r="M145" s="84">
        <v>68.561905066666668</v>
      </c>
      <c r="N145" s="59">
        <f t="shared" si="2"/>
        <v>0.39050666666666661</v>
      </c>
      <c r="O145" s="85" t="s">
        <v>376</v>
      </c>
      <c r="P145" s="86" t="s">
        <v>48</v>
      </c>
      <c r="Q145" s="87" t="s">
        <v>3208</v>
      </c>
      <c r="R145" s="87">
        <v>10</v>
      </c>
      <c r="S145" s="88">
        <v>11.248999999999999</v>
      </c>
      <c r="T145" s="88">
        <v>8.5706666666666678</v>
      </c>
      <c r="U145" s="88">
        <v>6.8561905066666666</v>
      </c>
      <c r="V145" s="87" t="s">
        <v>3061</v>
      </c>
      <c r="W145" s="87" t="s">
        <v>3114</v>
      </c>
      <c r="X145" s="90" t="s">
        <v>3477</v>
      </c>
      <c r="Y145" s="89"/>
      <c r="Z145" s="89"/>
      <c r="AA145" s="89" t="s">
        <v>3207</v>
      </c>
      <c r="AB145" s="89"/>
    </row>
    <row r="146" spans="1:28" s="31" customFormat="1" ht="60" customHeight="1" x14ac:dyDescent="0.2">
      <c r="A146" s="76">
        <v>145</v>
      </c>
      <c r="B146" s="77">
        <v>50005786</v>
      </c>
      <c r="C146" s="78" t="s">
        <v>3624</v>
      </c>
      <c r="D146" s="79">
        <v>0.05</v>
      </c>
      <c r="E146" s="80">
        <v>30049099</v>
      </c>
      <c r="F146" s="81" t="s">
        <v>3639</v>
      </c>
      <c r="G146" s="82" t="s">
        <v>3657</v>
      </c>
      <c r="H146" s="82" t="s">
        <v>3666</v>
      </c>
      <c r="I146" s="79" t="s">
        <v>2666</v>
      </c>
      <c r="J146" s="83">
        <v>140.61000000000001</v>
      </c>
      <c r="K146" s="83">
        <v>107.13142857142859</v>
      </c>
      <c r="L146" s="83">
        <v>107.13142857142859</v>
      </c>
      <c r="M146" s="84">
        <v>85.700857600000035</v>
      </c>
      <c r="N146" s="59">
        <f t="shared" si="2"/>
        <v>0.3905066666666665</v>
      </c>
      <c r="O146" s="85" t="s">
        <v>376</v>
      </c>
      <c r="P146" s="86" t="s">
        <v>48</v>
      </c>
      <c r="Q146" s="87" t="s">
        <v>3208</v>
      </c>
      <c r="R146" s="87">
        <v>10</v>
      </c>
      <c r="S146" s="88">
        <v>14.061000000000002</v>
      </c>
      <c r="T146" s="88">
        <v>10.713142857142859</v>
      </c>
      <c r="U146" s="88">
        <v>8.5700857600000031</v>
      </c>
      <c r="V146" s="87" t="s">
        <v>3061</v>
      </c>
      <c r="W146" s="87" t="s">
        <v>3114</v>
      </c>
      <c r="X146" s="90" t="s">
        <v>3477</v>
      </c>
      <c r="Y146" s="89"/>
      <c r="Z146" s="89"/>
      <c r="AA146" s="89" t="s">
        <v>3207</v>
      </c>
      <c r="AB146" s="89"/>
    </row>
    <row r="147" spans="1:28" s="31" customFormat="1" ht="60" customHeight="1" x14ac:dyDescent="0.2">
      <c r="A147" s="76">
        <v>146</v>
      </c>
      <c r="B147" s="77">
        <v>50002796</v>
      </c>
      <c r="C147" s="78" t="s">
        <v>442</v>
      </c>
      <c r="D147" s="79">
        <v>0.05</v>
      </c>
      <c r="E147" s="80">
        <v>30049099</v>
      </c>
      <c r="F147" s="81" t="s">
        <v>443</v>
      </c>
      <c r="G147" s="82" t="s">
        <v>444</v>
      </c>
      <c r="H147" s="82" t="s">
        <v>294</v>
      </c>
      <c r="I147" s="79" t="s">
        <v>2666</v>
      </c>
      <c r="J147" s="83">
        <v>84.87</v>
      </c>
      <c r="K147" s="83">
        <v>64.662857142857135</v>
      </c>
      <c r="L147" s="83">
        <v>59.274285714285703</v>
      </c>
      <c r="M147" s="84">
        <v>53.346857142857147</v>
      </c>
      <c r="N147" s="59">
        <f t="shared" si="2"/>
        <v>0.37142857142857144</v>
      </c>
      <c r="O147" s="85" t="s">
        <v>376</v>
      </c>
      <c r="P147" s="86" t="s">
        <v>2707</v>
      </c>
      <c r="Q147" s="87" t="s">
        <v>3207</v>
      </c>
      <c r="R147" s="87">
        <v>10</v>
      </c>
      <c r="S147" s="88">
        <v>8.4870000000000001</v>
      </c>
      <c r="T147" s="88">
        <v>5.9274285714285702</v>
      </c>
      <c r="U147" s="88">
        <v>5.3346857142857145</v>
      </c>
      <c r="V147" s="87" t="s">
        <v>3061</v>
      </c>
      <c r="W147" s="87" t="s">
        <v>3114</v>
      </c>
      <c r="X147" s="90" t="s">
        <v>3477</v>
      </c>
      <c r="Y147" s="89"/>
      <c r="Z147" s="89">
        <v>6</v>
      </c>
      <c r="AA147" s="89" t="s">
        <v>3207</v>
      </c>
      <c r="AB147" s="89"/>
    </row>
    <row r="148" spans="1:28" s="31" customFormat="1" ht="60" customHeight="1" x14ac:dyDescent="0.2">
      <c r="A148" s="76">
        <v>147</v>
      </c>
      <c r="B148" s="77">
        <v>50004589</v>
      </c>
      <c r="C148" s="78" t="s">
        <v>447</v>
      </c>
      <c r="D148" s="79">
        <v>0.05</v>
      </c>
      <c r="E148" s="80">
        <v>30049099</v>
      </c>
      <c r="F148" s="81" t="s">
        <v>448</v>
      </c>
      <c r="G148" s="82" t="s">
        <v>449</v>
      </c>
      <c r="H148" s="82" t="s">
        <v>3763</v>
      </c>
      <c r="I148" s="79" t="s">
        <v>2666</v>
      </c>
      <c r="J148" s="83">
        <v>130.30000000000001</v>
      </c>
      <c r="K148" s="83">
        <v>99.276190476190493</v>
      </c>
      <c r="L148" s="83">
        <v>99.276190476190493</v>
      </c>
      <c r="M148" s="84">
        <v>79.416981333333325</v>
      </c>
      <c r="N148" s="59">
        <f t="shared" si="2"/>
        <v>0.39050666666666678</v>
      </c>
      <c r="O148" s="85" t="s">
        <v>376</v>
      </c>
      <c r="P148" s="86" t="s">
        <v>304</v>
      </c>
      <c r="Q148" s="87" t="s">
        <v>3208</v>
      </c>
      <c r="R148" s="87">
        <v>10</v>
      </c>
      <c r="S148" s="88">
        <v>13.030000000000001</v>
      </c>
      <c r="T148" s="88">
        <v>9.92761904761905</v>
      </c>
      <c r="U148" s="88">
        <v>7.9416981333333325</v>
      </c>
      <c r="V148" s="87" t="s">
        <v>3061</v>
      </c>
      <c r="W148" s="87" t="s">
        <v>3114</v>
      </c>
      <c r="X148" s="90" t="s">
        <v>3477</v>
      </c>
      <c r="Y148" s="89"/>
      <c r="Z148" s="89">
        <v>3</v>
      </c>
      <c r="AA148" s="89" t="s">
        <v>3207</v>
      </c>
      <c r="AB148" s="89"/>
    </row>
    <row r="149" spans="1:28" s="31" customFormat="1" ht="60" customHeight="1" x14ac:dyDescent="0.2">
      <c r="A149" s="76">
        <v>148</v>
      </c>
      <c r="B149" s="77">
        <v>50004149</v>
      </c>
      <c r="C149" s="78" t="s">
        <v>450</v>
      </c>
      <c r="D149" s="79">
        <v>0.05</v>
      </c>
      <c r="E149" s="80">
        <v>30049099</v>
      </c>
      <c r="F149" s="81" t="s">
        <v>451</v>
      </c>
      <c r="G149" s="82" t="s">
        <v>452</v>
      </c>
      <c r="H149" s="82" t="s">
        <v>26</v>
      </c>
      <c r="I149" s="79" t="s">
        <v>2666</v>
      </c>
      <c r="J149" s="83">
        <v>85.07</v>
      </c>
      <c r="K149" s="83">
        <v>64.815238095238101</v>
      </c>
      <c r="L149" s="83">
        <v>59.413968253968257</v>
      </c>
      <c r="M149" s="84">
        <v>51.852190476190479</v>
      </c>
      <c r="N149" s="59">
        <f t="shared" si="2"/>
        <v>0.39047619047619037</v>
      </c>
      <c r="O149" s="85" t="s">
        <v>376</v>
      </c>
      <c r="P149" s="86" t="s">
        <v>2734</v>
      </c>
      <c r="Q149" s="87" t="s">
        <v>3208</v>
      </c>
      <c r="R149" s="87">
        <v>10</v>
      </c>
      <c r="S149" s="88">
        <v>8.5069999999999997</v>
      </c>
      <c r="T149" s="88">
        <v>5.9413968253968257</v>
      </c>
      <c r="U149" s="88">
        <v>5.1852190476190483</v>
      </c>
      <c r="V149" s="87" t="s">
        <v>3061</v>
      </c>
      <c r="W149" s="87" t="s">
        <v>3114</v>
      </c>
      <c r="X149" s="90" t="s">
        <v>3477</v>
      </c>
      <c r="Y149" s="89" t="s">
        <v>3455</v>
      </c>
      <c r="Z149" s="89">
        <v>3</v>
      </c>
      <c r="AA149" s="89" t="s">
        <v>3207</v>
      </c>
      <c r="AB149" s="89"/>
    </row>
    <row r="150" spans="1:28" s="31" customFormat="1" ht="60" customHeight="1" x14ac:dyDescent="0.2">
      <c r="A150" s="76">
        <v>149</v>
      </c>
      <c r="B150" s="77">
        <v>50004150</v>
      </c>
      <c r="C150" s="78" t="s">
        <v>453</v>
      </c>
      <c r="D150" s="79">
        <v>0.05</v>
      </c>
      <c r="E150" s="80">
        <v>30049099</v>
      </c>
      <c r="F150" s="81" t="s">
        <v>454</v>
      </c>
      <c r="G150" s="82" t="s">
        <v>455</v>
      </c>
      <c r="H150" s="82" t="s">
        <v>3764</v>
      </c>
      <c r="I150" s="79" t="s">
        <v>2666</v>
      </c>
      <c r="J150" s="83">
        <v>79.28</v>
      </c>
      <c r="K150" s="83">
        <v>60.403809523809528</v>
      </c>
      <c r="L150" s="83">
        <v>55.370158730158728</v>
      </c>
      <c r="M150" s="84">
        <v>48.323047619047607</v>
      </c>
      <c r="N150" s="59">
        <f t="shared" si="2"/>
        <v>0.39047619047619064</v>
      </c>
      <c r="O150" s="85" t="s">
        <v>376</v>
      </c>
      <c r="P150" s="86" t="s">
        <v>2734</v>
      </c>
      <c r="Q150" s="87" t="s">
        <v>3208</v>
      </c>
      <c r="R150" s="87">
        <v>10</v>
      </c>
      <c r="S150" s="88">
        <v>7.9279999999999999</v>
      </c>
      <c r="T150" s="88">
        <v>5.5370158730158732</v>
      </c>
      <c r="U150" s="88">
        <v>4.8323047619047603</v>
      </c>
      <c r="V150" s="87" t="s">
        <v>3061</v>
      </c>
      <c r="W150" s="87" t="s">
        <v>3114</v>
      </c>
      <c r="X150" s="90" t="s">
        <v>3477</v>
      </c>
      <c r="Y150" s="89" t="s">
        <v>3455</v>
      </c>
      <c r="Z150" s="89">
        <v>3</v>
      </c>
      <c r="AA150" s="89" t="s">
        <v>3207</v>
      </c>
      <c r="AB150" s="89"/>
    </row>
    <row r="151" spans="1:28" s="31" customFormat="1" ht="60" customHeight="1" x14ac:dyDescent="0.2">
      <c r="A151" s="76">
        <v>150</v>
      </c>
      <c r="B151" s="77">
        <v>50004151</v>
      </c>
      <c r="C151" s="78" t="s">
        <v>456</v>
      </c>
      <c r="D151" s="79">
        <v>0.05</v>
      </c>
      <c r="E151" s="80">
        <v>30049099</v>
      </c>
      <c r="F151" s="81" t="s">
        <v>457</v>
      </c>
      <c r="G151" s="82" t="s">
        <v>458</v>
      </c>
      <c r="H151" s="82" t="s">
        <v>3765</v>
      </c>
      <c r="I151" s="79" t="s">
        <v>2666</v>
      </c>
      <c r="J151" s="83">
        <v>90.62</v>
      </c>
      <c r="K151" s="83">
        <v>69.043809523809529</v>
      </c>
      <c r="L151" s="83">
        <v>63.290158730158737</v>
      </c>
      <c r="M151" s="84">
        <v>55.235047619047613</v>
      </c>
      <c r="N151" s="59">
        <f t="shared" si="2"/>
        <v>0.39047619047619059</v>
      </c>
      <c r="O151" s="85" t="s">
        <v>376</v>
      </c>
      <c r="P151" s="86" t="s">
        <v>2734</v>
      </c>
      <c r="Q151" s="87" t="s">
        <v>3208</v>
      </c>
      <c r="R151" s="87">
        <v>10</v>
      </c>
      <c r="S151" s="88">
        <v>9.0620000000000012</v>
      </c>
      <c r="T151" s="88">
        <v>6.3290158730158739</v>
      </c>
      <c r="U151" s="88">
        <v>5.5235047619047615</v>
      </c>
      <c r="V151" s="87" t="s">
        <v>3061</v>
      </c>
      <c r="W151" s="87" t="s">
        <v>3114</v>
      </c>
      <c r="X151" s="90" t="s">
        <v>3477</v>
      </c>
      <c r="Y151" s="89" t="s">
        <v>3455</v>
      </c>
      <c r="Z151" s="89">
        <v>3</v>
      </c>
      <c r="AA151" s="89" t="s">
        <v>3207</v>
      </c>
      <c r="AB151" s="89" t="s">
        <v>4613</v>
      </c>
    </row>
    <row r="152" spans="1:28" s="31" customFormat="1" ht="60" customHeight="1" x14ac:dyDescent="0.2">
      <c r="A152" s="76">
        <v>151</v>
      </c>
      <c r="B152" s="77">
        <v>50005046</v>
      </c>
      <c r="C152" s="78" t="s">
        <v>3217</v>
      </c>
      <c r="D152" s="79">
        <v>0.05</v>
      </c>
      <c r="E152" s="80">
        <v>30049099</v>
      </c>
      <c r="F152" s="81" t="s">
        <v>3218</v>
      </c>
      <c r="G152" s="82" t="s">
        <v>3268</v>
      </c>
      <c r="H152" s="82" t="s">
        <v>3280</v>
      </c>
      <c r="I152" s="79" t="s">
        <v>2666</v>
      </c>
      <c r="J152" s="83">
        <v>123.73</v>
      </c>
      <c r="K152" s="83">
        <v>94.270476190476188</v>
      </c>
      <c r="L152" s="83">
        <v>86.414603174603187</v>
      </c>
      <c r="M152" s="84">
        <v>77.773142857142858</v>
      </c>
      <c r="N152" s="59">
        <f t="shared" si="2"/>
        <v>0.37142857142857144</v>
      </c>
      <c r="O152" s="85" t="s">
        <v>376</v>
      </c>
      <c r="P152" s="86" t="s">
        <v>3256</v>
      </c>
      <c r="Q152" s="87" t="s">
        <v>3208</v>
      </c>
      <c r="R152" s="87">
        <v>10</v>
      </c>
      <c r="S152" s="88">
        <v>12.373000000000001</v>
      </c>
      <c r="T152" s="88">
        <v>8.641460317460318</v>
      </c>
      <c r="U152" s="88">
        <v>7.7773142857142856</v>
      </c>
      <c r="V152" s="87" t="s">
        <v>3061</v>
      </c>
      <c r="W152" s="87" t="s">
        <v>3114</v>
      </c>
      <c r="X152" s="90" t="s">
        <v>3477</v>
      </c>
      <c r="Y152" s="89"/>
      <c r="Z152" s="89">
        <v>3</v>
      </c>
      <c r="AA152" s="89" t="s">
        <v>3207</v>
      </c>
      <c r="AB152" s="89"/>
    </row>
    <row r="153" spans="1:28" s="31" customFormat="1" ht="60" customHeight="1" x14ac:dyDescent="0.2">
      <c r="A153" s="76">
        <v>152</v>
      </c>
      <c r="B153" s="77">
        <v>50005047</v>
      </c>
      <c r="C153" s="78" t="s">
        <v>3165</v>
      </c>
      <c r="D153" s="79">
        <v>0.05</v>
      </c>
      <c r="E153" s="80">
        <v>30049099</v>
      </c>
      <c r="F153" s="81" t="s">
        <v>3166</v>
      </c>
      <c r="G153" s="82" t="s">
        <v>3185</v>
      </c>
      <c r="H153" s="82" t="s">
        <v>3766</v>
      </c>
      <c r="I153" s="79" t="s">
        <v>2666</v>
      </c>
      <c r="J153" s="83">
        <v>134.05000000000001</v>
      </c>
      <c r="K153" s="83">
        <v>102.13333333333335</v>
      </c>
      <c r="L153" s="83">
        <v>93.622222222222248</v>
      </c>
      <c r="M153" s="84">
        <v>84.260000000000034</v>
      </c>
      <c r="N153" s="59">
        <f t="shared" si="2"/>
        <v>0.37142857142857122</v>
      </c>
      <c r="O153" s="85" t="s">
        <v>376</v>
      </c>
      <c r="P153" s="86" t="s">
        <v>2734</v>
      </c>
      <c r="Q153" s="87" t="s">
        <v>3208</v>
      </c>
      <c r="R153" s="87">
        <v>10</v>
      </c>
      <c r="S153" s="88">
        <v>13.405000000000001</v>
      </c>
      <c r="T153" s="88">
        <v>9.3622222222222256</v>
      </c>
      <c r="U153" s="88">
        <v>8.4260000000000037</v>
      </c>
      <c r="V153" s="87" t="s">
        <v>3061</v>
      </c>
      <c r="W153" s="87" t="s">
        <v>3114</v>
      </c>
      <c r="X153" s="90" t="s">
        <v>3477</v>
      </c>
      <c r="Y153" s="89" t="s">
        <v>3455</v>
      </c>
      <c r="Z153" s="89">
        <v>3</v>
      </c>
      <c r="AA153" s="89" t="s">
        <v>3207</v>
      </c>
      <c r="AB153" s="89" t="s">
        <v>4613</v>
      </c>
    </row>
    <row r="154" spans="1:28" s="31" customFormat="1" ht="60" customHeight="1" x14ac:dyDescent="0.2">
      <c r="A154" s="76">
        <v>153</v>
      </c>
      <c r="B154" s="77">
        <v>50002888</v>
      </c>
      <c r="C154" s="78" t="s">
        <v>459</v>
      </c>
      <c r="D154" s="79">
        <v>0.05</v>
      </c>
      <c r="E154" s="80">
        <v>30049099</v>
      </c>
      <c r="F154" s="81" t="s">
        <v>460</v>
      </c>
      <c r="G154" s="82" t="s">
        <v>461</v>
      </c>
      <c r="H154" s="82" t="s">
        <v>3767</v>
      </c>
      <c r="I154" s="79" t="s">
        <v>2666</v>
      </c>
      <c r="J154" s="83">
        <v>149.58000000000001</v>
      </c>
      <c r="K154" s="83">
        <v>113.96571428571431</v>
      </c>
      <c r="L154" s="83">
        <v>104.46857142857145</v>
      </c>
      <c r="M154" s="84">
        <v>94.021714285714268</v>
      </c>
      <c r="N154" s="59">
        <f t="shared" si="2"/>
        <v>0.37142857142857161</v>
      </c>
      <c r="O154" s="85" t="s">
        <v>376</v>
      </c>
      <c r="P154" s="86" t="s">
        <v>2732</v>
      </c>
      <c r="Q154" s="87" t="s">
        <v>3208</v>
      </c>
      <c r="R154" s="87">
        <v>10</v>
      </c>
      <c r="S154" s="88">
        <v>14.958000000000002</v>
      </c>
      <c r="T154" s="88">
        <v>10.446857142857144</v>
      </c>
      <c r="U154" s="88">
        <v>9.4021714285714264</v>
      </c>
      <c r="V154" s="87" t="s">
        <v>3061</v>
      </c>
      <c r="W154" s="87" t="s">
        <v>3114</v>
      </c>
      <c r="X154" s="90" t="s">
        <v>3477</v>
      </c>
      <c r="Y154" s="89"/>
      <c r="Z154" s="89">
        <v>6</v>
      </c>
      <c r="AA154" s="89" t="s">
        <v>3207</v>
      </c>
      <c r="AB154" s="89"/>
    </row>
    <row r="155" spans="1:28" s="31" customFormat="1" ht="60" customHeight="1" x14ac:dyDescent="0.2">
      <c r="A155" s="76">
        <v>154</v>
      </c>
      <c r="B155" s="77">
        <v>50002969</v>
      </c>
      <c r="C155" s="78" t="s">
        <v>462</v>
      </c>
      <c r="D155" s="79">
        <v>0.05</v>
      </c>
      <c r="E155" s="80">
        <v>30049099</v>
      </c>
      <c r="F155" s="81" t="s">
        <v>463</v>
      </c>
      <c r="G155" s="82" t="s">
        <v>464</v>
      </c>
      <c r="H155" s="82" t="s">
        <v>3768</v>
      </c>
      <c r="I155" s="79" t="s">
        <v>2666</v>
      </c>
      <c r="J155" s="83">
        <v>162.07</v>
      </c>
      <c r="K155" s="83">
        <v>123.48190476190476</v>
      </c>
      <c r="L155" s="83">
        <v>113.19174603174604</v>
      </c>
      <c r="M155" s="84">
        <v>101.87257142857146</v>
      </c>
      <c r="N155" s="59">
        <f t="shared" si="2"/>
        <v>0.37142857142857122</v>
      </c>
      <c r="O155" s="85" t="s">
        <v>376</v>
      </c>
      <c r="P155" s="86" t="s">
        <v>4738</v>
      </c>
      <c r="Q155" s="87" t="s">
        <v>3208</v>
      </c>
      <c r="R155" s="87">
        <v>10</v>
      </c>
      <c r="S155" s="88">
        <v>16.207000000000001</v>
      </c>
      <c r="T155" s="88">
        <v>11.319174603174604</v>
      </c>
      <c r="U155" s="88">
        <v>10.187257142857145</v>
      </c>
      <c r="V155" s="87" t="s">
        <v>3061</v>
      </c>
      <c r="W155" s="87" t="s">
        <v>3114</v>
      </c>
      <c r="X155" s="90" t="s">
        <v>3477</v>
      </c>
      <c r="Y155" s="89"/>
      <c r="Z155" s="89">
        <v>3</v>
      </c>
      <c r="AA155" s="89" t="s">
        <v>3207</v>
      </c>
      <c r="AB155" s="89"/>
    </row>
    <row r="156" spans="1:28" s="31" customFormat="1" ht="60" customHeight="1" x14ac:dyDescent="0.2">
      <c r="A156" s="76">
        <v>155</v>
      </c>
      <c r="B156" s="77">
        <v>50000434</v>
      </c>
      <c r="C156" s="78" t="s">
        <v>465</v>
      </c>
      <c r="D156" s="79">
        <v>0.05</v>
      </c>
      <c r="E156" s="80">
        <v>30049039</v>
      </c>
      <c r="F156" s="81" t="s">
        <v>466</v>
      </c>
      <c r="G156" s="82" t="s">
        <v>467</v>
      </c>
      <c r="H156" s="82" t="s">
        <v>26</v>
      </c>
      <c r="I156" s="79" t="s">
        <v>2666</v>
      </c>
      <c r="J156" s="83">
        <v>66.3</v>
      </c>
      <c r="K156" s="83">
        <v>50.51428571428572</v>
      </c>
      <c r="L156" s="83">
        <v>46.304761904761911</v>
      </c>
      <c r="M156" s="84">
        <v>41.674285714285709</v>
      </c>
      <c r="N156" s="59">
        <f t="shared" si="2"/>
        <v>0.3714285714285715</v>
      </c>
      <c r="O156" s="85" t="s">
        <v>376</v>
      </c>
      <c r="P156" s="86" t="s">
        <v>53</v>
      </c>
      <c r="Q156" s="87" t="s">
        <v>3208</v>
      </c>
      <c r="R156" s="87">
        <v>10</v>
      </c>
      <c r="S156" s="88">
        <v>6.63</v>
      </c>
      <c r="T156" s="88">
        <v>4.6304761904761911</v>
      </c>
      <c r="U156" s="88">
        <v>4.1674285714285713</v>
      </c>
      <c r="V156" s="87" t="s">
        <v>3061</v>
      </c>
      <c r="W156" s="87" t="s">
        <v>3105</v>
      </c>
      <c r="X156" s="90" t="s">
        <v>3477</v>
      </c>
      <c r="Y156" s="89"/>
      <c r="Z156" s="89">
        <v>6</v>
      </c>
      <c r="AA156" s="89"/>
      <c r="AB156" s="89"/>
    </row>
    <row r="157" spans="1:28" s="31" customFormat="1" ht="60" customHeight="1" x14ac:dyDescent="0.2">
      <c r="A157" s="76">
        <v>156</v>
      </c>
      <c r="B157" s="77">
        <v>50002225</v>
      </c>
      <c r="C157" s="78" t="s">
        <v>468</v>
      </c>
      <c r="D157" s="79">
        <v>0.05</v>
      </c>
      <c r="E157" s="80">
        <v>30049069</v>
      </c>
      <c r="F157" s="81" t="s">
        <v>469</v>
      </c>
      <c r="G157" s="82" t="s">
        <v>470</v>
      </c>
      <c r="H157" s="82" t="s">
        <v>3769</v>
      </c>
      <c r="I157" s="79" t="s">
        <v>2666</v>
      </c>
      <c r="J157" s="83">
        <v>118.53</v>
      </c>
      <c r="K157" s="83">
        <v>90.308571428571426</v>
      </c>
      <c r="L157" s="83">
        <v>75.257142857142853</v>
      </c>
      <c r="M157" s="84">
        <v>73.149942857142833</v>
      </c>
      <c r="N157" s="59">
        <f t="shared" si="2"/>
        <v>0.38285714285714306</v>
      </c>
      <c r="O157" s="85" t="s">
        <v>376</v>
      </c>
      <c r="P157" s="86" t="s">
        <v>4259</v>
      </c>
      <c r="Q157" s="87" t="s">
        <v>3208</v>
      </c>
      <c r="R157" s="87">
        <v>10</v>
      </c>
      <c r="S157" s="88">
        <v>11.853</v>
      </c>
      <c r="T157" s="88">
        <v>7.5257142857142849</v>
      </c>
      <c r="U157" s="88">
        <v>7.3149942857142829</v>
      </c>
      <c r="V157" s="87" t="s">
        <v>3061</v>
      </c>
      <c r="W157" s="87" t="s">
        <v>3106</v>
      </c>
      <c r="X157" s="90" t="s">
        <v>3477</v>
      </c>
      <c r="Y157" s="89"/>
      <c r="Z157" s="89">
        <v>6</v>
      </c>
      <c r="AA157" s="89"/>
      <c r="AB157" s="89"/>
    </row>
    <row r="158" spans="1:28" s="31" customFormat="1" ht="60" customHeight="1" x14ac:dyDescent="0.2">
      <c r="A158" s="76">
        <v>157</v>
      </c>
      <c r="B158" s="77">
        <v>50000678</v>
      </c>
      <c r="C158" s="78" t="s">
        <v>471</v>
      </c>
      <c r="D158" s="79">
        <v>0.05</v>
      </c>
      <c r="E158" s="80">
        <v>30042039</v>
      </c>
      <c r="F158" s="81" t="s">
        <v>472</v>
      </c>
      <c r="G158" s="82" t="s">
        <v>473</v>
      </c>
      <c r="H158" s="82" t="s">
        <v>66</v>
      </c>
      <c r="I158" s="79" t="s">
        <v>2666</v>
      </c>
      <c r="J158" s="83">
        <v>51.45</v>
      </c>
      <c r="K158" s="83">
        <v>39.200000000000003</v>
      </c>
      <c r="L158" s="83">
        <v>39.200000000000003</v>
      </c>
      <c r="M158" s="84">
        <v>35.28</v>
      </c>
      <c r="N158" s="59">
        <f t="shared" si="2"/>
        <v>0.31428571428571428</v>
      </c>
      <c r="O158" s="85" t="s">
        <v>376</v>
      </c>
      <c r="P158" s="86" t="s">
        <v>2753</v>
      </c>
      <c r="Q158" s="87" t="s">
        <v>3207</v>
      </c>
      <c r="R158" s="87">
        <v>10</v>
      </c>
      <c r="S158" s="88">
        <v>5.1450000000000005</v>
      </c>
      <c r="T158" s="88">
        <v>3.9200000000000004</v>
      </c>
      <c r="U158" s="88">
        <v>3.528</v>
      </c>
      <c r="V158" s="87" t="s">
        <v>3061</v>
      </c>
      <c r="W158" s="87" t="s">
        <v>3102</v>
      </c>
      <c r="X158" s="90" t="s">
        <v>3477</v>
      </c>
      <c r="Y158" s="89"/>
      <c r="Z158" s="89">
        <v>6</v>
      </c>
      <c r="AA158" s="89"/>
      <c r="AB158" s="89"/>
    </row>
    <row r="159" spans="1:28" s="31" customFormat="1" ht="60" customHeight="1" x14ac:dyDescent="0.2">
      <c r="A159" s="76">
        <v>158</v>
      </c>
      <c r="B159" s="77">
        <v>50000481</v>
      </c>
      <c r="C159" s="78" t="s">
        <v>474</v>
      </c>
      <c r="D159" s="79">
        <v>0.05</v>
      </c>
      <c r="E159" s="80">
        <v>30042039</v>
      </c>
      <c r="F159" s="81" t="s">
        <v>475</v>
      </c>
      <c r="G159" s="82" t="s">
        <v>476</v>
      </c>
      <c r="H159" s="82" t="s">
        <v>72</v>
      </c>
      <c r="I159" s="79" t="s">
        <v>2752</v>
      </c>
      <c r="J159" s="83">
        <v>44.53</v>
      </c>
      <c r="K159" s="83">
        <v>33.927619047619046</v>
      </c>
      <c r="L159" s="83">
        <v>31.100317460317459</v>
      </c>
      <c r="M159" s="84">
        <v>30.177426508685667</v>
      </c>
      <c r="N159" s="59">
        <f t="shared" si="2"/>
        <v>0.3223124520843102</v>
      </c>
      <c r="O159" s="85" t="s">
        <v>376</v>
      </c>
      <c r="P159" s="86" t="s">
        <v>4259</v>
      </c>
      <c r="Q159" s="87" t="s">
        <v>3207</v>
      </c>
      <c r="R159" s="87">
        <v>5</v>
      </c>
      <c r="S159" s="88">
        <v>8.9060000000000006</v>
      </c>
      <c r="T159" s="88">
        <v>6.2200634920634919</v>
      </c>
      <c r="U159" s="88">
        <v>6.0354853017371335</v>
      </c>
      <c r="V159" s="87" t="s">
        <v>3061</v>
      </c>
      <c r="W159" s="87" t="s">
        <v>3102</v>
      </c>
      <c r="X159" s="90" t="s">
        <v>3477</v>
      </c>
      <c r="Y159" s="89"/>
      <c r="Z159" s="89">
        <v>8</v>
      </c>
      <c r="AA159" s="89"/>
      <c r="AB159" s="89"/>
    </row>
    <row r="160" spans="1:28" s="31" customFormat="1" ht="60" customHeight="1" x14ac:dyDescent="0.2">
      <c r="A160" s="76">
        <v>159</v>
      </c>
      <c r="B160" s="77">
        <v>50000384</v>
      </c>
      <c r="C160" s="78" t="s">
        <v>477</v>
      </c>
      <c r="D160" s="79">
        <v>0.05</v>
      </c>
      <c r="E160" s="80">
        <v>30049099</v>
      </c>
      <c r="F160" s="81" t="s">
        <v>478</v>
      </c>
      <c r="G160" s="82" t="s">
        <v>479</v>
      </c>
      <c r="H160" s="82" t="s">
        <v>3770</v>
      </c>
      <c r="I160" s="79" t="s">
        <v>2702</v>
      </c>
      <c r="J160" s="83">
        <v>94.68</v>
      </c>
      <c r="K160" s="83">
        <v>72.137142857142862</v>
      </c>
      <c r="L160" s="83">
        <v>60.114285714285721</v>
      </c>
      <c r="M160" s="84">
        <v>54.102857142857154</v>
      </c>
      <c r="N160" s="59">
        <f t="shared" si="2"/>
        <v>0.42857142857142849</v>
      </c>
      <c r="O160" s="85" t="s">
        <v>376</v>
      </c>
      <c r="P160" s="86" t="s">
        <v>4259</v>
      </c>
      <c r="Q160" s="87" t="s">
        <v>3208</v>
      </c>
      <c r="R160" s="87">
        <v>6</v>
      </c>
      <c r="S160" s="88">
        <v>15.780000000000001</v>
      </c>
      <c r="T160" s="88">
        <v>10.019047619047621</v>
      </c>
      <c r="U160" s="88">
        <v>9.0171428571428596</v>
      </c>
      <c r="V160" s="87" t="s">
        <v>3061</v>
      </c>
      <c r="W160" s="87" t="s">
        <v>3105</v>
      </c>
      <c r="X160" s="90" t="s">
        <v>3477</v>
      </c>
      <c r="Y160" s="89"/>
      <c r="Z160" s="89">
        <v>8</v>
      </c>
      <c r="AA160" s="89"/>
      <c r="AB160" s="89" t="s">
        <v>4613</v>
      </c>
    </row>
    <row r="161" spans="1:28" s="31" customFormat="1" ht="60" customHeight="1" x14ac:dyDescent="0.2">
      <c r="A161" s="76">
        <v>160</v>
      </c>
      <c r="B161" s="77">
        <v>50000510</v>
      </c>
      <c r="C161" s="78" t="s">
        <v>480</v>
      </c>
      <c r="D161" s="79">
        <v>0.05</v>
      </c>
      <c r="E161" s="80">
        <v>30049099</v>
      </c>
      <c r="F161" s="81" t="s">
        <v>481</v>
      </c>
      <c r="G161" s="82" t="s">
        <v>482</v>
      </c>
      <c r="H161" s="82" t="s">
        <v>3692</v>
      </c>
      <c r="I161" s="79" t="s">
        <v>2666</v>
      </c>
      <c r="J161" s="83">
        <v>92.7</v>
      </c>
      <c r="K161" s="83">
        <v>70.628571428571433</v>
      </c>
      <c r="L161" s="83">
        <v>70.628571428571433</v>
      </c>
      <c r="M161" s="84">
        <v>63.565714285714286</v>
      </c>
      <c r="N161" s="59">
        <f t="shared" si="2"/>
        <v>0.31428571428571428</v>
      </c>
      <c r="O161" s="85" t="s">
        <v>376</v>
      </c>
      <c r="P161" s="86" t="s">
        <v>2754</v>
      </c>
      <c r="Q161" s="87" t="s">
        <v>3208</v>
      </c>
      <c r="R161" s="87">
        <v>10</v>
      </c>
      <c r="S161" s="88">
        <v>9.27</v>
      </c>
      <c r="T161" s="88">
        <v>7.0628571428571432</v>
      </c>
      <c r="U161" s="88">
        <v>6.3565714285714288</v>
      </c>
      <c r="V161" s="87" t="s">
        <v>3061</v>
      </c>
      <c r="W161" s="87" t="s">
        <v>3114</v>
      </c>
      <c r="X161" s="90" t="s">
        <v>3477</v>
      </c>
      <c r="Y161" s="89" t="s">
        <v>3455</v>
      </c>
      <c r="Z161" s="89">
        <v>12</v>
      </c>
      <c r="AA161" s="89"/>
      <c r="AB161" s="89"/>
    </row>
    <row r="162" spans="1:28" s="31" customFormat="1" ht="60" customHeight="1" x14ac:dyDescent="0.2">
      <c r="A162" s="76">
        <v>161</v>
      </c>
      <c r="B162" s="77">
        <v>50004869</v>
      </c>
      <c r="C162" s="78" t="s">
        <v>483</v>
      </c>
      <c r="D162" s="79">
        <v>0.05</v>
      </c>
      <c r="E162" s="80">
        <v>30049099</v>
      </c>
      <c r="F162" s="81" t="s">
        <v>484</v>
      </c>
      <c r="G162" s="82" t="s">
        <v>485</v>
      </c>
      <c r="H162" s="82" t="s">
        <v>3771</v>
      </c>
      <c r="I162" s="79" t="s">
        <v>2666</v>
      </c>
      <c r="J162" s="83">
        <v>115.31</v>
      </c>
      <c r="K162" s="83">
        <v>87.855238095238093</v>
      </c>
      <c r="L162" s="83">
        <v>87.855238095238093</v>
      </c>
      <c r="M162" s="84">
        <v>79.069714285714269</v>
      </c>
      <c r="N162" s="59">
        <f t="shared" si="2"/>
        <v>0.31428571428571445</v>
      </c>
      <c r="O162" s="85" t="s">
        <v>376</v>
      </c>
      <c r="P162" s="86" t="s">
        <v>123</v>
      </c>
      <c r="Q162" s="87" t="s">
        <v>3208</v>
      </c>
      <c r="R162" s="87">
        <v>10</v>
      </c>
      <c r="S162" s="88">
        <v>11.531000000000001</v>
      </c>
      <c r="T162" s="88">
        <v>8.7855238095238093</v>
      </c>
      <c r="U162" s="88">
        <v>7.9069714285714268</v>
      </c>
      <c r="V162" s="87" t="s">
        <v>3061</v>
      </c>
      <c r="W162" s="87" t="s">
        <v>3114</v>
      </c>
      <c r="X162" s="90" t="s">
        <v>3477</v>
      </c>
      <c r="Y162" s="89"/>
      <c r="Z162" s="89">
        <v>3</v>
      </c>
      <c r="AA162" s="89"/>
      <c r="AB162" s="89"/>
    </row>
    <row r="163" spans="1:28" s="31" customFormat="1" ht="60" customHeight="1" x14ac:dyDescent="0.2">
      <c r="A163" s="76">
        <v>162</v>
      </c>
      <c r="B163" s="77">
        <v>50003062</v>
      </c>
      <c r="C163" s="78" t="s">
        <v>486</v>
      </c>
      <c r="D163" s="79">
        <v>0.05</v>
      </c>
      <c r="E163" s="80">
        <v>30049099</v>
      </c>
      <c r="F163" s="81" t="s">
        <v>487</v>
      </c>
      <c r="G163" s="82" t="s">
        <v>488</v>
      </c>
      <c r="H163" s="82" t="s">
        <v>489</v>
      </c>
      <c r="I163" s="79" t="s">
        <v>2666</v>
      </c>
      <c r="J163" s="83">
        <v>100.37</v>
      </c>
      <c r="K163" s="83">
        <v>76.472380952380959</v>
      </c>
      <c r="L163" s="83">
        <v>76.472380952380959</v>
      </c>
      <c r="M163" s="84">
        <v>68.825142857142879</v>
      </c>
      <c r="N163" s="59">
        <f t="shared" si="2"/>
        <v>0.31428571428571411</v>
      </c>
      <c r="O163" s="85" t="s">
        <v>376</v>
      </c>
      <c r="P163" s="86" t="s">
        <v>48</v>
      </c>
      <c r="Q163" s="87" t="s">
        <v>3208</v>
      </c>
      <c r="R163" s="87">
        <v>10</v>
      </c>
      <c r="S163" s="88">
        <v>10.037000000000001</v>
      </c>
      <c r="T163" s="88">
        <v>7.6472380952380963</v>
      </c>
      <c r="U163" s="88">
        <v>6.8825142857142882</v>
      </c>
      <c r="V163" s="87" t="s">
        <v>3061</v>
      </c>
      <c r="W163" s="87" t="s">
        <v>3114</v>
      </c>
      <c r="X163" s="90" t="s">
        <v>3477</v>
      </c>
      <c r="Y163" s="89" t="s">
        <v>3455</v>
      </c>
      <c r="Z163" s="89">
        <v>3</v>
      </c>
      <c r="AA163" s="89"/>
      <c r="AB163" s="89" t="s">
        <v>4613</v>
      </c>
    </row>
    <row r="164" spans="1:28" s="31" customFormat="1" ht="60" customHeight="1" x14ac:dyDescent="0.2">
      <c r="A164" s="76">
        <v>163</v>
      </c>
      <c r="B164" s="77">
        <v>50005215</v>
      </c>
      <c r="C164" s="78" t="s">
        <v>3310</v>
      </c>
      <c r="D164" s="79">
        <v>0.05</v>
      </c>
      <c r="E164" s="80">
        <v>30049099</v>
      </c>
      <c r="F164" s="81" t="s">
        <v>3322</v>
      </c>
      <c r="G164" s="82" t="s">
        <v>3345</v>
      </c>
      <c r="H164" s="82" t="s">
        <v>3339</v>
      </c>
      <c r="I164" s="79" t="s">
        <v>2666</v>
      </c>
      <c r="J164" s="83">
        <v>107.8</v>
      </c>
      <c r="K164" s="83">
        <v>82.13333333333334</v>
      </c>
      <c r="L164" s="83">
        <v>82.13333333333334</v>
      </c>
      <c r="M164" s="84">
        <v>65.706666666666663</v>
      </c>
      <c r="N164" s="59">
        <f t="shared" si="2"/>
        <v>0.39047619047619048</v>
      </c>
      <c r="O164" s="85" t="s">
        <v>376</v>
      </c>
      <c r="P164" s="86" t="s">
        <v>3256</v>
      </c>
      <c r="Q164" s="87" t="s">
        <v>3208</v>
      </c>
      <c r="R164" s="87">
        <v>10</v>
      </c>
      <c r="S164" s="88">
        <v>10.78</v>
      </c>
      <c r="T164" s="88">
        <v>8.2133333333333347</v>
      </c>
      <c r="U164" s="88">
        <v>6.570666666666666</v>
      </c>
      <c r="V164" s="87" t="s">
        <v>3061</v>
      </c>
      <c r="W164" s="87" t="s">
        <v>3114</v>
      </c>
      <c r="X164" s="90" t="s">
        <v>3477</v>
      </c>
      <c r="Y164" s="89" t="s">
        <v>3455</v>
      </c>
      <c r="Z164" s="89">
        <v>3</v>
      </c>
      <c r="AA164" s="89" t="s">
        <v>3207</v>
      </c>
      <c r="AB164" s="89"/>
    </row>
    <row r="165" spans="1:28" s="31" customFormat="1" ht="60" customHeight="1" x14ac:dyDescent="0.2">
      <c r="A165" s="76">
        <v>164</v>
      </c>
      <c r="B165" s="77">
        <v>50005114</v>
      </c>
      <c r="C165" s="78" t="s">
        <v>3354</v>
      </c>
      <c r="D165" s="79">
        <v>0.05</v>
      </c>
      <c r="E165" s="80">
        <v>30049099</v>
      </c>
      <c r="F165" s="81" t="s">
        <v>3371</v>
      </c>
      <c r="G165" s="82" t="s">
        <v>3387</v>
      </c>
      <c r="H165" s="82" t="s">
        <v>3287</v>
      </c>
      <c r="I165" s="79" t="s">
        <v>2666</v>
      </c>
      <c r="J165" s="83">
        <v>128.88999999999999</v>
      </c>
      <c r="K165" s="83">
        <v>98.201904761904743</v>
      </c>
      <c r="L165" s="83">
        <v>98.201904761904743</v>
      </c>
      <c r="M165" s="84">
        <v>78.561523809523791</v>
      </c>
      <c r="N165" s="59">
        <f t="shared" si="2"/>
        <v>0.39047619047619053</v>
      </c>
      <c r="O165" s="85" t="s">
        <v>376</v>
      </c>
      <c r="P165" s="86" t="s">
        <v>3256</v>
      </c>
      <c r="Q165" s="87" t="s">
        <v>3208</v>
      </c>
      <c r="R165" s="87">
        <v>10</v>
      </c>
      <c r="S165" s="88">
        <v>12.888999999999999</v>
      </c>
      <c r="T165" s="88">
        <v>9.8201904761904739</v>
      </c>
      <c r="U165" s="88">
        <v>7.8561523809523788</v>
      </c>
      <c r="V165" s="87" t="s">
        <v>3061</v>
      </c>
      <c r="W165" s="87" t="s">
        <v>3114</v>
      </c>
      <c r="X165" s="90" t="s">
        <v>3477</v>
      </c>
      <c r="Y165" s="89" t="s">
        <v>3455</v>
      </c>
      <c r="Z165" s="89">
        <v>3</v>
      </c>
      <c r="AA165" s="89" t="s">
        <v>3207</v>
      </c>
      <c r="AB165" s="89" t="s">
        <v>4613</v>
      </c>
    </row>
    <row r="166" spans="1:28" s="31" customFormat="1" ht="60" customHeight="1" x14ac:dyDescent="0.2">
      <c r="A166" s="76">
        <v>165</v>
      </c>
      <c r="B166" s="77">
        <v>50005218</v>
      </c>
      <c r="C166" s="78" t="s">
        <v>3311</v>
      </c>
      <c r="D166" s="79">
        <v>0.05</v>
      </c>
      <c r="E166" s="80">
        <v>30049099</v>
      </c>
      <c r="F166" s="81" t="s">
        <v>3323</v>
      </c>
      <c r="G166" s="82" t="s">
        <v>3346</v>
      </c>
      <c r="H166" s="82" t="s">
        <v>3340</v>
      </c>
      <c r="I166" s="79" t="s">
        <v>2666</v>
      </c>
      <c r="J166" s="83">
        <v>128.88999999999999</v>
      </c>
      <c r="K166" s="83">
        <v>98.201904761904743</v>
      </c>
      <c r="L166" s="83">
        <v>98.201904761904743</v>
      </c>
      <c r="M166" s="84">
        <v>78.561523809523791</v>
      </c>
      <c r="N166" s="59">
        <f t="shared" si="2"/>
        <v>0.39047619047619053</v>
      </c>
      <c r="O166" s="85" t="s">
        <v>376</v>
      </c>
      <c r="P166" s="86" t="s">
        <v>3256</v>
      </c>
      <c r="Q166" s="87" t="s">
        <v>3208</v>
      </c>
      <c r="R166" s="87">
        <v>10</v>
      </c>
      <c r="S166" s="88">
        <v>12.888999999999999</v>
      </c>
      <c r="T166" s="88">
        <v>9.8201904761904739</v>
      </c>
      <c r="U166" s="88">
        <v>7.8561523809523788</v>
      </c>
      <c r="V166" s="87" t="s">
        <v>3061</v>
      </c>
      <c r="W166" s="87" t="s">
        <v>3114</v>
      </c>
      <c r="X166" s="90" t="s">
        <v>3477</v>
      </c>
      <c r="Y166" s="89" t="s">
        <v>3455</v>
      </c>
      <c r="Z166" s="89">
        <v>3</v>
      </c>
      <c r="AA166" s="89" t="s">
        <v>3207</v>
      </c>
      <c r="AB166" s="89" t="s">
        <v>4613</v>
      </c>
    </row>
    <row r="167" spans="1:28" s="31" customFormat="1" ht="60" customHeight="1" x14ac:dyDescent="0.2">
      <c r="A167" s="76">
        <v>166</v>
      </c>
      <c r="B167" s="77">
        <v>50005115</v>
      </c>
      <c r="C167" s="78" t="s">
        <v>3355</v>
      </c>
      <c r="D167" s="79">
        <v>0.05</v>
      </c>
      <c r="E167" s="80">
        <v>30049099</v>
      </c>
      <c r="F167" s="81" t="s">
        <v>3372</v>
      </c>
      <c r="G167" s="82" t="s">
        <v>3456</v>
      </c>
      <c r="H167" s="82" t="s">
        <v>3288</v>
      </c>
      <c r="I167" s="79" t="s">
        <v>2666</v>
      </c>
      <c r="J167" s="83">
        <v>126.55</v>
      </c>
      <c r="K167" s="83">
        <v>96.419047619047618</v>
      </c>
      <c r="L167" s="83">
        <v>96.419047619047618</v>
      </c>
      <c r="M167" s="84">
        <v>77.135238095238094</v>
      </c>
      <c r="N167" s="59">
        <f t="shared" si="2"/>
        <v>0.39047619047619048</v>
      </c>
      <c r="O167" s="85" t="s">
        <v>376</v>
      </c>
      <c r="P167" s="86" t="s">
        <v>3256</v>
      </c>
      <c r="Q167" s="87" t="s">
        <v>3208</v>
      </c>
      <c r="R167" s="87">
        <v>10</v>
      </c>
      <c r="S167" s="88">
        <v>12.654999999999999</v>
      </c>
      <c r="T167" s="88">
        <v>9.6419047619047618</v>
      </c>
      <c r="U167" s="88">
        <v>7.7135238095238092</v>
      </c>
      <c r="V167" s="87" t="s">
        <v>3061</v>
      </c>
      <c r="W167" s="87" t="s">
        <v>3114</v>
      </c>
      <c r="X167" s="90" t="s">
        <v>3477</v>
      </c>
      <c r="Y167" s="89" t="s">
        <v>3455</v>
      </c>
      <c r="Z167" s="89">
        <v>3</v>
      </c>
      <c r="AA167" s="89" t="s">
        <v>3207</v>
      </c>
      <c r="AB167" s="89"/>
    </row>
    <row r="168" spans="1:28" s="31" customFormat="1" ht="60" customHeight="1" x14ac:dyDescent="0.2">
      <c r="A168" s="76">
        <v>167</v>
      </c>
      <c r="B168" s="77">
        <v>50000422</v>
      </c>
      <c r="C168" s="78" t="s">
        <v>490</v>
      </c>
      <c r="D168" s="79">
        <v>0.05</v>
      </c>
      <c r="E168" s="80">
        <v>30049099</v>
      </c>
      <c r="F168" s="81" t="s">
        <v>491</v>
      </c>
      <c r="G168" s="82" t="s">
        <v>492</v>
      </c>
      <c r="H168" s="82" t="s">
        <v>493</v>
      </c>
      <c r="I168" s="79" t="s">
        <v>2666</v>
      </c>
      <c r="J168" s="83">
        <v>31.94</v>
      </c>
      <c r="K168" s="83">
        <v>24.335238095238093</v>
      </c>
      <c r="L168" s="83">
        <v>24.335238095238093</v>
      </c>
      <c r="M168" s="84">
        <v>21.901714285714281</v>
      </c>
      <c r="N168" s="59">
        <f t="shared" si="2"/>
        <v>0.31428571428571445</v>
      </c>
      <c r="O168" s="85" t="s">
        <v>376</v>
      </c>
      <c r="P168" s="86" t="s">
        <v>2699</v>
      </c>
      <c r="Q168" s="87" t="s">
        <v>3207</v>
      </c>
      <c r="R168" s="87">
        <v>10</v>
      </c>
      <c r="S168" s="88">
        <v>3.194</v>
      </c>
      <c r="T168" s="88">
        <v>2.4335238095238094</v>
      </c>
      <c r="U168" s="88">
        <v>2.190171428571428</v>
      </c>
      <c r="V168" s="87" t="s">
        <v>3061</v>
      </c>
      <c r="W168" s="87" t="s">
        <v>3114</v>
      </c>
      <c r="X168" s="90" t="s">
        <v>3477</v>
      </c>
      <c r="Y168" s="89" t="s">
        <v>3455</v>
      </c>
      <c r="Z168" s="89">
        <v>10</v>
      </c>
      <c r="AA168" s="89" t="s">
        <v>3207</v>
      </c>
      <c r="AB168" s="89"/>
    </row>
    <row r="169" spans="1:28" s="31" customFormat="1" ht="60" customHeight="1" x14ac:dyDescent="0.2">
      <c r="A169" s="76">
        <v>168</v>
      </c>
      <c r="B169" s="77">
        <v>50000250</v>
      </c>
      <c r="C169" s="78" t="s">
        <v>494</v>
      </c>
      <c r="D169" s="79">
        <v>0.05</v>
      </c>
      <c r="E169" s="80">
        <v>30049099</v>
      </c>
      <c r="F169" s="81" t="s">
        <v>495</v>
      </c>
      <c r="G169" s="82" t="s">
        <v>496</v>
      </c>
      <c r="H169" s="82" t="s">
        <v>343</v>
      </c>
      <c r="I169" s="79" t="s">
        <v>2666</v>
      </c>
      <c r="J169" s="83">
        <v>39.75</v>
      </c>
      <c r="K169" s="83">
        <v>30.285714285714285</v>
      </c>
      <c r="L169" s="83">
        <v>30.285714285714285</v>
      </c>
      <c r="M169" s="84">
        <v>27.257142857142853</v>
      </c>
      <c r="N169" s="59">
        <f t="shared" si="2"/>
        <v>0.31428571428571439</v>
      </c>
      <c r="O169" s="85" t="s">
        <v>376</v>
      </c>
      <c r="P169" s="86" t="s">
        <v>3149</v>
      </c>
      <c r="Q169" s="87" t="s">
        <v>3207</v>
      </c>
      <c r="R169" s="87">
        <v>10</v>
      </c>
      <c r="S169" s="88">
        <v>3.9750000000000001</v>
      </c>
      <c r="T169" s="88">
        <v>3.0285714285714285</v>
      </c>
      <c r="U169" s="88">
        <v>2.7257142857142851</v>
      </c>
      <c r="V169" s="87" t="s">
        <v>3061</v>
      </c>
      <c r="W169" s="87" t="s">
        <v>3114</v>
      </c>
      <c r="X169" s="90" t="s">
        <v>3477</v>
      </c>
      <c r="Y169" s="89" t="s">
        <v>3455</v>
      </c>
      <c r="Z169" s="89">
        <v>10</v>
      </c>
      <c r="AA169" s="89" t="s">
        <v>3207</v>
      </c>
      <c r="AB169" s="89"/>
    </row>
    <row r="170" spans="1:28" s="31" customFormat="1" ht="60" customHeight="1" x14ac:dyDescent="0.2">
      <c r="A170" s="76">
        <v>169</v>
      </c>
      <c r="B170" s="77">
        <v>50000605</v>
      </c>
      <c r="C170" s="78" t="s">
        <v>497</v>
      </c>
      <c r="D170" s="79">
        <v>0.05</v>
      </c>
      <c r="E170" s="80">
        <v>30049099</v>
      </c>
      <c r="F170" s="81" t="s">
        <v>498</v>
      </c>
      <c r="G170" s="82" t="s">
        <v>499</v>
      </c>
      <c r="H170" s="82" t="s">
        <v>500</v>
      </c>
      <c r="I170" s="79" t="s">
        <v>2666</v>
      </c>
      <c r="J170" s="83">
        <v>74.709999999999994</v>
      </c>
      <c r="K170" s="83">
        <v>56.921904761904749</v>
      </c>
      <c r="L170" s="83">
        <v>56.921904761904749</v>
      </c>
      <c r="M170" s="84">
        <v>51.229714285714266</v>
      </c>
      <c r="N170" s="59">
        <f t="shared" si="2"/>
        <v>0.3142857142857145</v>
      </c>
      <c r="O170" s="85" t="s">
        <v>376</v>
      </c>
      <c r="P170" s="86" t="s">
        <v>2742</v>
      </c>
      <c r="Q170" s="87" t="s">
        <v>3208</v>
      </c>
      <c r="R170" s="87">
        <v>10</v>
      </c>
      <c r="S170" s="88">
        <v>7.4709999999999992</v>
      </c>
      <c r="T170" s="88">
        <v>5.6921904761904747</v>
      </c>
      <c r="U170" s="88">
        <v>5.122971428571427</v>
      </c>
      <c r="V170" s="87" t="s">
        <v>3061</v>
      </c>
      <c r="W170" s="87" t="s">
        <v>3114</v>
      </c>
      <c r="X170" s="90" t="s">
        <v>3477</v>
      </c>
      <c r="Y170" s="89" t="s">
        <v>3455</v>
      </c>
      <c r="Z170" s="89">
        <v>10</v>
      </c>
      <c r="AA170" s="89" t="s">
        <v>3207</v>
      </c>
      <c r="AB170" s="89"/>
    </row>
    <row r="171" spans="1:28" s="31" customFormat="1" ht="60" customHeight="1" x14ac:dyDescent="0.2">
      <c r="A171" s="76">
        <v>170</v>
      </c>
      <c r="B171" s="77">
        <v>50000679</v>
      </c>
      <c r="C171" s="78" t="s">
        <v>501</v>
      </c>
      <c r="D171" s="79">
        <v>0.05</v>
      </c>
      <c r="E171" s="80">
        <v>30049099</v>
      </c>
      <c r="F171" s="81" t="s">
        <v>502</v>
      </c>
      <c r="G171" s="82" t="s">
        <v>503</v>
      </c>
      <c r="H171" s="82" t="s">
        <v>339</v>
      </c>
      <c r="I171" s="79" t="s">
        <v>2666</v>
      </c>
      <c r="J171" s="83">
        <v>95.81</v>
      </c>
      <c r="K171" s="83">
        <v>72.998095238095246</v>
      </c>
      <c r="L171" s="83">
        <v>72.998095238095246</v>
      </c>
      <c r="M171" s="84">
        <v>67.254325226514084</v>
      </c>
      <c r="N171" s="59">
        <f t="shared" si="2"/>
        <v>0.29804482594182152</v>
      </c>
      <c r="O171" s="85" t="s">
        <v>376</v>
      </c>
      <c r="P171" s="86" t="s">
        <v>2755</v>
      </c>
      <c r="Q171" s="87" t="s">
        <v>3208</v>
      </c>
      <c r="R171" s="87">
        <v>10</v>
      </c>
      <c r="S171" s="88">
        <v>9.5809999999999995</v>
      </c>
      <c r="T171" s="88">
        <v>7.2998095238095244</v>
      </c>
      <c r="U171" s="88">
        <v>6.725432522651408</v>
      </c>
      <c r="V171" s="87" t="s">
        <v>3061</v>
      </c>
      <c r="W171" s="87" t="s">
        <v>3114</v>
      </c>
      <c r="X171" s="90" t="s">
        <v>3477</v>
      </c>
      <c r="Y171" s="89" t="s">
        <v>3455</v>
      </c>
      <c r="Z171" s="89">
        <v>10</v>
      </c>
      <c r="AA171" s="89" t="s">
        <v>3207</v>
      </c>
      <c r="AB171" s="89"/>
    </row>
    <row r="172" spans="1:28" s="31" customFormat="1" ht="60" customHeight="1" x14ac:dyDescent="0.2">
      <c r="A172" s="76">
        <v>171</v>
      </c>
      <c r="B172" s="77">
        <v>50003188</v>
      </c>
      <c r="C172" s="78" t="s">
        <v>504</v>
      </c>
      <c r="D172" s="79">
        <v>0.05</v>
      </c>
      <c r="E172" s="80">
        <v>30049099</v>
      </c>
      <c r="F172" s="81" t="s">
        <v>505</v>
      </c>
      <c r="G172" s="82" t="s">
        <v>506</v>
      </c>
      <c r="H172" s="82" t="s">
        <v>3772</v>
      </c>
      <c r="I172" s="79" t="s">
        <v>2666</v>
      </c>
      <c r="J172" s="83">
        <v>52.64</v>
      </c>
      <c r="K172" s="83">
        <v>40.106666666666669</v>
      </c>
      <c r="L172" s="83">
        <v>40.106666666666669</v>
      </c>
      <c r="M172" s="84">
        <v>36.287806979750108</v>
      </c>
      <c r="N172" s="59">
        <f t="shared" si="2"/>
        <v>0.31064196467040067</v>
      </c>
      <c r="O172" s="85" t="s">
        <v>376</v>
      </c>
      <c r="P172" s="86" t="s">
        <v>2691</v>
      </c>
      <c r="Q172" s="87" t="s">
        <v>3208</v>
      </c>
      <c r="R172" s="87">
        <v>10</v>
      </c>
      <c r="S172" s="88">
        <v>5.2640000000000002</v>
      </c>
      <c r="T172" s="88">
        <v>4.0106666666666673</v>
      </c>
      <c r="U172" s="88">
        <v>3.628780697975011</v>
      </c>
      <c r="V172" s="87" t="s">
        <v>3061</v>
      </c>
      <c r="W172" s="87" t="s">
        <v>3114</v>
      </c>
      <c r="X172" s="90" t="s">
        <v>3477</v>
      </c>
      <c r="Y172" s="89" t="s">
        <v>3455</v>
      </c>
      <c r="Z172" s="89">
        <v>3</v>
      </c>
      <c r="AA172" s="89" t="s">
        <v>3207</v>
      </c>
      <c r="AB172" s="89"/>
    </row>
    <row r="173" spans="1:28" s="31" customFormat="1" ht="60" customHeight="1" x14ac:dyDescent="0.2">
      <c r="A173" s="76">
        <v>172</v>
      </c>
      <c r="B173" s="77">
        <v>50000138</v>
      </c>
      <c r="C173" s="78" t="s">
        <v>507</v>
      </c>
      <c r="D173" s="79">
        <v>0.05</v>
      </c>
      <c r="E173" s="80">
        <v>30049099</v>
      </c>
      <c r="F173" s="81" t="s">
        <v>508</v>
      </c>
      <c r="G173" s="82" t="s">
        <v>509</v>
      </c>
      <c r="H173" s="82" t="s">
        <v>3773</v>
      </c>
      <c r="I173" s="79" t="s">
        <v>2666</v>
      </c>
      <c r="J173" s="83">
        <v>74.89</v>
      </c>
      <c r="K173" s="83">
        <v>57.059047619047625</v>
      </c>
      <c r="L173" s="83">
        <v>57.059047619047625</v>
      </c>
      <c r="M173" s="84">
        <v>51.353142857142863</v>
      </c>
      <c r="N173" s="59">
        <f t="shared" si="2"/>
        <v>0.31428571428571422</v>
      </c>
      <c r="O173" s="85" t="s">
        <v>376</v>
      </c>
      <c r="P173" s="86" t="s">
        <v>2668</v>
      </c>
      <c r="Q173" s="87" t="s">
        <v>3208</v>
      </c>
      <c r="R173" s="87">
        <v>10</v>
      </c>
      <c r="S173" s="88">
        <v>7.4889999999999999</v>
      </c>
      <c r="T173" s="88">
        <v>5.7059047619047627</v>
      </c>
      <c r="U173" s="88">
        <v>5.1353142857142862</v>
      </c>
      <c r="V173" s="87" t="s">
        <v>3061</v>
      </c>
      <c r="W173" s="87" t="s">
        <v>3114</v>
      </c>
      <c r="X173" s="90" t="s">
        <v>3477</v>
      </c>
      <c r="Y173" s="89" t="s">
        <v>3455</v>
      </c>
      <c r="Z173" s="89">
        <v>6</v>
      </c>
      <c r="AA173" s="89" t="s">
        <v>3207</v>
      </c>
      <c r="AB173" s="89"/>
    </row>
    <row r="174" spans="1:28" s="31" customFormat="1" ht="60" customHeight="1" x14ac:dyDescent="0.2">
      <c r="A174" s="76">
        <v>173</v>
      </c>
      <c r="B174" s="77">
        <v>50005407</v>
      </c>
      <c r="C174" s="78" t="s">
        <v>507</v>
      </c>
      <c r="D174" s="79">
        <v>0.05</v>
      </c>
      <c r="E174" s="80">
        <v>30049099</v>
      </c>
      <c r="F174" s="81" t="s">
        <v>4103</v>
      </c>
      <c r="G174" s="82" t="s">
        <v>509</v>
      </c>
      <c r="H174" s="82" t="s">
        <v>3773</v>
      </c>
      <c r="I174" s="79" t="s">
        <v>2663</v>
      </c>
      <c r="J174" s="83">
        <v>123.58</v>
      </c>
      <c r="K174" s="83">
        <v>94.156190476190474</v>
      </c>
      <c r="L174" s="83">
        <v>94.156190476190474</v>
      </c>
      <c r="M174" s="84">
        <v>84.740571428571457</v>
      </c>
      <c r="N174" s="59">
        <f t="shared" si="2"/>
        <v>0.31428571428571406</v>
      </c>
      <c r="O174" s="85" t="s">
        <v>376</v>
      </c>
      <c r="P174" s="86" t="s">
        <v>2691</v>
      </c>
      <c r="Q174" s="87" t="s">
        <v>3208</v>
      </c>
      <c r="R174" s="87">
        <v>15</v>
      </c>
      <c r="S174" s="88">
        <v>8.238666666666667</v>
      </c>
      <c r="T174" s="88">
        <v>6.2770793650793646</v>
      </c>
      <c r="U174" s="88">
        <v>5.6493714285714303</v>
      </c>
      <c r="V174" s="87" t="s">
        <v>3061</v>
      </c>
      <c r="W174" s="87" t="s">
        <v>3114</v>
      </c>
      <c r="X174" s="90" t="s">
        <v>3477</v>
      </c>
      <c r="Y174" s="89"/>
      <c r="Z174" s="89"/>
      <c r="AA174" s="89" t="s">
        <v>3207</v>
      </c>
      <c r="AB174" s="89" t="s">
        <v>4613</v>
      </c>
    </row>
    <row r="175" spans="1:28" s="31" customFormat="1" ht="60" customHeight="1" x14ac:dyDescent="0.2">
      <c r="A175" s="76">
        <v>174</v>
      </c>
      <c r="B175" s="77">
        <v>50002815</v>
      </c>
      <c r="C175" s="78" t="s">
        <v>510</v>
      </c>
      <c r="D175" s="79">
        <v>0.05</v>
      </c>
      <c r="E175" s="80">
        <v>30049099</v>
      </c>
      <c r="F175" s="81" t="s">
        <v>511</v>
      </c>
      <c r="G175" s="82" t="s">
        <v>512</v>
      </c>
      <c r="H175" s="82" t="s">
        <v>3774</v>
      </c>
      <c r="I175" s="79" t="s">
        <v>2664</v>
      </c>
      <c r="J175" s="83">
        <v>278.10000000000002</v>
      </c>
      <c r="K175" s="83">
        <v>211.8857142857143</v>
      </c>
      <c r="L175" s="83">
        <v>211.8857142857143</v>
      </c>
      <c r="M175" s="84">
        <v>190.69714285714286</v>
      </c>
      <c r="N175" s="59">
        <f t="shared" si="2"/>
        <v>0.31428571428571433</v>
      </c>
      <c r="O175" s="85" t="s">
        <v>376</v>
      </c>
      <c r="P175" s="86" t="s">
        <v>2691</v>
      </c>
      <c r="Q175" s="87" t="s">
        <v>3208</v>
      </c>
      <c r="R175" s="87">
        <v>30</v>
      </c>
      <c r="S175" s="88">
        <v>9.2700000000000014</v>
      </c>
      <c r="T175" s="88">
        <v>7.0628571428571432</v>
      </c>
      <c r="U175" s="88">
        <v>6.3565714285714288</v>
      </c>
      <c r="V175" s="87" t="s">
        <v>3061</v>
      </c>
      <c r="W175" s="87" t="s">
        <v>3114</v>
      </c>
      <c r="X175" s="90" t="s">
        <v>3477</v>
      </c>
      <c r="Y175" s="89" t="s">
        <v>3455</v>
      </c>
      <c r="Z175" s="89">
        <v>2</v>
      </c>
      <c r="AA175" s="89" t="s">
        <v>3207</v>
      </c>
      <c r="AB175" s="89"/>
    </row>
    <row r="176" spans="1:28" s="31" customFormat="1" ht="60" customHeight="1" x14ac:dyDescent="0.2">
      <c r="A176" s="76">
        <v>175</v>
      </c>
      <c r="B176" s="77">
        <v>50000314</v>
      </c>
      <c r="C176" s="78" t="s">
        <v>513</v>
      </c>
      <c r="D176" s="79">
        <v>0.05</v>
      </c>
      <c r="E176" s="80">
        <v>30049099</v>
      </c>
      <c r="F176" s="81" t="s">
        <v>514</v>
      </c>
      <c r="G176" s="82" t="s">
        <v>515</v>
      </c>
      <c r="H176" s="82" t="s">
        <v>3775</v>
      </c>
      <c r="I176" s="79" t="s">
        <v>2666</v>
      </c>
      <c r="J176" s="83">
        <v>107.8</v>
      </c>
      <c r="K176" s="83">
        <v>82.13333333333334</v>
      </c>
      <c r="L176" s="83">
        <v>82.13333333333334</v>
      </c>
      <c r="M176" s="84">
        <v>73.92</v>
      </c>
      <c r="N176" s="59">
        <f t="shared" si="2"/>
        <v>0.31428571428571428</v>
      </c>
      <c r="O176" s="85" t="s">
        <v>376</v>
      </c>
      <c r="P176" s="86" t="s">
        <v>2668</v>
      </c>
      <c r="Q176" s="87" t="s">
        <v>3208</v>
      </c>
      <c r="R176" s="87">
        <v>10</v>
      </c>
      <c r="S176" s="88">
        <v>10.78</v>
      </c>
      <c r="T176" s="88">
        <v>8.2133333333333347</v>
      </c>
      <c r="U176" s="88">
        <v>7.3920000000000003</v>
      </c>
      <c r="V176" s="87" t="s">
        <v>3061</v>
      </c>
      <c r="W176" s="87" t="s">
        <v>3114</v>
      </c>
      <c r="X176" s="90" t="s">
        <v>3477</v>
      </c>
      <c r="Y176" s="89" t="s">
        <v>3455</v>
      </c>
      <c r="Z176" s="89">
        <v>6</v>
      </c>
      <c r="AA176" s="89" t="s">
        <v>3207</v>
      </c>
      <c r="AB176" s="89"/>
    </row>
    <row r="177" spans="1:28" s="31" customFormat="1" ht="60" customHeight="1" x14ac:dyDescent="0.2">
      <c r="A177" s="76">
        <v>176</v>
      </c>
      <c r="B177" s="77">
        <v>50005408</v>
      </c>
      <c r="C177" s="78" t="s">
        <v>513</v>
      </c>
      <c r="D177" s="79">
        <v>0.05</v>
      </c>
      <c r="E177" s="80">
        <v>30049099</v>
      </c>
      <c r="F177" s="81" t="s">
        <v>4104</v>
      </c>
      <c r="G177" s="82" t="s">
        <v>515</v>
      </c>
      <c r="H177" s="82" t="s">
        <v>3775</v>
      </c>
      <c r="I177" s="79" t="s">
        <v>2663</v>
      </c>
      <c r="J177" s="83">
        <v>177.88</v>
      </c>
      <c r="K177" s="83">
        <v>135.52761904761905</v>
      </c>
      <c r="L177" s="83">
        <v>135.52761904761905</v>
      </c>
      <c r="M177" s="84">
        <v>121.97485714285713</v>
      </c>
      <c r="N177" s="59">
        <f t="shared" si="2"/>
        <v>0.31428571428571433</v>
      </c>
      <c r="O177" s="85" t="s">
        <v>376</v>
      </c>
      <c r="P177" s="86" t="s">
        <v>2691</v>
      </c>
      <c r="Q177" s="87" t="s">
        <v>3208</v>
      </c>
      <c r="R177" s="87">
        <v>15</v>
      </c>
      <c r="S177" s="88">
        <v>11.858666666666666</v>
      </c>
      <c r="T177" s="88">
        <v>9.0351746031746032</v>
      </c>
      <c r="U177" s="88">
        <v>8.1316571428571418</v>
      </c>
      <c r="V177" s="87" t="s">
        <v>3061</v>
      </c>
      <c r="W177" s="87" t="s">
        <v>3114</v>
      </c>
      <c r="X177" s="90" t="s">
        <v>3477</v>
      </c>
      <c r="Y177" s="89"/>
      <c r="Z177" s="89"/>
      <c r="AA177" s="89" t="s">
        <v>3207</v>
      </c>
      <c r="AB177" s="89" t="s">
        <v>4613</v>
      </c>
    </row>
    <row r="178" spans="1:28" s="31" customFormat="1" ht="60" customHeight="1" x14ac:dyDescent="0.2">
      <c r="A178" s="76">
        <v>177</v>
      </c>
      <c r="B178" s="77">
        <v>50002816</v>
      </c>
      <c r="C178" s="78" t="s">
        <v>516</v>
      </c>
      <c r="D178" s="79">
        <v>0.05</v>
      </c>
      <c r="E178" s="80">
        <v>30049099</v>
      </c>
      <c r="F178" s="81" t="s">
        <v>517</v>
      </c>
      <c r="G178" s="82" t="s">
        <v>518</v>
      </c>
      <c r="H178" s="82" t="s">
        <v>3776</v>
      </c>
      <c r="I178" s="79" t="s">
        <v>2664</v>
      </c>
      <c r="J178" s="83">
        <v>347.1</v>
      </c>
      <c r="K178" s="83">
        <v>264.45714285714286</v>
      </c>
      <c r="L178" s="83">
        <v>264.45714285714286</v>
      </c>
      <c r="M178" s="84">
        <v>238.01142857142855</v>
      </c>
      <c r="N178" s="59">
        <f t="shared" si="2"/>
        <v>0.31428571428571439</v>
      </c>
      <c r="O178" s="85" t="s">
        <v>376</v>
      </c>
      <c r="P178" s="86" t="s">
        <v>2756</v>
      </c>
      <c r="Q178" s="87" t="s">
        <v>3208</v>
      </c>
      <c r="R178" s="87">
        <v>30</v>
      </c>
      <c r="S178" s="88">
        <v>11.57</v>
      </c>
      <c r="T178" s="88">
        <v>8.8152380952380955</v>
      </c>
      <c r="U178" s="88">
        <v>7.9337142857142853</v>
      </c>
      <c r="V178" s="87" t="s">
        <v>3061</v>
      </c>
      <c r="W178" s="87" t="s">
        <v>3114</v>
      </c>
      <c r="X178" s="90" t="s">
        <v>3477</v>
      </c>
      <c r="Y178" s="89" t="s">
        <v>3455</v>
      </c>
      <c r="Z178" s="89">
        <v>2</v>
      </c>
      <c r="AA178" s="89" t="s">
        <v>3207</v>
      </c>
      <c r="AB178" s="89"/>
    </row>
    <row r="179" spans="1:28" s="31" customFormat="1" ht="60" customHeight="1" x14ac:dyDescent="0.2">
      <c r="A179" s="76">
        <v>178</v>
      </c>
      <c r="B179" s="77">
        <v>50002517</v>
      </c>
      <c r="C179" s="78" t="s">
        <v>519</v>
      </c>
      <c r="D179" s="79">
        <v>0.05</v>
      </c>
      <c r="E179" s="80">
        <v>30049099</v>
      </c>
      <c r="F179" s="81" t="s">
        <v>520</v>
      </c>
      <c r="G179" s="82" t="s">
        <v>521</v>
      </c>
      <c r="H179" s="82" t="s">
        <v>3777</v>
      </c>
      <c r="I179" s="79" t="s">
        <v>2666</v>
      </c>
      <c r="J179" s="83">
        <v>118.47</v>
      </c>
      <c r="K179" s="83">
        <v>90.262857142857143</v>
      </c>
      <c r="L179" s="83">
        <v>90.262857142857143</v>
      </c>
      <c r="M179" s="84">
        <v>82.139199999999988</v>
      </c>
      <c r="N179" s="59">
        <f t="shared" si="2"/>
        <v>0.30666666666666675</v>
      </c>
      <c r="O179" s="85" t="s">
        <v>376</v>
      </c>
      <c r="P179" s="86" t="s">
        <v>22</v>
      </c>
      <c r="Q179" s="87" t="s">
        <v>3208</v>
      </c>
      <c r="R179" s="87">
        <v>10</v>
      </c>
      <c r="S179" s="88">
        <v>11.847</v>
      </c>
      <c r="T179" s="88">
        <v>9.0262857142857147</v>
      </c>
      <c r="U179" s="88">
        <v>8.2139199999999981</v>
      </c>
      <c r="V179" s="87" t="s">
        <v>3061</v>
      </c>
      <c r="W179" s="87" t="s">
        <v>3114</v>
      </c>
      <c r="X179" s="90" t="s">
        <v>3477</v>
      </c>
      <c r="Y179" s="89" t="s">
        <v>3455</v>
      </c>
      <c r="Z179" s="89">
        <v>3</v>
      </c>
      <c r="AA179" s="89" t="s">
        <v>3207</v>
      </c>
      <c r="AB179" s="89"/>
    </row>
    <row r="180" spans="1:28" s="31" customFormat="1" ht="60" customHeight="1" x14ac:dyDescent="0.2">
      <c r="A180" s="76">
        <v>179</v>
      </c>
      <c r="B180" s="77">
        <v>50002095</v>
      </c>
      <c r="C180" s="78" t="s">
        <v>522</v>
      </c>
      <c r="D180" s="79">
        <v>0.05</v>
      </c>
      <c r="E180" s="80">
        <v>30049099</v>
      </c>
      <c r="F180" s="81" t="s">
        <v>523</v>
      </c>
      <c r="G180" s="82" t="s">
        <v>524</v>
      </c>
      <c r="H180" s="82" t="s">
        <v>3778</v>
      </c>
      <c r="I180" s="79" t="s">
        <v>2666</v>
      </c>
      <c r="J180" s="83">
        <v>133.94999999999999</v>
      </c>
      <c r="K180" s="83">
        <v>102.05714285714285</v>
      </c>
      <c r="L180" s="83">
        <v>102.05714285714285</v>
      </c>
      <c r="M180" s="84">
        <v>94.016277056277048</v>
      </c>
      <c r="N180" s="59">
        <f t="shared" si="2"/>
        <v>0.29812409812409812</v>
      </c>
      <c r="O180" s="85" t="s">
        <v>376</v>
      </c>
      <c r="P180" s="86" t="s">
        <v>3150</v>
      </c>
      <c r="Q180" s="87" t="s">
        <v>3208</v>
      </c>
      <c r="R180" s="87">
        <v>10</v>
      </c>
      <c r="S180" s="88">
        <v>13.395</v>
      </c>
      <c r="T180" s="88">
        <v>10.205714285714285</v>
      </c>
      <c r="U180" s="88">
        <v>9.4016277056277051</v>
      </c>
      <c r="V180" s="87" t="s">
        <v>3061</v>
      </c>
      <c r="W180" s="87" t="s">
        <v>3114</v>
      </c>
      <c r="X180" s="90" t="s">
        <v>3477</v>
      </c>
      <c r="Y180" s="89" t="s">
        <v>3455</v>
      </c>
      <c r="Z180" s="89">
        <v>2</v>
      </c>
      <c r="AA180" s="89" t="s">
        <v>3207</v>
      </c>
      <c r="AB180" s="89"/>
    </row>
    <row r="181" spans="1:28" s="31" customFormat="1" ht="60" customHeight="1" x14ac:dyDescent="0.2">
      <c r="A181" s="76">
        <v>180</v>
      </c>
      <c r="B181" s="77">
        <v>50002518</v>
      </c>
      <c r="C181" s="78" t="s">
        <v>525</v>
      </c>
      <c r="D181" s="79">
        <v>0.05</v>
      </c>
      <c r="E181" s="80">
        <v>30049099</v>
      </c>
      <c r="F181" s="81" t="s">
        <v>526</v>
      </c>
      <c r="G181" s="82" t="s">
        <v>527</v>
      </c>
      <c r="H181" s="82" t="s">
        <v>3779</v>
      </c>
      <c r="I181" s="79" t="s">
        <v>2666</v>
      </c>
      <c r="J181" s="83">
        <v>133.94999999999999</v>
      </c>
      <c r="K181" s="83">
        <v>102.05714285714285</v>
      </c>
      <c r="L181" s="83">
        <v>102.05714285714285</v>
      </c>
      <c r="M181" s="84">
        <v>93.799858055358428</v>
      </c>
      <c r="N181" s="59">
        <f t="shared" si="2"/>
        <v>0.2997397681570852</v>
      </c>
      <c r="O181" s="85" t="s">
        <v>376</v>
      </c>
      <c r="P181" s="86" t="s">
        <v>22</v>
      </c>
      <c r="Q181" s="87" t="s">
        <v>3208</v>
      </c>
      <c r="R181" s="87">
        <v>10</v>
      </c>
      <c r="S181" s="88">
        <v>13.395</v>
      </c>
      <c r="T181" s="88">
        <v>10.205714285714285</v>
      </c>
      <c r="U181" s="88">
        <v>9.379985805535842</v>
      </c>
      <c r="V181" s="87" t="s">
        <v>3061</v>
      </c>
      <c r="W181" s="87" t="s">
        <v>3114</v>
      </c>
      <c r="X181" s="90" t="s">
        <v>3477</v>
      </c>
      <c r="Y181" s="89" t="s">
        <v>3455</v>
      </c>
      <c r="Z181" s="89">
        <v>3</v>
      </c>
      <c r="AA181" s="89" t="s">
        <v>3207</v>
      </c>
      <c r="AB181" s="89"/>
    </row>
    <row r="182" spans="1:28" s="31" customFormat="1" ht="60" customHeight="1" x14ac:dyDescent="0.2">
      <c r="A182" s="76">
        <v>181</v>
      </c>
      <c r="B182" s="77">
        <v>50002096</v>
      </c>
      <c r="C182" s="78" t="s">
        <v>528</v>
      </c>
      <c r="D182" s="79">
        <v>0.05</v>
      </c>
      <c r="E182" s="80">
        <v>30049099</v>
      </c>
      <c r="F182" s="81" t="s">
        <v>529</v>
      </c>
      <c r="G182" s="82" t="s">
        <v>530</v>
      </c>
      <c r="H182" s="82" t="s">
        <v>3780</v>
      </c>
      <c r="I182" s="79" t="s">
        <v>2666</v>
      </c>
      <c r="J182" s="83">
        <v>139.19999999999999</v>
      </c>
      <c r="K182" s="83">
        <v>106.05714285714285</v>
      </c>
      <c r="L182" s="83">
        <v>106.05714285714285</v>
      </c>
      <c r="M182" s="84">
        <v>96.941487603305788</v>
      </c>
      <c r="N182" s="59">
        <f t="shared" si="2"/>
        <v>0.30358126721763079</v>
      </c>
      <c r="O182" s="85" t="s">
        <v>376</v>
      </c>
      <c r="P182" s="86" t="s">
        <v>3150</v>
      </c>
      <c r="Q182" s="87" t="s">
        <v>3208</v>
      </c>
      <c r="R182" s="87">
        <v>10</v>
      </c>
      <c r="S182" s="88">
        <v>13.919999999999998</v>
      </c>
      <c r="T182" s="88">
        <v>10.605714285714285</v>
      </c>
      <c r="U182" s="88">
        <v>9.6941487603305792</v>
      </c>
      <c r="V182" s="87" t="s">
        <v>3061</v>
      </c>
      <c r="W182" s="87" t="s">
        <v>3114</v>
      </c>
      <c r="X182" s="90" t="s">
        <v>3477</v>
      </c>
      <c r="Y182" s="89" t="s">
        <v>3455</v>
      </c>
      <c r="Z182" s="89">
        <v>2</v>
      </c>
      <c r="AA182" s="89" t="s">
        <v>3207</v>
      </c>
      <c r="AB182" s="89"/>
    </row>
    <row r="183" spans="1:28" s="31" customFormat="1" ht="60" customHeight="1" x14ac:dyDescent="0.2">
      <c r="A183" s="76">
        <v>182</v>
      </c>
      <c r="B183" s="77">
        <v>50000435</v>
      </c>
      <c r="C183" s="78" t="s">
        <v>531</v>
      </c>
      <c r="D183" s="79">
        <v>0.05</v>
      </c>
      <c r="E183" s="80">
        <v>30049099</v>
      </c>
      <c r="F183" s="81" t="s">
        <v>532</v>
      </c>
      <c r="G183" s="82" t="s">
        <v>533</v>
      </c>
      <c r="H183" s="82" t="s">
        <v>3781</v>
      </c>
      <c r="I183" s="79" t="s">
        <v>2666</v>
      </c>
      <c r="J183" s="83">
        <v>113.3</v>
      </c>
      <c r="K183" s="83">
        <v>86.323809523809516</v>
      </c>
      <c r="L183" s="83">
        <v>86.323809523809516</v>
      </c>
      <c r="M183" s="84">
        <v>77.69142857142856</v>
      </c>
      <c r="N183" s="59">
        <f t="shared" si="2"/>
        <v>0.31428571428571439</v>
      </c>
      <c r="O183" s="85" t="s">
        <v>376</v>
      </c>
      <c r="P183" s="86" t="s">
        <v>2757</v>
      </c>
      <c r="Q183" s="87" t="s">
        <v>3208</v>
      </c>
      <c r="R183" s="87">
        <v>10</v>
      </c>
      <c r="S183" s="88">
        <v>11.33</v>
      </c>
      <c r="T183" s="88">
        <v>8.6323809523809523</v>
      </c>
      <c r="U183" s="88">
        <v>7.7691428571428558</v>
      </c>
      <c r="V183" s="87" t="s">
        <v>3061</v>
      </c>
      <c r="W183" s="87" t="s">
        <v>3114</v>
      </c>
      <c r="X183" s="90" t="s">
        <v>3477</v>
      </c>
      <c r="Y183" s="89" t="s">
        <v>3455</v>
      </c>
      <c r="Z183" s="89">
        <v>6</v>
      </c>
      <c r="AA183" s="89" t="s">
        <v>3207</v>
      </c>
      <c r="AB183" s="89"/>
    </row>
    <row r="184" spans="1:28" s="31" customFormat="1" ht="60" customHeight="1" x14ac:dyDescent="0.2">
      <c r="A184" s="76">
        <v>183</v>
      </c>
      <c r="B184" s="77">
        <v>50000371</v>
      </c>
      <c r="C184" s="78" t="s">
        <v>534</v>
      </c>
      <c r="D184" s="79">
        <v>0.05</v>
      </c>
      <c r="E184" s="80">
        <v>30049099</v>
      </c>
      <c r="F184" s="81" t="s">
        <v>535</v>
      </c>
      <c r="G184" s="82" t="s">
        <v>536</v>
      </c>
      <c r="H184" s="82" t="s">
        <v>3782</v>
      </c>
      <c r="I184" s="79" t="s">
        <v>2666</v>
      </c>
      <c r="J184" s="83">
        <v>128.88999999999999</v>
      </c>
      <c r="K184" s="83">
        <v>98.201904761904743</v>
      </c>
      <c r="L184" s="83">
        <v>98.201904761904743</v>
      </c>
      <c r="M184" s="84">
        <v>88.381714285714267</v>
      </c>
      <c r="N184" s="59">
        <f t="shared" si="2"/>
        <v>0.31428571428571433</v>
      </c>
      <c r="O184" s="85" t="s">
        <v>376</v>
      </c>
      <c r="P184" s="86" t="s">
        <v>2668</v>
      </c>
      <c r="Q184" s="87" t="s">
        <v>3208</v>
      </c>
      <c r="R184" s="87">
        <v>10</v>
      </c>
      <c r="S184" s="88">
        <v>12.888999999999999</v>
      </c>
      <c r="T184" s="88">
        <v>9.8201904761904739</v>
      </c>
      <c r="U184" s="88">
        <v>8.8381714285714263</v>
      </c>
      <c r="V184" s="87" t="s">
        <v>3061</v>
      </c>
      <c r="W184" s="87" t="s">
        <v>3114</v>
      </c>
      <c r="X184" s="90" t="s">
        <v>3477</v>
      </c>
      <c r="Y184" s="89" t="s">
        <v>3455</v>
      </c>
      <c r="Z184" s="89">
        <v>6</v>
      </c>
      <c r="AA184" s="89" t="s">
        <v>3207</v>
      </c>
      <c r="AB184" s="89"/>
    </row>
    <row r="185" spans="1:28" s="31" customFormat="1" ht="60" customHeight="1" x14ac:dyDescent="0.2">
      <c r="A185" s="76">
        <v>184</v>
      </c>
      <c r="B185" s="77">
        <v>50002432</v>
      </c>
      <c r="C185" s="78" t="s">
        <v>537</v>
      </c>
      <c r="D185" s="79">
        <v>0.05</v>
      </c>
      <c r="E185" s="80">
        <v>30049099</v>
      </c>
      <c r="F185" s="81" t="s">
        <v>538</v>
      </c>
      <c r="G185" s="82" t="s">
        <v>539</v>
      </c>
      <c r="H185" s="82" t="s">
        <v>3280</v>
      </c>
      <c r="I185" s="79" t="s">
        <v>2666</v>
      </c>
      <c r="J185" s="83">
        <v>61.75</v>
      </c>
      <c r="K185" s="83">
        <v>47.047619047619051</v>
      </c>
      <c r="L185" s="83">
        <v>47.047619047619051</v>
      </c>
      <c r="M185" s="84">
        <v>42.342857142857149</v>
      </c>
      <c r="N185" s="59">
        <f t="shared" si="2"/>
        <v>0.31428571428571417</v>
      </c>
      <c r="O185" s="85" t="s">
        <v>376</v>
      </c>
      <c r="P185" s="86" t="s">
        <v>2758</v>
      </c>
      <c r="Q185" s="87" t="s">
        <v>3208</v>
      </c>
      <c r="R185" s="87">
        <v>10</v>
      </c>
      <c r="S185" s="88">
        <v>6.1749999999999998</v>
      </c>
      <c r="T185" s="88">
        <v>4.7047619047619049</v>
      </c>
      <c r="U185" s="88">
        <v>4.2342857142857149</v>
      </c>
      <c r="V185" s="87" t="s">
        <v>3061</v>
      </c>
      <c r="W185" s="87" t="s">
        <v>3114</v>
      </c>
      <c r="X185" s="90" t="s">
        <v>3477</v>
      </c>
      <c r="Y185" s="89"/>
      <c r="Z185" s="89">
        <v>3</v>
      </c>
      <c r="AA185" s="89"/>
      <c r="AB185" s="89"/>
    </row>
    <row r="186" spans="1:28" s="31" customFormat="1" ht="60" customHeight="1" x14ac:dyDescent="0.2">
      <c r="A186" s="76">
        <v>185</v>
      </c>
      <c r="B186" s="77">
        <v>50000331</v>
      </c>
      <c r="C186" s="78" t="s">
        <v>540</v>
      </c>
      <c r="D186" s="79">
        <v>0.05</v>
      </c>
      <c r="E186" s="80">
        <v>30049099</v>
      </c>
      <c r="F186" s="81" t="s">
        <v>541</v>
      </c>
      <c r="G186" s="82" t="s">
        <v>542</v>
      </c>
      <c r="H186" s="82" t="s">
        <v>3783</v>
      </c>
      <c r="I186" s="79" t="s">
        <v>2666</v>
      </c>
      <c r="J186" s="83">
        <v>116.62</v>
      </c>
      <c r="K186" s="83">
        <v>88.853333333333325</v>
      </c>
      <c r="L186" s="83">
        <v>88.853333333333325</v>
      </c>
      <c r="M186" s="84">
        <v>79.967999999999975</v>
      </c>
      <c r="N186" s="59">
        <f t="shared" si="2"/>
        <v>0.3142857142857145</v>
      </c>
      <c r="O186" s="85" t="s">
        <v>376</v>
      </c>
      <c r="P186" s="86" t="s">
        <v>2759</v>
      </c>
      <c r="Q186" s="87" t="s">
        <v>3208</v>
      </c>
      <c r="R186" s="87">
        <v>10</v>
      </c>
      <c r="S186" s="88">
        <v>11.662000000000001</v>
      </c>
      <c r="T186" s="88">
        <v>8.8853333333333318</v>
      </c>
      <c r="U186" s="88">
        <v>7.9967999999999977</v>
      </c>
      <c r="V186" s="87" t="s">
        <v>3061</v>
      </c>
      <c r="W186" s="87" t="s">
        <v>3114</v>
      </c>
      <c r="X186" s="90" t="s">
        <v>3477</v>
      </c>
      <c r="Y186" s="89"/>
      <c r="Z186" s="89">
        <v>1</v>
      </c>
      <c r="AA186" s="89"/>
      <c r="AB186" s="89"/>
    </row>
    <row r="187" spans="1:28" s="31" customFormat="1" ht="60" customHeight="1" x14ac:dyDescent="0.2">
      <c r="A187" s="76">
        <v>186</v>
      </c>
      <c r="B187" s="77">
        <v>50000788</v>
      </c>
      <c r="C187" s="78" t="s">
        <v>543</v>
      </c>
      <c r="D187" s="79">
        <v>0.05</v>
      </c>
      <c r="E187" s="80">
        <v>30049039</v>
      </c>
      <c r="F187" s="81" t="s">
        <v>544</v>
      </c>
      <c r="G187" s="82" t="s">
        <v>545</v>
      </c>
      <c r="H187" s="82" t="s">
        <v>493</v>
      </c>
      <c r="I187" s="79" t="s">
        <v>2666</v>
      </c>
      <c r="J187" s="83">
        <v>105.99</v>
      </c>
      <c r="K187" s="83">
        <v>80.754285714285714</v>
      </c>
      <c r="L187" s="83">
        <v>80.754285714285714</v>
      </c>
      <c r="M187" s="84">
        <v>72.67885714285714</v>
      </c>
      <c r="N187" s="59">
        <f t="shared" si="2"/>
        <v>0.31428571428571428</v>
      </c>
      <c r="O187" s="85" t="s">
        <v>376</v>
      </c>
      <c r="P187" s="86" t="s">
        <v>2691</v>
      </c>
      <c r="Q187" s="87" t="s">
        <v>3208</v>
      </c>
      <c r="R187" s="87">
        <v>10</v>
      </c>
      <c r="S187" s="88">
        <v>10.599</v>
      </c>
      <c r="T187" s="88">
        <v>8.0754285714285707</v>
      </c>
      <c r="U187" s="88">
        <v>7.2678857142857138</v>
      </c>
      <c r="V187" s="87" t="s">
        <v>3061</v>
      </c>
      <c r="W187" s="87" t="s">
        <v>3105</v>
      </c>
      <c r="X187" s="90" t="s">
        <v>3477</v>
      </c>
      <c r="Y187" s="89"/>
      <c r="Z187" s="89">
        <v>6</v>
      </c>
      <c r="AA187" s="89"/>
      <c r="AB187" s="89"/>
    </row>
    <row r="188" spans="1:28" s="31" customFormat="1" ht="60" customHeight="1" x14ac:dyDescent="0.2">
      <c r="A188" s="76">
        <v>187</v>
      </c>
      <c r="B188" s="77">
        <v>50000721</v>
      </c>
      <c r="C188" s="78" t="s">
        <v>546</v>
      </c>
      <c r="D188" s="79">
        <v>0.05</v>
      </c>
      <c r="E188" s="80">
        <v>30049039</v>
      </c>
      <c r="F188" s="81" t="s">
        <v>547</v>
      </c>
      <c r="G188" s="82" t="s">
        <v>545</v>
      </c>
      <c r="H188" s="82" t="s">
        <v>548</v>
      </c>
      <c r="I188" s="79" t="s">
        <v>2672</v>
      </c>
      <c r="J188" s="83">
        <v>61.13</v>
      </c>
      <c r="K188" s="83">
        <v>46.575238095238099</v>
      </c>
      <c r="L188" s="83">
        <v>46.575238095238099</v>
      </c>
      <c r="M188" s="84">
        <v>41.917714285714283</v>
      </c>
      <c r="N188" s="59">
        <f t="shared" si="2"/>
        <v>0.31428571428571439</v>
      </c>
      <c r="O188" s="85" t="s">
        <v>376</v>
      </c>
      <c r="P188" s="86" t="s">
        <v>3437</v>
      </c>
      <c r="Q188" s="87" t="s">
        <v>3208</v>
      </c>
      <c r="R188" s="87">
        <v>1</v>
      </c>
      <c r="S188" s="88">
        <v>61.13</v>
      </c>
      <c r="T188" s="88">
        <v>46.575238095238099</v>
      </c>
      <c r="U188" s="88">
        <v>41.917714285714283</v>
      </c>
      <c r="V188" s="87" t="s">
        <v>3062</v>
      </c>
      <c r="W188" s="87" t="s">
        <v>3105</v>
      </c>
      <c r="X188" s="90" t="s">
        <v>3480</v>
      </c>
      <c r="Y188" s="89"/>
      <c r="Z188" s="89">
        <v>1</v>
      </c>
      <c r="AA188" s="89"/>
      <c r="AB188" s="89"/>
    </row>
    <row r="189" spans="1:28" s="31" customFormat="1" ht="60" customHeight="1" x14ac:dyDescent="0.2">
      <c r="A189" s="76">
        <v>188</v>
      </c>
      <c r="B189" s="77">
        <v>50000092</v>
      </c>
      <c r="C189" s="78" t="s">
        <v>549</v>
      </c>
      <c r="D189" s="79">
        <v>0.05</v>
      </c>
      <c r="E189" s="80">
        <v>30049039</v>
      </c>
      <c r="F189" s="81" t="s">
        <v>550</v>
      </c>
      <c r="G189" s="82" t="s">
        <v>551</v>
      </c>
      <c r="H189" s="82" t="s">
        <v>154</v>
      </c>
      <c r="I189" s="79" t="s">
        <v>2666</v>
      </c>
      <c r="J189" s="83">
        <v>43.8</v>
      </c>
      <c r="K189" s="83">
        <v>33.371428571428574</v>
      </c>
      <c r="L189" s="83">
        <v>33.371428571428574</v>
      </c>
      <c r="M189" s="84">
        <v>30.034285714285716</v>
      </c>
      <c r="N189" s="59">
        <f t="shared" si="2"/>
        <v>0.31428571428571422</v>
      </c>
      <c r="O189" s="85" t="s">
        <v>376</v>
      </c>
      <c r="P189" s="86" t="s">
        <v>2730</v>
      </c>
      <c r="Q189" s="87" t="s">
        <v>3208</v>
      </c>
      <c r="R189" s="87">
        <v>10</v>
      </c>
      <c r="S189" s="88">
        <v>4.38</v>
      </c>
      <c r="T189" s="88">
        <v>3.3371428571428572</v>
      </c>
      <c r="U189" s="88">
        <v>3.0034285714285716</v>
      </c>
      <c r="V189" s="87" t="s">
        <v>3061</v>
      </c>
      <c r="W189" s="87" t="s">
        <v>3103</v>
      </c>
      <c r="X189" s="90" t="s">
        <v>3477</v>
      </c>
      <c r="Y189" s="89"/>
      <c r="Z189" s="89">
        <v>10</v>
      </c>
      <c r="AA189" s="89"/>
      <c r="AB189" s="89" t="s">
        <v>4613</v>
      </c>
    </row>
    <row r="190" spans="1:28" s="31" customFormat="1" ht="60" customHeight="1" x14ac:dyDescent="0.2">
      <c r="A190" s="76">
        <v>189</v>
      </c>
      <c r="B190" s="77">
        <v>50002651</v>
      </c>
      <c r="C190" s="78" t="s">
        <v>552</v>
      </c>
      <c r="D190" s="79">
        <v>0.05</v>
      </c>
      <c r="E190" s="80">
        <v>30049011</v>
      </c>
      <c r="F190" s="81" t="s">
        <v>553</v>
      </c>
      <c r="G190" s="82" t="s">
        <v>554</v>
      </c>
      <c r="H190" s="82" t="s">
        <v>3784</v>
      </c>
      <c r="I190" s="79" t="s">
        <v>2687</v>
      </c>
      <c r="J190" s="83">
        <v>134</v>
      </c>
      <c r="K190" s="83">
        <v>102.0952380952381</v>
      </c>
      <c r="L190" s="83">
        <v>93.587301587301582</v>
      </c>
      <c r="M190" s="84">
        <v>84.228571428571414</v>
      </c>
      <c r="N190" s="59">
        <f t="shared" si="2"/>
        <v>0.37142857142857155</v>
      </c>
      <c r="O190" s="85" t="s">
        <v>376</v>
      </c>
      <c r="P190" s="86" t="s">
        <v>2760</v>
      </c>
      <c r="Q190" s="87" t="s">
        <v>3208</v>
      </c>
      <c r="R190" s="87">
        <v>1</v>
      </c>
      <c r="S190" s="88">
        <v>134</v>
      </c>
      <c r="T190" s="88">
        <v>93.587301587301582</v>
      </c>
      <c r="U190" s="88">
        <v>84.228571428571414</v>
      </c>
      <c r="V190" s="87" t="s">
        <v>3062</v>
      </c>
      <c r="W190" s="87" t="s">
        <v>3108</v>
      </c>
      <c r="X190" s="90" t="s">
        <v>3480</v>
      </c>
      <c r="Y190" s="89"/>
      <c r="Z190" s="89">
        <v>1</v>
      </c>
      <c r="AA190" s="89"/>
      <c r="AB190" s="89"/>
    </row>
    <row r="191" spans="1:28" s="31" customFormat="1" ht="60" customHeight="1" x14ac:dyDescent="0.2">
      <c r="A191" s="76">
        <v>190</v>
      </c>
      <c r="B191" s="77">
        <v>50000110</v>
      </c>
      <c r="C191" s="78" t="s">
        <v>555</v>
      </c>
      <c r="D191" s="79">
        <v>0.05</v>
      </c>
      <c r="E191" s="80">
        <v>30049039</v>
      </c>
      <c r="F191" s="81" t="s">
        <v>556</v>
      </c>
      <c r="G191" s="82" t="s">
        <v>557</v>
      </c>
      <c r="H191" s="82" t="s">
        <v>158</v>
      </c>
      <c r="I191" s="79" t="s">
        <v>2666</v>
      </c>
      <c r="J191" s="83">
        <v>70.319999999999993</v>
      </c>
      <c r="K191" s="83">
        <v>53.577142857142846</v>
      </c>
      <c r="L191" s="83">
        <v>53.577142857142846</v>
      </c>
      <c r="M191" s="84">
        <v>48.219428571428558</v>
      </c>
      <c r="N191" s="59">
        <f t="shared" si="2"/>
        <v>0.31428571428571439</v>
      </c>
      <c r="O191" s="85" t="s">
        <v>376</v>
      </c>
      <c r="P191" s="86" t="s">
        <v>37</v>
      </c>
      <c r="Q191" s="87" t="s">
        <v>3208</v>
      </c>
      <c r="R191" s="87">
        <v>10</v>
      </c>
      <c r="S191" s="88">
        <v>7.0319999999999991</v>
      </c>
      <c r="T191" s="88">
        <v>5.3577142857142848</v>
      </c>
      <c r="U191" s="88">
        <v>4.8219428571428562</v>
      </c>
      <c r="V191" s="87" t="s">
        <v>3061</v>
      </c>
      <c r="W191" s="87" t="s">
        <v>3103</v>
      </c>
      <c r="X191" s="90" t="s">
        <v>3477</v>
      </c>
      <c r="Y191" s="89"/>
      <c r="Z191" s="89">
        <v>10</v>
      </c>
      <c r="AA191" s="89"/>
      <c r="AB191" s="89"/>
    </row>
    <row r="192" spans="1:28" s="31" customFormat="1" ht="60" customHeight="1" x14ac:dyDescent="0.2">
      <c r="A192" s="76">
        <v>191</v>
      </c>
      <c r="B192" s="77">
        <v>50000512</v>
      </c>
      <c r="C192" s="78" t="s">
        <v>558</v>
      </c>
      <c r="D192" s="79">
        <v>0.05</v>
      </c>
      <c r="E192" s="80">
        <v>30042019</v>
      </c>
      <c r="F192" s="81" t="s">
        <v>559</v>
      </c>
      <c r="G192" s="82" t="s">
        <v>560</v>
      </c>
      <c r="H192" s="82" t="s">
        <v>158</v>
      </c>
      <c r="I192" s="79" t="s">
        <v>2666</v>
      </c>
      <c r="J192" s="83">
        <v>58.77</v>
      </c>
      <c r="K192" s="83">
        <v>44.777142857142856</v>
      </c>
      <c r="L192" s="83">
        <v>41.045714285714283</v>
      </c>
      <c r="M192" s="84">
        <v>36.941142857142871</v>
      </c>
      <c r="N192" s="59">
        <f t="shared" si="2"/>
        <v>0.37142857142857122</v>
      </c>
      <c r="O192" s="85" t="s">
        <v>376</v>
      </c>
      <c r="P192" s="86" t="s">
        <v>2848</v>
      </c>
      <c r="Q192" s="87" t="s">
        <v>3208</v>
      </c>
      <c r="R192" s="87">
        <v>10</v>
      </c>
      <c r="S192" s="88">
        <v>5.8770000000000007</v>
      </c>
      <c r="T192" s="88">
        <v>4.1045714285714281</v>
      </c>
      <c r="U192" s="88">
        <v>3.6941142857142872</v>
      </c>
      <c r="V192" s="87" t="s">
        <v>3061</v>
      </c>
      <c r="W192" s="87" t="s">
        <v>3102</v>
      </c>
      <c r="X192" s="90" t="s">
        <v>3477</v>
      </c>
      <c r="Y192" s="89"/>
      <c r="Z192" s="89">
        <v>6</v>
      </c>
      <c r="AA192" s="89" t="s">
        <v>3207</v>
      </c>
      <c r="AB192" s="89"/>
    </row>
    <row r="193" spans="1:28" s="31" customFormat="1" ht="60" customHeight="1" x14ac:dyDescent="0.2">
      <c r="A193" s="76">
        <v>192</v>
      </c>
      <c r="B193" s="77">
        <v>50000153</v>
      </c>
      <c r="C193" s="78" t="s">
        <v>561</v>
      </c>
      <c r="D193" s="79">
        <v>0.05</v>
      </c>
      <c r="E193" s="80">
        <v>30042019</v>
      </c>
      <c r="F193" s="81" t="s">
        <v>562</v>
      </c>
      <c r="G193" s="82" t="s">
        <v>563</v>
      </c>
      <c r="H193" s="82" t="s">
        <v>323</v>
      </c>
      <c r="I193" s="79" t="s">
        <v>2666</v>
      </c>
      <c r="J193" s="83">
        <v>98.98</v>
      </c>
      <c r="K193" s="83">
        <v>75.413333333333327</v>
      </c>
      <c r="L193" s="83">
        <v>69.128888888888881</v>
      </c>
      <c r="M193" s="84">
        <v>64.743840870240874</v>
      </c>
      <c r="N193" s="59">
        <f t="shared" si="2"/>
        <v>0.34588966588966591</v>
      </c>
      <c r="O193" s="85" t="s">
        <v>376</v>
      </c>
      <c r="P193" s="86" t="s">
        <v>3151</v>
      </c>
      <c r="Q193" s="87" t="s">
        <v>3208</v>
      </c>
      <c r="R193" s="87">
        <v>10</v>
      </c>
      <c r="S193" s="88">
        <v>9.8979999999999997</v>
      </c>
      <c r="T193" s="88">
        <v>6.9128888888888884</v>
      </c>
      <c r="U193" s="88">
        <v>6.4743840870240872</v>
      </c>
      <c r="V193" s="87" t="s">
        <v>3061</v>
      </c>
      <c r="W193" s="87" t="s">
        <v>3102</v>
      </c>
      <c r="X193" s="90" t="s">
        <v>3477</v>
      </c>
      <c r="Y193" s="89"/>
      <c r="Z193" s="89">
        <v>6</v>
      </c>
      <c r="AA193" s="89" t="s">
        <v>3207</v>
      </c>
      <c r="AB193" s="89" t="s">
        <v>4613</v>
      </c>
    </row>
    <row r="194" spans="1:28" s="31" customFormat="1" ht="60" customHeight="1" x14ac:dyDescent="0.2">
      <c r="A194" s="76">
        <v>193</v>
      </c>
      <c r="B194" s="77">
        <v>50000283</v>
      </c>
      <c r="C194" s="78" t="s">
        <v>564</v>
      </c>
      <c r="D194" s="79">
        <v>0.05</v>
      </c>
      <c r="E194" s="80">
        <v>30042019</v>
      </c>
      <c r="F194" s="81" t="s">
        <v>565</v>
      </c>
      <c r="G194" s="82" t="s">
        <v>566</v>
      </c>
      <c r="H194" s="82" t="s">
        <v>246</v>
      </c>
      <c r="I194" s="79" t="s">
        <v>2666</v>
      </c>
      <c r="J194" s="83">
        <v>99.12</v>
      </c>
      <c r="K194" s="83">
        <v>75.52000000000001</v>
      </c>
      <c r="L194" s="83">
        <v>62.933333333333337</v>
      </c>
      <c r="M194" s="84">
        <v>62.933333333333337</v>
      </c>
      <c r="N194" s="59">
        <f t="shared" ref="N194:N257" si="3">(J194-M194)/J194</f>
        <v>0.36507936507936506</v>
      </c>
      <c r="O194" s="85" t="s">
        <v>376</v>
      </c>
      <c r="P194" s="86" t="s">
        <v>2761</v>
      </c>
      <c r="Q194" s="87" t="s">
        <v>3207</v>
      </c>
      <c r="R194" s="87">
        <v>10</v>
      </c>
      <c r="S194" s="88">
        <v>9.9120000000000008</v>
      </c>
      <c r="T194" s="88">
        <v>6.2933333333333339</v>
      </c>
      <c r="U194" s="88">
        <v>6.2933333333333339</v>
      </c>
      <c r="V194" s="87" t="s">
        <v>3061</v>
      </c>
      <c r="W194" s="87" t="s">
        <v>3102</v>
      </c>
      <c r="X194" s="90" t="s">
        <v>3477</v>
      </c>
      <c r="Y194" s="89"/>
      <c r="Z194" s="89">
        <v>6</v>
      </c>
      <c r="AA194" s="89" t="s">
        <v>3207</v>
      </c>
      <c r="AB194" s="89"/>
    </row>
    <row r="195" spans="1:28" s="31" customFormat="1" ht="60" customHeight="1" x14ac:dyDescent="0.2">
      <c r="A195" s="76">
        <v>194</v>
      </c>
      <c r="B195" s="77">
        <v>50001864</v>
      </c>
      <c r="C195" s="78" t="s">
        <v>567</v>
      </c>
      <c r="D195" s="79">
        <v>0.05</v>
      </c>
      <c r="E195" s="80">
        <v>30042019</v>
      </c>
      <c r="F195" s="81" t="s">
        <v>568</v>
      </c>
      <c r="G195" s="82" t="s">
        <v>563</v>
      </c>
      <c r="H195" s="82" t="s">
        <v>569</v>
      </c>
      <c r="I195" s="79" t="s">
        <v>2678</v>
      </c>
      <c r="J195" s="83">
        <v>74.95</v>
      </c>
      <c r="K195" s="83">
        <v>57.104761904761901</v>
      </c>
      <c r="L195" s="83">
        <v>52.346031746031741</v>
      </c>
      <c r="M195" s="84">
        <v>52.346031746031741</v>
      </c>
      <c r="N195" s="59">
        <f t="shared" si="3"/>
        <v>0.30158730158730168</v>
      </c>
      <c r="O195" s="85" t="s">
        <v>376</v>
      </c>
      <c r="P195" s="86" t="s">
        <v>4861</v>
      </c>
      <c r="Q195" s="87" t="s">
        <v>3207</v>
      </c>
      <c r="R195" s="87">
        <v>1</v>
      </c>
      <c r="S195" s="88">
        <v>74.95</v>
      </c>
      <c r="T195" s="88">
        <v>52.346031746031741</v>
      </c>
      <c r="U195" s="88">
        <v>52.346031746031741</v>
      </c>
      <c r="V195" s="87" t="s">
        <v>3062</v>
      </c>
      <c r="W195" s="87" t="s">
        <v>3102</v>
      </c>
      <c r="X195" s="90" t="s">
        <v>3480</v>
      </c>
      <c r="Y195" s="89"/>
      <c r="Z195" s="89">
        <v>1</v>
      </c>
      <c r="AA195" s="89" t="s">
        <v>3207</v>
      </c>
      <c r="AB195" s="89"/>
    </row>
    <row r="196" spans="1:28" s="31" customFormat="1" ht="60" customHeight="1" x14ac:dyDescent="0.2">
      <c r="A196" s="76">
        <v>195</v>
      </c>
      <c r="B196" s="77">
        <v>50005742</v>
      </c>
      <c r="C196" s="78" t="s">
        <v>4092</v>
      </c>
      <c r="D196" s="79">
        <v>0.05</v>
      </c>
      <c r="E196" s="80">
        <v>30042019</v>
      </c>
      <c r="F196" s="81" t="s">
        <v>4105</v>
      </c>
      <c r="G196" s="82" t="s">
        <v>566</v>
      </c>
      <c r="H196" s="82" t="s">
        <v>52</v>
      </c>
      <c r="I196" s="79" t="s">
        <v>2680</v>
      </c>
      <c r="J196" s="83">
        <v>206.24</v>
      </c>
      <c r="K196" s="83">
        <v>157.13523809523809</v>
      </c>
      <c r="L196" s="83">
        <v>144.04063492063491</v>
      </c>
      <c r="M196" s="84">
        <v>144.04063492063491</v>
      </c>
      <c r="N196" s="59">
        <f t="shared" si="3"/>
        <v>0.30158730158730163</v>
      </c>
      <c r="O196" s="85" t="s">
        <v>376</v>
      </c>
      <c r="P196" s="86" t="s">
        <v>4116</v>
      </c>
      <c r="Q196" s="87" t="s">
        <v>3208</v>
      </c>
      <c r="R196" s="87">
        <v>1</v>
      </c>
      <c r="S196" s="88">
        <v>206.24</v>
      </c>
      <c r="T196" s="88">
        <v>144.04063492063491</v>
      </c>
      <c r="U196" s="88">
        <v>144.04063492063491</v>
      </c>
      <c r="V196" s="87" t="s">
        <v>3062</v>
      </c>
      <c r="W196" s="87" t="s">
        <v>3102</v>
      </c>
      <c r="X196" s="90" t="s">
        <v>3480</v>
      </c>
      <c r="Y196" s="89"/>
      <c r="Z196" s="89"/>
      <c r="AA196" s="89" t="s">
        <v>3207</v>
      </c>
      <c r="AB196" s="89"/>
    </row>
    <row r="197" spans="1:28" s="31" customFormat="1" ht="60" customHeight="1" x14ac:dyDescent="0.2">
      <c r="A197" s="76">
        <v>196</v>
      </c>
      <c r="B197" s="77">
        <v>50000858</v>
      </c>
      <c r="C197" s="78" t="s">
        <v>570</v>
      </c>
      <c r="D197" s="79">
        <v>0.05</v>
      </c>
      <c r="E197" s="80">
        <v>30042019</v>
      </c>
      <c r="F197" s="81" t="s">
        <v>571</v>
      </c>
      <c r="G197" s="82" t="s">
        <v>560</v>
      </c>
      <c r="H197" s="82" t="s">
        <v>361</v>
      </c>
      <c r="I197" s="79" t="s">
        <v>2678</v>
      </c>
      <c r="J197" s="83">
        <v>51.01</v>
      </c>
      <c r="K197" s="83">
        <v>38.864761904761906</v>
      </c>
      <c r="L197" s="83">
        <v>35.626031746031749</v>
      </c>
      <c r="M197" s="84">
        <v>35.626031746031749</v>
      </c>
      <c r="N197" s="59">
        <f t="shared" si="3"/>
        <v>0.30158730158730152</v>
      </c>
      <c r="O197" s="85" t="s">
        <v>376</v>
      </c>
      <c r="P197" s="86" t="s">
        <v>3259</v>
      </c>
      <c r="Q197" s="87" t="s">
        <v>3207</v>
      </c>
      <c r="R197" s="87">
        <v>1</v>
      </c>
      <c r="S197" s="88">
        <v>51.01</v>
      </c>
      <c r="T197" s="88">
        <v>35.626031746031749</v>
      </c>
      <c r="U197" s="88">
        <v>35.626031746031749</v>
      </c>
      <c r="V197" s="87" t="s">
        <v>3062</v>
      </c>
      <c r="W197" s="87" t="s">
        <v>3102</v>
      </c>
      <c r="X197" s="90" t="s">
        <v>3480</v>
      </c>
      <c r="Y197" s="89"/>
      <c r="Z197" s="89">
        <v>120</v>
      </c>
      <c r="AA197" s="89" t="s">
        <v>3207</v>
      </c>
      <c r="AB197" s="89"/>
    </row>
    <row r="198" spans="1:28" s="31" customFormat="1" ht="60" customHeight="1" x14ac:dyDescent="0.2">
      <c r="A198" s="76">
        <v>197</v>
      </c>
      <c r="B198" s="77">
        <v>50000021</v>
      </c>
      <c r="C198" s="78" t="s">
        <v>572</v>
      </c>
      <c r="D198" s="79">
        <v>0.05</v>
      </c>
      <c r="E198" s="80">
        <v>30042019</v>
      </c>
      <c r="F198" s="81" t="s">
        <v>573</v>
      </c>
      <c r="G198" s="82" t="s">
        <v>574</v>
      </c>
      <c r="H198" s="82" t="s">
        <v>154</v>
      </c>
      <c r="I198" s="79" t="s">
        <v>2762</v>
      </c>
      <c r="J198" s="83">
        <v>63.65</v>
      </c>
      <c r="K198" s="83">
        <v>48.495238095238093</v>
      </c>
      <c r="L198" s="83">
        <v>44.453968253968249</v>
      </c>
      <c r="M198" s="84">
        <v>43.934147501982537</v>
      </c>
      <c r="N198" s="59">
        <f t="shared" si="3"/>
        <v>0.30975416336241102</v>
      </c>
      <c r="O198" s="85" t="s">
        <v>376</v>
      </c>
      <c r="P198" s="86" t="s">
        <v>319</v>
      </c>
      <c r="Q198" s="87" t="s">
        <v>3208</v>
      </c>
      <c r="R198" s="87">
        <v>1</v>
      </c>
      <c r="S198" s="88">
        <v>63.65</v>
      </c>
      <c r="T198" s="88">
        <v>44.453968253968249</v>
      </c>
      <c r="U198" s="88">
        <v>43.934147501982537</v>
      </c>
      <c r="V198" s="87" t="s">
        <v>3062</v>
      </c>
      <c r="W198" s="87" t="s">
        <v>3102</v>
      </c>
      <c r="X198" s="90" t="s">
        <v>3482</v>
      </c>
      <c r="Y198" s="89"/>
      <c r="Z198" s="89">
        <v>1</v>
      </c>
      <c r="AA198" s="89" t="s">
        <v>3207</v>
      </c>
      <c r="AB198" s="89"/>
    </row>
    <row r="199" spans="1:28" s="31" customFormat="1" ht="60" customHeight="1" x14ac:dyDescent="0.2">
      <c r="A199" s="76">
        <v>198</v>
      </c>
      <c r="B199" s="77">
        <v>50000827</v>
      </c>
      <c r="C199" s="78" t="s">
        <v>575</v>
      </c>
      <c r="D199" s="79">
        <v>0.05</v>
      </c>
      <c r="E199" s="80">
        <v>30049087</v>
      </c>
      <c r="F199" s="81" t="s">
        <v>576</v>
      </c>
      <c r="G199" s="82" t="s">
        <v>577</v>
      </c>
      <c r="H199" s="82" t="s">
        <v>3785</v>
      </c>
      <c r="I199" s="79" t="s">
        <v>2702</v>
      </c>
      <c r="J199" s="83">
        <v>101.97</v>
      </c>
      <c r="K199" s="83">
        <v>77.691428571428574</v>
      </c>
      <c r="L199" s="83">
        <v>77.691428571428574</v>
      </c>
      <c r="M199" s="84">
        <v>70.229858618430043</v>
      </c>
      <c r="N199" s="59">
        <f t="shared" si="3"/>
        <v>0.31126940650750179</v>
      </c>
      <c r="O199" s="85" t="s">
        <v>376</v>
      </c>
      <c r="P199" s="86" t="s">
        <v>68</v>
      </c>
      <c r="Q199" s="87" t="s">
        <v>3208</v>
      </c>
      <c r="R199" s="87">
        <v>6</v>
      </c>
      <c r="S199" s="88">
        <v>16.995000000000001</v>
      </c>
      <c r="T199" s="88">
        <v>12.948571428571428</v>
      </c>
      <c r="U199" s="88">
        <v>11.704976436405007</v>
      </c>
      <c r="V199" s="87" t="s">
        <v>3061</v>
      </c>
      <c r="W199" s="87" t="s">
        <v>3102</v>
      </c>
      <c r="X199" s="90" t="s">
        <v>3477</v>
      </c>
      <c r="Y199" s="89"/>
      <c r="Z199" s="89">
        <v>3</v>
      </c>
      <c r="AA199" s="89" t="s">
        <v>3207</v>
      </c>
      <c r="AB199" s="89"/>
    </row>
    <row r="200" spans="1:28" s="31" customFormat="1" ht="60" customHeight="1" x14ac:dyDescent="0.2">
      <c r="A200" s="76">
        <v>199</v>
      </c>
      <c r="B200" s="77">
        <v>50000162</v>
      </c>
      <c r="C200" s="78" t="s">
        <v>578</v>
      </c>
      <c r="D200" s="79">
        <v>0.05</v>
      </c>
      <c r="E200" s="80">
        <v>30049087</v>
      </c>
      <c r="F200" s="81" t="s">
        <v>579</v>
      </c>
      <c r="G200" s="82" t="s">
        <v>580</v>
      </c>
      <c r="H200" s="82" t="s">
        <v>3786</v>
      </c>
      <c r="I200" s="79" t="s">
        <v>2702</v>
      </c>
      <c r="J200" s="83">
        <v>185.55</v>
      </c>
      <c r="K200" s="83">
        <v>141.37142857142857</v>
      </c>
      <c r="L200" s="83">
        <v>141.37142857142857</v>
      </c>
      <c r="M200" s="84">
        <v>133.70353384651486</v>
      </c>
      <c r="N200" s="59">
        <f t="shared" si="3"/>
        <v>0.2794204589247381</v>
      </c>
      <c r="O200" s="85" t="s">
        <v>376</v>
      </c>
      <c r="P200" s="86" t="s">
        <v>2763</v>
      </c>
      <c r="Q200" s="87" t="s">
        <v>3208</v>
      </c>
      <c r="R200" s="87">
        <v>6</v>
      </c>
      <c r="S200" s="88">
        <v>30.925000000000001</v>
      </c>
      <c r="T200" s="88">
        <v>23.56190476190476</v>
      </c>
      <c r="U200" s="88">
        <v>22.283922307752476</v>
      </c>
      <c r="V200" s="87" t="s">
        <v>3061</v>
      </c>
      <c r="W200" s="87" t="s">
        <v>3102</v>
      </c>
      <c r="X200" s="90" t="s">
        <v>3477</v>
      </c>
      <c r="Y200" s="89"/>
      <c r="Z200" s="89">
        <v>6</v>
      </c>
      <c r="AA200" s="89" t="s">
        <v>3207</v>
      </c>
      <c r="AB200" s="89"/>
    </row>
    <row r="201" spans="1:28" s="31" customFormat="1" ht="60" customHeight="1" x14ac:dyDescent="0.2">
      <c r="A201" s="76">
        <v>200</v>
      </c>
      <c r="B201" s="77">
        <v>50003201</v>
      </c>
      <c r="C201" s="78" t="s">
        <v>581</v>
      </c>
      <c r="D201" s="79">
        <v>0.05</v>
      </c>
      <c r="E201" s="80">
        <v>30049087</v>
      </c>
      <c r="F201" s="81" t="s">
        <v>582</v>
      </c>
      <c r="G201" s="82" t="s">
        <v>583</v>
      </c>
      <c r="H201" s="82" t="s">
        <v>3752</v>
      </c>
      <c r="I201" s="79" t="s">
        <v>2666</v>
      </c>
      <c r="J201" s="83">
        <v>147.16999999999999</v>
      </c>
      <c r="K201" s="83">
        <v>112.12952380952379</v>
      </c>
      <c r="L201" s="83">
        <v>93.441269841269829</v>
      </c>
      <c r="M201" s="84">
        <v>84.09714285714287</v>
      </c>
      <c r="N201" s="59">
        <f t="shared" si="3"/>
        <v>0.42857142857142844</v>
      </c>
      <c r="O201" s="85" t="s">
        <v>376</v>
      </c>
      <c r="P201" s="86" t="s">
        <v>37</v>
      </c>
      <c r="Q201" s="87" t="s">
        <v>3208</v>
      </c>
      <c r="R201" s="87">
        <v>10</v>
      </c>
      <c r="S201" s="88">
        <v>14.716999999999999</v>
      </c>
      <c r="T201" s="88">
        <v>9.3441269841269836</v>
      </c>
      <c r="U201" s="88">
        <v>8.409714285714287</v>
      </c>
      <c r="V201" s="87" t="s">
        <v>3061</v>
      </c>
      <c r="W201" s="87" t="s">
        <v>3105</v>
      </c>
      <c r="X201" s="90" t="s">
        <v>3477</v>
      </c>
      <c r="Y201" s="89"/>
      <c r="Z201" s="89">
        <v>12</v>
      </c>
      <c r="AA201" s="89" t="s">
        <v>3207</v>
      </c>
      <c r="AB201" s="89"/>
    </row>
    <row r="202" spans="1:28" s="31" customFormat="1" ht="60" customHeight="1" x14ac:dyDescent="0.2">
      <c r="A202" s="76">
        <v>201</v>
      </c>
      <c r="B202" s="77">
        <v>50003247</v>
      </c>
      <c r="C202" s="78" t="s">
        <v>584</v>
      </c>
      <c r="D202" s="79">
        <v>0.05</v>
      </c>
      <c r="E202" s="80">
        <v>30049087</v>
      </c>
      <c r="F202" s="81" t="s">
        <v>585</v>
      </c>
      <c r="G202" s="82" t="s">
        <v>586</v>
      </c>
      <c r="H202" s="82" t="s">
        <v>3752</v>
      </c>
      <c r="I202" s="79" t="s">
        <v>2666</v>
      </c>
      <c r="J202" s="83">
        <v>235.11</v>
      </c>
      <c r="K202" s="83">
        <v>179.13142857142856</v>
      </c>
      <c r="L202" s="83">
        <v>164.2038095238095</v>
      </c>
      <c r="M202" s="84">
        <v>164.2038095238095</v>
      </c>
      <c r="N202" s="59">
        <f t="shared" si="3"/>
        <v>0.30158730158730174</v>
      </c>
      <c r="O202" s="85" t="s">
        <v>376</v>
      </c>
      <c r="P202" s="86" t="s">
        <v>377</v>
      </c>
      <c r="Q202" s="87" t="s">
        <v>3208</v>
      </c>
      <c r="R202" s="87">
        <v>10</v>
      </c>
      <c r="S202" s="88">
        <v>23.511000000000003</v>
      </c>
      <c r="T202" s="88">
        <v>16.420380952380949</v>
      </c>
      <c r="U202" s="88">
        <v>16.420380952380949</v>
      </c>
      <c r="V202" s="87" t="s">
        <v>3061</v>
      </c>
      <c r="W202" s="87" t="s">
        <v>3102</v>
      </c>
      <c r="X202" s="90" t="s">
        <v>3477</v>
      </c>
      <c r="Y202" s="89"/>
      <c r="Z202" s="89">
        <v>3</v>
      </c>
      <c r="AA202" s="89" t="s">
        <v>3207</v>
      </c>
      <c r="AB202" s="89"/>
    </row>
    <row r="203" spans="1:28" s="31" customFormat="1" ht="60" customHeight="1" x14ac:dyDescent="0.2">
      <c r="A203" s="76">
        <v>202</v>
      </c>
      <c r="B203" s="77">
        <v>50000922</v>
      </c>
      <c r="C203" s="78" t="s">
        <v>587</v>
      </c>
      <c r="D203" s="79">
        <v>0.05</v>
      </c>
      <c r="E203" s="80">
        <v>30043200</v>
      </c>
      <c r="F203" s="81" t="s">
        <v>588</v>
      </c>
      <c r="G203" s="82" t="s">
        <v>589</v>
      </c>
      <c r="H203" s="82" t="s">
        <v>590</v>
      </c>
      <c r="I203" s="79" t="s">
        <v>2666</v>
      </c>
      <c r="J203" s="83">
        <v>119.2</v>
      </c>
      <c r="K203" s="83">
        <v>90.819047619047609</v>
      </c>
      <c r="L203" s="83">
        <v>90.819047619047609</v>
      </c>
      <c r="M203" s="84">
        <v>81.737142857142828</v>
      </c>
      <c r="N203" s="59">
        <f t="shared" si="3"/>
        <v>0.31428571428571456</v>
      </c>
      <c r="O203" s="85" t="s">
        <v>376</v>
      </c>
      <c r="P203" s="86" t="s">
        <v>2764</v>
      </c>
      <c r="Q203" s="87" t="s">
        <v>3208</v>
      </c>
      <c r="R203" s="87">
        <v>10</v>
      </c>
      <c r="S203" s="88">
        <v>11.92</v>
      </c>
      <c r="T203" s="88">
        <v>9.0819047619047613</v>
      </c>
      <c r="U203" s="88">
        <v>8.1737142857142828</v>
      </c>
      <c r="V203" s="87" t="s">
        <v>3061</v>
      </c>
      <c r="W203" s="87" t="s">
        <v>3115</v>
      </c>
      <c r="X203" s="90" t="s">
        <v>3477</v>
      </c>
      <c r="Y203" s="89"/>
      <c r="Z203" s="89">
        <v>3</v>
      </c>
      <c r="AA203" s="89"/>
      <c r="AB203" s="89"/>
    </row>
    <row r="204" spans="1:28" s="31" customFormat="1" ht="60" customHeight="1" x14ac:dyDescent="0.2">
      <c r="A204" s="76">
        <v>203</v>
      </c>
      <c r="B204" s="77">
        <v>50000927</v>
      </c>
      <c r="C204" s="78" t="s">
        <v>591</v>
      </c>
      <c r="D204" s="79">
        <v>0.05</v>
      </c>
      <c r="E204" s="80">
        <v>30043200</v>
      </c>
      <c r="F204" s="81" t="s">
        <v>592</v>
      </c>
      <c r="G204" s="82" t="s">
        <v>589</v>
      </c>
      <c r="H204" s="82" t="s">
        <v>150</v>
      </c>
      <c r="I204" s="79" t="s">
        <v>2678</v>
      </c>
      <c r="J204" s="83">
        <v>85.05</v>
      </c>
      <c r="K204" s="83">
        <v>64.8</v>
      </c>
      <c r="L204" s="83">
        <v>64.8</v>
      </c>
      <c r="M204" s="84">
        <v>58.319999999999993</v>
      </c>
      <c r="N204" s="59">
        <f t="shared" si="3"/>
        <v>0.31428571428571433</v>
      </c>
      <c r="O204" s="85" t="s">
        <v>376</v>
      </c>
      <c r="P204" s="86" t="s">
        <v>3197</v>
      </c>
      <c r="Q204" s="87" t="s">
        <v>3208</v>
      </c>
      <c r="R204" s="87">
        <v>1</v>
      </c>
      <c r="S204" s="88">
        <v>85.05</v>
      </c>
      <c r="T204" s="88">
        <v>64.8</v>
      </c>
      <c r="U204" s="88">
        <v>58.319999999999993</v>
      </c>
      <c r="V204" s="87" t="s">
        <v>3062</v>
      </c>
      <c r="W204" s="87" t="s">
        <v>3115</v>
      </c>
      <c r="X204" s="90" t="s">
        <v>3480</v>
      </c>
      <c r="Y204" s="89"/>
      <c r="Z204" s="89">
        <v>1</v>
      </c>
      <c r="AA204" s="89"/>
      <c r="AB204" s="89"/>
    </row>
    <row r="205" spans="1:28" s="31" customFormat="1" ht="60" customHeight="1" x14ac:dyDescent="0.2">
      <c r="A205" s="76">
        <v>204</v>
      </c>
      <c r="B205" s="77">
        <v>50001436</v>
      </c>
      <c r="C205" s="78" t="s">
        <v>593</v>
      </c>
      <c r="D205" s="79">
        <v>0.05</v>
      </c>
      <c r="E205" s="80">
        <v>30042039</v>
      </c>
      <c r="F205" s="81" t="s">
        <v>594</v>
      </c>
      <c r="G205" s="82" t="s">
        <v>595</v>
      </c>
      <c r="H205" s="82" t="s">
        <v>47</v>
      </c>
      <c r="I205" s="79" t="s">
        <v>2752</v>
      </c>
      <c r="J205" s="83">
        <v>116.55</v>
      </c>
      <c r="K205" s="83">
        <v>88.8</v>
      </c>
      <c r="L205" s="83">
        <v>88.8</v>
      </c>
      <c r="M205" s="84">
        <v>88.8</v>
      </c>
      <c r="N205" s="59">
        <f t="shared" si="3"/>
        <v>0.23809523809523811</v>
      </c>
      <c r="O205" s="85" t="s">
        <v>376</v>
      </c>
      <c r="P205" s="86" t="s">
        <v>2765</v>
      </c>
      <c r="Q205" s="87" t="s">
        <v>3207</v>
      </c>
      <c r="R205" s="87">
        <v>5</v>
      </c>
      <c r="S205" s="88">
        <v>23.31</v>
      </c>
      <c r="T205" s="88">
        <v>17.759999999999998</v>
      </c>
      <c r="U205" s="88">
        <v>17.759999999999998</v>
      </c>
      <c r="V205" s="87" t="s">
        <v>3061</v>
      </c>
      <c r="W205" s="87" t="s">
        <v>3102</v>
      </c>
      <c r="X205" s="90" t="s">
        <v>3477</v>
      </c>
      <c r="Y205" s="89"/>
      <c r="Z205" s="89">
        <v>4</v>
      </c>
      <c r="AA205" s="89" t="s">
        <v>3207</v>
      </c>
      <c r="AB205" s="89"/>
    </row>
    <row r="206" spans="1:28" s="31" customFormat="1" ht="60" customHeight="1" x14ac:dyDescent="0.2">
      <c r="A206" s="76">
        <v>205</v>
      </c>
      <c r="B206" s="77">
        <v>50002429</v>
      </c>
      <c r="C206" s="78" t="s">
        <v>596</v>
      </c>
      <c r="D206" s="79">
        <v>0.05</v>
      </c>
      <c r="E206" s="80">
        <v>30049099</v>
      </c>
      <c r="F206" s="81" t="s">
        <v>597</v>
      </c>
      <c r="G206" s="82" t="s">
        <v>598</v>
      </c>
      <c r="H206" s="82" t="s">
        <v>3717</v>
      </c>
      <c r="I206" s="79" t="s">
        <v>2666</v>
      </c>
      <c r="J206" s="83">
        <v>144.27000000000001</v>
      </c>
      <c r="K206" s="83">
        <v>109.92</v>
      </c>
      <c r="L206" s="83">
        <v>100.76</v>
      </c>
      <c r="M206" s="84">
        <v>90.684000000000012</v>
      </c>
      <c r="N206" s="59">
        <f t="shared" si="3"/>
        <v>0.37142857142857139</v>
      </c>
      <c r="O206" s="85" t="s">
        <v>376</v>
      </c>
      <c r="P206" s="86" t="s">
        <v>95</v>
      </c>
      <c r="Q206" s="87" t="s">
        <v>3208</v>
      </c>
      <c r="R206" s="87">
        <v>10</v>
      </c>
      <c r="S206" s="88">
        <v>14.427000000000001</v>
      </c>
      <c r="T206" s="88">
        <v>10.076000000000001</v>
      </c>
      <c r="U206" s="88">
        <v>9.0684000000000005</v>
      </c>
      <c r="V206" s="87" t="s">
        <v>3061</v>
      </c>
      <c r="W206" s="87" t="s">
        <v>3107</v>
      </c>
      <c r="X206" s="90" t="s">
        <v>3477</v>
      </c>
      <c r="Y206" s="89"/>
      <c r="Z206" s="89">
        <v>6</v>
      </c>
      <c r="AA206" s="89"/>
      <c r="AB206" s="89"/>
    </row>
    <row r="207" spans="1:28" s="31" customFormat="1" ht="60" customHeight="1" x14ac:dyDescent="0.2">
      <c r="A207" s="76">
        <v>206</v>
      </c>
      <c r="B207" s="77">
        <v>50000443</v>
      </c>
      <c r="C207" s="78" t="s">
        <v>599</v>
      </c>
      <c r="D207" s="79">
        <v>0.05</v>
      </c>
      <c r="E207" s="80">
        <v>30049099</v>
      </c>
      <c r="F207" s="81" t="s">
        <v>600</v>
      </c>
      <c r="G207" s="82" t="s">
        <v>601</v>
      </c>
      <c r="H207" s="82" t="s">
        <v>72</v>
      </c>
      <c r="I207" s="79" t="s">
        <v>2666</v>
      </c>
      <c r="J207" s="83">
        <v>19.739999999999998</v>
      </c>
      <c r="K207" s="83">
        <v>15.039999999999997</v>
      </c>
      <c r="L207" s="83">
        <v>15.039999999999997</v>
      </c>
      <c r="M207" s="84">
        <v>13.535999999999998</v>
      </c>
      <c r="N207" s="59">
        <f t="shared" si="3"/>
        <v>0.31428571428571433</v>
      </c>
      <c r="O207" s="85" t="s">
        <v>376</v>
      </c>
      <c r="P207" s="86" t="s">
        <v>2766</v>
      </c>
      <c r="Q207" s="87" t="s">
        <v>3207</v>
      </c>
      <c r="R207" s="87">
        <v>10</v>
      </c>
      <c r="S207" s="88">
        <v>1.9739999999999998</v>
      </c>
      <c r="T207" s="88">
        <v>1.5039999999999998</v>
      </c>
      <c r="U207" s="88">
        <v>1.3535999999999997</v>
      </c>
      <c r="V207" s="87" t="s">
        <v>3061</v>
      </c>
      <c r="W207" s="87" t="s">
        <v>3114</v>
      </c>
      <c r="X207" s="90" t="s">
        <v>3477</v>
      </c>
      <c r="Y207" s="89"/>
      <c r="Z207" s="89">
        <v>6</v>
      </c>
      <c r="AA207" s="89"/>
      <c r="AB207" s="89"/>
    </row>
    <row r="208" spans="1:28" s="31" customFormat="1" ht="60" customHeight="1" x14ac:dyDescent="0.2">
      <c r="A208" s="76">
        <v>207</v>
      </c>
      <c r="B208" s="77">
        <v>50000779</v>
      </c>
      <c r="C208" s="78" t="s">
        <v>602</v>
      </c>
      <c r="D208" s="79">
        <v>0.05</v>
      </c>
      <c r="E208" s="80">
        <v>30049099</v>
      </c>
      <c r="F208" s="81" t="s">
        <v>603</v>
      </c>
      <c r="G208" s="82" t="s">
        <v>601</v>
      </c>
      <c r="H208" s="82" t="s">
        <v>72</v>
      </c>
      <c r="I208" s="79" t="s">
        <v>2666</v>
      </c>
      <c r="J208" s="83">
        <v>21.61</v>
      </c>
      <c r="K208" s="83">
        <v>16.464761904761907</v>
      </c>
      <c r="L208" s="83">
        <v>16.464761904761907</v>
      </c>
      <c r="M208" s="84">
        <v>16.464761904761907</v>
      </c>
      <c r="N208" s="59">
        <f t="shared" si="3"/>
        <v>0.23809523809523794</v>
      </c>
      <c r="O208" s="85" t="s">
        <v>376</v>
      </c>
      <c r="P208" s="86" t="s">
        <v>22</v>
      </c>
      <c r="Q208" s="87" t="s">
        <v>3207</v>
      </c>
      <c r="R208" s="87">
        <v>10</v>
      </c>
      <c r="S208" s="88">
        <v>2.161</v>
      </c>
      <c r="T208" s="88">
        <v>1.6464761904761906</v>
      </c>
      <c r="U208" s="88">
        <v>1.6464761904761906</v>
      </c>
      <c r="V208" s="87" t="s">
        <v>3061</v>
      </c>
      <c r="W208" s="87" t="s">
        <v>3114</v>
      </c>
      <c r="X208" s="90" t="s">
        <v>3477</v>
      </c>
      <c r="Y208" s="89"/>
      <c r="Z208" s="89">
        <v>3</v>
      </c>
      <c r="AA208" s="89"/>
      <c r="AB208" s="89"/>
    </row>
    <row r="209" spans="1:28" s="31" customFormat="1" ht="60" customHeight="1" x14ac:dyDescent="0.2">
      <c r="A209" s="76">
        <v>208</v>
      </c>
      <c r="B209" s="77">
        <v>50000109</v>
      </c>
      <c r="C209" s="78" t="s">
        <v>604</v>
      </c>
      <c r="D209" s="79">
        <v>0.05</v>
      </c>
      <c r="E209" s="80">
        <v>30049099</v>
      </c>
      <c r="F209" s="81" t="s">
        <v>605</v>
      </c>
      <c r="G209" s="82" t="s">
        <v>606</v>
      </c>
      <c r="H209" s="82" t="s">
        <v>607</v>
      </c>
      <c r="I209" s="79" t="s">
        <v>2666</v>
      </c>
      <c r="J209" s="83">
        <v>38.58</v>
      </c>
      <c r="K209" s="83">
        <v>29.394285714285711</v>
      </c>
      <c r="L209" s="83">
        <v>29.394285714285711</v>
      </c>
      <c r="M209" s="84">
        <v>27.449531959417801</v>
      </c>
      <c r="N209" s="59">
        <f t="shared" si="3"/>
        <v>0.28850357803478999</v>
      </c>
      <c r="O209" s="85" t="s">
        <v>376</v>
      </c>
      <c r="P209" s="86" t="s">
        <v>22</v>
      </c>
      <c r="Q209" s="87" t="s">
        <v>3207</v>
      </c>
      <c r="R209" s="87">
        <v>10</v>
      </c>
      <c r="S209" s="88">
        <v>3.8579999999999997</v>
      </c>
      <c r="T209" s="88">
        <v>2.9394285714285711</v>
      </c>
      <c r="U209" s="88">
        <v>2.7449531959417799</v>
      </c>
      <c r="V209" s="87" t="s">
        <v>3061</v>
      </c>
      <c r="W209" s="87" t="s">
        <v>3114</v>
      </c>
      <c r="X209" s="90" t="s">
        <v>3477</v>
      </c>
      <c r="Y209" s="89"/>
      <c r="Z209" s="89">
        <v>3</v>
      </c>
      <c r="AA209" s="89"/>
      <c r="AB209" s="89"/>
    </row>
    <row r="210" spans="1:28" s="31" customFormat="1" ht="60" customHeight="1" x14ac:dyDescent="0.2">
      <c r="A210" s="76">
        <v>209</v>
      </c>
      <c r="B210" s="77">
        <v>50000538</v>
      </c>
      <c r="C210" s="78" t="s">
        <v>608</v>
      </c>
      <c r="D210" s="79">
        <v>0.05</v>
      </c>
      <c r="E210" s="80">
        <v>30049039</v>
      </c>
      <c r="F210" s="81" t="s">
        <v>609</v>
      </c>
      <c r="G210" s="82" t="s">
        <v>610</v>
      </c>
      <c r="H210" s="82" t="s">
        <v>3663</v>
      </c>
      <c r="I210" s="79" t="s">
        <v>2666</v>
      </c>
      <c r="J210" s="83">
        <v>113.3</v>
      </c>
      <c r="K210" s="83">
        <v>86.323809523809516</v>
      </c>
      <c r="L210" s="83">
        <v>71.936507936507937</v>
      </c>
      <c r="M210" s="84">
        <v>64.742857142857147</v>
      </c>
      <c r="N210" s="59">
        <f t="shared" si="3"/>
        <v>0.42857142857142849</v>
      </c>
      <c r="O210" s="85" t="s">
        <v>376</v>
      </c>
      <c r="P210" s="86" t="s">
        <v>4119</v>
      </c>
      <c r="Q210" s="87" t="s">
        <v>3208</v>
      </c>
      <c r="R210" s="87">
        <v>10</v>
      </c>
      <c r="S210" s="88">
        <v>11.33</v>
      </c>
      <c r="T210" s="88">
        <v>7.1936507936507939</v>
      </c>
      <c r="U210" s="88">
        <v>6.4742857142857151</v>
      </c>
      <c r="V210" s="87" t="s">
        <v>3061</v>
      </c>
      <c r="W210" s="87" t="s">
        <v>3103</v>
      </c>
      <c r="X210" s="90" t="s">
        <v>3477</v>
      </c>
      <c r="Y210" s="89" t="s">
        <v>3455</v>
      </c>
      <c r="Z210" s="89">
        <v>6</v>
      </c>
      <c r="AA210" s="89" t="s">
        <v>3207</v>
      </c>
      <c r="AB210" s="89"/>
    </row>
    <row r="211" spans="1:28" s="31" customFormat="1" ht="60" customHeight="1" x14ac:dyDescent="0.2">
      <c r="A211" s="76">
        <v>210</v>
      </c>
      <c r="B211" s="77">
        <v>50000814</v>
      </c>
      <c r="C211" s="78" t="s">
        <v>611</v>
      </c>
      <c r="D211" s="79">
        <v>0.05</v>
      </c>
      <c r="E211" s="80">
        <v>30049039</v>
      </c>
      <c r="F211" s="81" t="s">
        <v>612</v>
      </c>
      <c r="G211" s="82" t="s">
        <v>613</v>
      </c>
      <c r="H211" s="82" t="s">
        <v>3787</v>
      </c>
      <c r="I211" s="79" t="s">
        <v>2666</v>
      </c>
      <c r="J211" s="83">
        <v>180.35</v>
      </c>
      <c r="K211" s="83">
        <v>137.40952380952382</v>
      </c>
      <c r="L211" s="83">
        <v>137.40952380952382</v>
      </c>
      <c r="M211" s="84">
        <v>123.66857142857141</v>
      </c>
      <c r="N211" s="59">
        <f t="shared" si="3"/>
        <v>0.31428571428571433</v>
      </c>
      <c r="O211" s="85" t="s">
        <v>376</v>
      </c>
      <c r="P211" s="86" t="s">
        <v>48</v>
      </c>
      <c r="Q211" s="87" t="s">
        <v>3208</v>
      </c>
      <c r="R211" s="87">
        <v>10</v>
      </c>
      <c r="S211" s="88">
        <v>18.035</v>
      </c>
      <c r="T211" s="88">
        <v>13.740952380952383</v>
      </c>
      <c r="U211" s="88">
        <v>12.366857142857141</v>
      </c>
      <c r="V211" s="87" t="s">
        <v>3061</v>
      </c>
      <c r="W211" s="87" t="s">
        <v>3103</v>
      </c>
      <c r="X211" s="90" t="s">
        <v>3477</v>
      </c>
      <c r="Y211" s="89"/>
      <c r="Z211" s="89">
        <v>6</v>
      </c>
      <c r="AA211" s="89" t="s">
        <v>3207</v>
      </c>
      <c r="AB211" s="89"/>
    </row>
    <row r="212" spans="1:28" s="31" customFormat="1" ht="60" customHeight="1" x14ac:dyDescent="0.2">
      <c r="A212" s="76">
        <v>211</v>
      </c>
      <c r="B212" s="77">
        <v>50000319</v>
      </c>
      <c r="C212" s="78" t="s">
        <v>614</v>
      </c>
      <c r="D212" s="79">
        <v>0.05</v>
      </c>
      <c r="E212" s="80">
        <v>30049039</v>
      </c>
      <c r="F212" s="81" t="s">
        <v>615</v>
      </c>
      <c r="G212" s="82" t="s">
        <v>616</v>
      </c>
      <c r="H212" s="82" t="s">
        <v>3788</v>
      </c>
      <c r="I212" s="79" t="s">
        <v>2666</v>
      </c>
      <c r="J212" s="83">
        <v>82.39</v>
      </c>
      <c r="K212" s="83">
        <v>62.773333333333333</v>
      </c>
      <c r="L212" s="83">
        <v>62.773333333333333</v>
      </c>
      <c r="M212" s="84">
        <v>56.495999999999995</v>
      </c>
      <c r="N212" s="59">
        <f t="shared" si="3"/>
        <v>0.31428571428571433</v>
      </c>
      <c r="O212" s="85" t="s">
        <v>376</v>
      </c>
      <c r="P212" s="86" t="s">
        <v>4260</v>
      </c>
      <c r="Q212" s="87" t="s">
        <v>3208</v>
      </c>
      <c r="R212" s="87">
        <v>10</v>
      </c>
      <c r="S212" s="88">
        <v>8.2390000000000008</v>
      </c>
      <c r="T212" s="88">
        <v>6.277333333333333</v>
      </c>
      <c r="U212" s="88">
        <v>5.6495999999999995</v>
      </c>
      <c r="V212" s="87" t="s">
        <v>3061</v>
      </c>
      <c r="W212" s="87" t="s">
        <v>3103</v>
      </c>
      <c r="X212" s="90" t="s">
        <v>3477</v>
      </c>
      <c r="Y212" s="89"/>
      <c r="Z212" s="89">
        <v>6</v>
      </c>
      <c r="AA212" s="89" t="s">
        <v>3207</v>
      </c>
      <c r="AB212" s="89"/>
    </row>
    <row r="213" spans="1:28" s="31" customFormat="1" ht="60" customHeight="1" x14ac:dyDescent="0.2">
      <c r="A213" s="76">
        <v>212</v>
      </c>
      <c r="B213" s="77">
        <v>50000231</v>
      </c>
      <c r="C213" s="78" t="s">
        <v>617</v>
      </c>
      <c r="D213" s="79">
        <v>0.05</v>
      </c>
      <c r="E213" s="80">
        <v>30049039</v>
      </c>
      <c r="F213" s="81" t="s">
        <v>618</v>
      </c>
      <c r="G213" s="82" t="s">
        <v>616</v>
      </c>
      <c r="H213" s="82" t="s">
        <v>3789</v>
      </c>
      <c r="I213" s="79" t="s">
        <v>2678</v>
      </c>
      <c r="J213" s="83">
        <v>51.44</v>
      </c>
      <c r="K213" s="83">
        <v>39.192380952380951</v>
      </c>
      <c r="L213" s="83">
        <v>35.926349206349208</v>
      </c>
      <c r="M213" s="84">
        <v>32.333714285714294</v>
      </c>
      <c r="N213" s="59">
        <f t="shared" si="3"/>
        <v>0.37142857142857127</v>
      </c>
      <c r="O213" s="85" t="s">
        <v>376</v>
      </c>
      <c r="P213" s="86" t="s">
        <v>2767</v>
      </c>
      <c r="Q213" s="87" t="s">
        <v>3208</v>
      </c>
      <c r="R213" s="87">
        <v>1</v>
      </c>
      <c r="S213" s="88">
        <v>51.44</v>
      </c>
      <c r="T213" s="88">
        <v>35.926349206349208</v>
      </c>
      <c r="U213" s="88">
        <v>32.333714285714294</v>
      </c>
      <c r="V213" s="87" t="s">
        <v>3062</v>
      </c>
      <c r="W213" s="87" t="s">
        <v>3103</v>
      </c>
      <c r="X213" s="90" t="s">
        <v>3480</v>
      </c>
      <c r="Y213" s="89" t="s">
        <v>3455</v>
      </c>
      <c r="Z213" s="89">
        <v>1</v>
      </c>
      <c r="AA213" s="89" t="s">
        <v>3207</v>
      </c>
      <c r="AB213" s="89"/>
    </row>
    <row r="214" spans="1:28" s="31" customFormat="1" ht="60" customHeight="1" x14ac:dyDescent="0.2">
      <c r="A214" s="76">
        <v>213</v>
      </c>
      <c r="B214" s="77">
        <v>50001869</v>
      </c>
      <c r="C214" s="78" t="s">
        <v>617</v>
      </c>
      <c r="D214" s="79">
        <v>0.05</v>
      </c>
      <c r="E214" s="80">
        <v>30049039</v>
      </c>
      <c r="F214" s="81" t="s">
        <v>619</v>
      </c>
      <c r="G214" s="82" t="s">
        <v>616</v>
      </c>
      <c r="H214" s="82" t="s">
        <v>3789</v>
      </c>
      <c r="I214" s="79" t="s">
        <v>2680</v>
      </c>
      <c r="J214" s="83">
        <v>103</v>
      </c>
      <c r="K214" s="83">
        <v>78.476190476190482</v>
      </c>
      <c r="L214" s="83">
        <v>71.936507936507937</v>
      </c>
      <c r="M214" s="84">
        <v>64.742857142857147</v>
      </c>
      <c r="N214" s="59">
        <f t="shared" si="3"/>
        <v>0.37142857142857139</v>
      </c>
      <c r="O214" s="85" t="s">
        <v>376</v>
      </c>
      <c r="P214" s="86" t="s">
        <v>2767</v>
      </c>
      <c r="Q214" s="87" t="s">
        <v>3208</v>
      </c>
      <c r="R214" s="87">
        <v>1</v>
      </c>
      <c r="S214" s="88">
        <v>103</v>
      </c>
      <c r="T214" s="88">
        <v>71.936507936507937</v>
      </c>
      <c r="U214" s="88">
        <v>64.742857142857147</v>
      </c>
      <c r="V214" s="87" t="s">
        <v>3062</v>
      </c>
      <c r="W214" s="87" t="s">
        <v>3103</v>
      </c>
      <c r="X214" s="90" t="s">
        <v>3480</v>
      </c>
      <c r="Y214" s="89" t="s">
        <v>3455</v>
      </c>
      <c r="Z214" s="89">
        <v>1</v>
      </c>
      <c r="AA214" s="89" t="s">
        <v>3207</v>
      </c>
      <c r="AB214" s="89"/>
    </row>
    <row r="215" spans="1:28" s="31" customFormat="1" ht="60" customHeight="1" x14ac:dyDescent="0.2">
      <c r="A215" s="76">
        <v>214</v>
      </c>
      <c r="B215" s="77">
        <v>50000692</v>
      </c>
      <c r="C215" s="78" t="s">
        <v>620</v>
      </c>
      <c r="D215" s="79">
        <v>0.05</v>
      </c>
      <c r="E215" s="80">
        <v>30049099</v>
      </c>
      <c r="F215" s="81" t="s">
        <v>621</v>
      </c>
      <c r="G215" s="82" t="s">
        <v>622</v>
      </c>
      <c r="H215" s="82" t="s">
        <v>3790</v>
      </c>
      <c r="I215" s="79" t="s">
        <v>2666</v>
      </c>
      <c r="J215" s="83">
        <v>161.88</v>
      </c>
      <c r="K215" s="83">
        <v>123.33714285714287</v>
      </c>
      <c r="L215" s="83">
        <v>123.33714285714287</v>
      </c>
      <c r="M215" s="84">
        <v>111.00342857142857</v>
      </c>
      <c r="N215" s="59">
        <f t="shared" si="3"/>
        <v>0.31428571428571428</v>
      </c>
      <c r="O215" s="85" t="s">
        <v>376</v>
      </c>
      <c r="P215" s="86" t="s">
        <v>2768</v>
      </c>
      <c r="Q215" s="87" t="s">
        <v>3208</v>
      </c>
      <c r="R215" s="87">
        <v>10</v>
      </c>
      <c r="S215" s="88">
        <v>16.187999999999999</v>
      </c>
      <c r="T215" s="88">
        <v>12.333714285714287</v>
      </c>
      <c r="U215" s="88">
        <v>11.100342857142858</v>
      </c>
      <c r="V215" s="87" t="s">
        <v>3061</v>
      </c>
      <c r="W215" s="87" t="s">
        <v>3116</v>
      </c>
      <c r="X215" s="90" t="s">
        <v>3477</v>
      </c>
      <c r="Y215" s="89"/>
      <c r="Z215" s="89">
        <v>3</v>
      </c>
      <c r="AA215" s="89"/>
      <c r="AB215" s="89" t="s">
        <v>4613</v>
      </c>
    </row>
    <row r="216" spans="1:28" s="31" customFormat="1" ht="60" customHeight="1" x14ac:dyDescent="0.2">
      <c r="A216" s="76">
        <v>215</v>
      </c>
      <c r="B216" s="77">
        <v>50000934</v>
      </c>
      <c r="C216" s="78" t="s">
        <v>626</v>
      </c>
      <c r="D216" s="79">
        <v>0.05</v>
      </c>
      <c r="E216" s="80">
        <v>34011110</v>
      </c>
      <c r="F216" s="81" t="s">
        <v>627</v>
      </c>
      <c r="G216" s="82" t="s">
        <v>628</v>
      </c>
      <c r="H216" s="82" t="s">
        <v>629</v>
      </c>
      <c r="I216" s="79" t="s">
        <v>2684</v>
      </c>
      <c r="J216" s="83">
        <v>128.96</v>
      </c>
      <c r="K216" s="83">
        <v>98.255238095238099</v>
      </c>
      <c r="L216" s="83">
        <v>98.255238095238099</v>
      </c>
      <c r="M216" s="84">
        <v>88.429714285714283</v>
      </c>
      <c r="N216" s="59">
        <f t="shared" si="3"/>
        <v>0.31428571428571433</v>
      </c>
      <c r="O216" s="85" t="s">
        <v>376</v>
      </c>
      <c r="P216" s="86" t="s">
        <v>2770</v>
      </c>
      <c r="Q216" s="87" t="s">
        <v>3208</v>
      </c>
      <c r="R216" s="87">
        <v>1</v>
      </c>
      <c r="S216" s="88">
        <v>128.96</v>
      </c>
      <c r="T216" s="88">
        <v>98.255238095238099</v>
      </c>
      <c r="U216" s="88">
        <v>88.429714285714283</v>
      </c>
      <c r="V216" s="87" t="s">
        <v>3063</v>
      </c>
      <c r="W216" s="87" t="s">
        <v>3104</v>
      </c>
      <c r="X216" s="90" t="s">
        <v>3488</v>
      </c>
      <c r="Y216" s="89"/>
      <c r="Z216" s="89">
        <v>1</v>
      </c>
      <c r="AA216" s="89"/>
      <c r="AB216" s="89"/>
    </row>
    <row r="217" spans="1:28" s="31" customFormat="1" ht="60" customHeight="1" x14ac:dyDescent="0.2">
      <c r="A217" s="76">
        <v>216</v>
      </c>
      <c r="B217" s="77">
        <v>50005246</v>
      </c>
      <c r="C217" s="78" t="s">
        <v>3501</v>
      </c>
      <c r="D217" s="79">
        <v>0.05</v>
      </c>
      <c r="E217" s="80">
        <v>30045090</v>
      </c>
      <c r="F217" s="81" t="s">
        <v>3502</v>
      </c>
      <c r="G217" s="82" t="s">
        <v>3520</v>
      </c>
      <c r="H217" s="82" t="s">
        <v>197</v>
      </c>
      <c r="I217" s="79" t="s">
        <v>2711</v>
      </c>
      <c r="J217" s="83">
        <v>128.87</v>
      </c>
      <c r="K217" s="83">
        <v>98.186666666666667</v>
      </c>
      <c r="L217" s="83">
        <v>81.822222222222223</v>
      </c>
      <c r="M217" s="84">
        <v>81.822222222222223</v>
      </c>
      <c r="N217" s="59">
        <f t="shared" si="3"/>
        <v>0.36507936507936511</v>
      </c>
      <c r="O217" s="85" t="s">
        <v>376</v>
      </c>
      <c r="P217" s="86" t="s">
        <v>1781</v>
      </c>
      <c r="Q217" s="87" t="s">
        <v>3208</v>
      </c>
      <c r="R217" s="87">
        <v>1</v>
      </c>
      <c r="S217" s="88">
        <v>128.87</v>
      </c>
      <c r="T217" s="88">
        <v>81.822222222222223</v>
      </c>
      <c r="U217" s="88">
        <v>81.822222222222223</v>
      </c>
      <c r="V217" s="87" t="s">
        <v>3558</v>
      </c>
      <c r="W217" s="87" t="s">
        <v>3108</v>
      </c>
      <c r="X217" s="90" t="s">
        <v>3558</v>
      </c>
      <c r="Y217" s="89"/>
      <c r="Z217" s="89">
        <v>1</v>
      </c>
      <c r="AA217" s="89" t="s">
        <v>3207</v>
      </c>
      <c r="AB217" s="89" t="s">
        <v>4613</v>
      </c>
    </row>
    <row r="218" spans="1:28" s="31" customFormat="1" ht="60" customHeight="1" x14ac:dyDescent="0.2">
      <c r="A218" s="76">
        <v>217</v>
      </c>
      <c r="B218" s="77">
        <v>50002221</v>
      </c>
      <c r="C218" s="78" t="s">
        <v>631</v>
      </c>
      <c r="D218" s="79">
        <v>0.05</v>
      </c>
      <c r="E218" s="80">
        <v>30049099</v>
      </c>
      <c r="F218" s="81" t="s">
        <v>632</v>
      </c>
      <c r="G218" s="82" t="s">
        <v>633</v>
      </c>
      <c r="H218" s="82" t="s">
        <v>3791</v>
      </c>
      <c r="I218" s="79" t="s">
        <v>2693</v>
      </c>
      <c r="J218" s="83">
        <v>121.77</v>
      </c>
      <c r="K218" s="83">
        <v>92.777142857142863</v>
      </c>
      <c r="L218" s="83">
        <v>77.314285714285717</v>
      </c>
      <c r="M218" s="84">
        <v>76.695771428571405</v>
      </c>
      <c r="N218" s="59">
        <f t="shared" si="3"/>
        <v>0.37015873015873035</v>
      </c>
      <c r="O218" s="85" t="s">
        <v>376</v>
      </c>
      <c r="P218" s="86" t="s">
        <v>2668</v>
      </c>
      <c r="Q218" s="87" t="s">
        <v>3208</v>
      </c>
      <c r="R218" s="87">
        <v>10</v>
      </c>
      <c r="S218" s="88">
        <v>12.177</v>
      </c>
      <c r="T218" s="88">
        <v>7.7314285714285713</v>
      </c>
      <c r="U218" s="88">
        <v>7.6695771428571407</v>
      </c>
      <c r="V218" s="87" t="s">
        <v>3061</v>
      </c>
      <c r="W218" s="87" t="s">
        <v>3108</v>
      </c>
      <c r="X218" s="90" t="s">
        <v>3478</v>
      </c>
      <c r="Y218" s="89"/>
      <c r="Z218" s="89">
        <v>6</v>
      </c>
      <c r="AA218" s="89" t="s">
        <v>3207</v>
      </c>
      <c r="AB218" s="89"/>
    </row>
    <row r="219" spans="1:28" s="31" customFormat="1" ht="60" customHeight="1" x14ac:dyDescent="0.2">
      <c r="A219" s="76">
        <v>218</v>
      </c>
      <c r="B219" s="77">
        <v>50003025</v>
      </c>
      <c r="C219" s="78" t="s">
        <v>634</v>
      </c>
      <c r="D219" s="79">
        <v>0.05</v>
      </c>
      <c r="E219" s="80">
        <v>30045090</v>
      </c>
      <c r="F219" s="81" t="s">
        <v>635</v>
      </c>
      <c r="G219" s="82" t="s">
        <v>636</v>
      </c>
      <c r="H219" s="82" t="s">
        <v>3792</v>
      </c>
      <c r="I219" s="79" t="s">
        <v>2717</v>
      </c>
      <c r="J219" s="83">
        <v>32.4</v>
      </c>
      <c r="K219" s="83">
        <v>24.685714285714287</v>
      </c>
      <c r="L219" s="83">
        <v>20.571428571428573</v>
      </c>
      <c r="M219" s="84">
        <v>20.571428571428573</v>
      </c>
      <c r="N219" s="59">
        <f t="shared" si="3"/>
        <v>0.365079365079365</v>
      </c>
      <c r="O219" s="85" t="s">
        <v>376</v>
      </c>
      <c r="P219" s="86" t="s">
        <v>3402</v>
      </c>
      <c r="Q219" s="87" t="s">
        <v>3208</v>
      </c>
      <c r="R219" s="87">
        <v>1</v>
      </c>
      <c r="S219" s="88">
        <v>32.4</v>
      </c>
      <c r="T219" s="88">
        <v>20.571428571428573</v>
      </c>
      <c r="U219" s="88">
        <v>20.571428571428573</v>
      </c>
      <c r="V219" s="87" t="s">
        <v>3065</v>
      </c>
      <c r="W219" s="87" t="s">
        <v>3108</v>
      </c>
      <c r="X219" s="90" t="s">
        <v>3479</v>
      </c>
      <c r="Y219" s="89"/>
      <c r="Z219" s="89">
        <v>12</v>
      </c>
      <c r="AA219" s="89" t="s">
        <v>3207</v>
      </c>
      <c r="AB219" s="89"/>
    </row>
    <row r="220" spans="1:28" s="31" customFormat="1" ht="60" customHeight="1" x14ac:dyDescent="0.2">
      <c r="A220" s="76">
        <v>219</v>
      </c>
      <c r="B220" s="77">
        <v>50000717</v>
      </c>
      <c r="C220" s="78" t="s">
        <v>637</v>
      </c>
      <c r="D220" s="79">
        <v>0.05</v>
      </c>
      <c r="E220" s="80">
        <v>30049099</v>
      </c>
      <c r="F220" s="81" t="s">
        <v>638</v>
      </c>
      <c r="G220" s="82" t="s">
        <v>639</v>
      </c>
      <c r="H220" s="82" t="s">
        <v>3793</v>
      </c>
      <c r="I220" s="79" t="s">
        <v>2666</v>
      </c>
      <c r="J220" s="83">
        <v>193.4</v>
      </c>
      <c r="K220" s="83">
        <v>147.35238095238097</v>
      </c>
      <c r="L220" s="83">
        <v>147.35238095238097</v>
      </c>
      <c r="M220" s="84">
        <v>132.61714285714291</v>
      </c>
      <c r="N220" s="59">
        <f t="shared" si="3"/>
        <v>0.31428571428571406</v>
      </c>
      <c r="O220" s="85" t="s">
        <v>376</v>
      </c>
      <c r="P220" s="86" t="s">
        <v>37</v>
      </c>
      <c r="Q220" s="87" t="s">
        <v>3208</v>
      </c>
      <c r="R220" s="87">
        <v>10</v>
      </c>
      <c r="S220" s="88">
        <v>19.34</v>
      </c>
      <c r="T220" s="88">
        <v>14.735238095238097</v>
      </c>
      <c r="U220" s="88">
        <v>13.261714285714291</v>
      </c>
      <c r="V220" s="87" t="s">
        <v>3061</v>
      </c>
      <c r="W220" s="87" t="s">
        <v>3107</v>
      </c>
      <c r="X220" s="90" t="s">
        <v>3477</v>
      </c>
      <c r="Y220" s="89"/>
      <c r="Z220" s="89">
        <v>6</v>
      </c>
      <c r="AA220" s="89" t="s">
        <v>3207</v>
      </c>
      <c r="AB220" s="89" t="s">
        <v>4613</v>
      </c>
    </row>
    <row r="221" spans="1:28" s="31" customFormat="1" ht="60" customHeight="1" x14ac:dyDescent="0.2">
      <c r="A221" s="76">
        <v>220</v>
      </c>
      <c r="B221" s="77">
        <v>50002456</v>
      </c>
      <c r="C221" s="78" t="s">
        <v>640</v>
      </c>
      <c r="D221" s="79">
        <v>0.05</v>
      </c>
      <c r="E221" s="80">
        <v>30049099</v>
      </c>
      <c r="F221" s="81" t="s">
        <v>641</v>
      </c>
      <c r="G221" s="82" t="s">
        <v>642</v>
      </c>
      <c r="H221" s="82" t="s">
        <v>3794</v>
      </c>
      <c r="I221" s="79" t="s">
        <v>2666</v>
      </c>
      <c r="J221" s="83">
        <v>102.8</v>
      </c>
      <c r="K221" s="83">
        <v>78.323809523809516</v>
      </c>
      <c r="L221" s="83">
        <v>78.323809523809516</v>
      </c>
      <c r="M221" s="84">
        <v>70.491428571428557</v>
      </c>
      <c r="N221" s="59">
        <f t="shared" si="3"/>
        <v>0.31428571428571439</v>
      </c>
      <c r="O221" s="85" t="s">
        <v>376</v>
      </c>
      <c r="P221" s="86" t="s">
        <v>2732</v>
      </c>
      <c r="Q221" s="87" t="s">
        <v>3208</v>
      </c>
      <c r="R221" s="87">
        <v>10</v>
      </c>
      <c r="S221" s="88">
        <v>10.28</v>
      </c>
      <c r="T221" s="88">
        <v>7.8323809523809516</v>
      </c>
      <c r="U221" s="88">
        <v>7.049142857142856</v>
      </c>
      <c r="V221" s="87" t="s">
        <v>3061</v>
      </c>
      <c r="W221" s="87" t="s">
        <v>3107</v>
      </c>
      <c r="X221" s="90" t="s">
        <v>3477</v>
      </c>
      <c r="Y221" s="89"/>
      <c r="Z221" s="89">
        <v>4</v>
      </c>
      <c r="AA221" s="89" t="s">
        <v>3207</v>
      </c>
      <c r="AB221" s="89"/>
    </row>
    <row r="222" spans="1:28" s="31" customFormat="1" ht="60" customHeight="1" x14ac:dyDescent="0.2">
      <c r="A222" s="76">
        <v>221</v>
      </c>
      <c r="B222" s="77">
        <v>50000514</v>
      </c>
      <c r="C222" s="78" t="s">
        <v>643</v>
      </c>
      <c r="D222" s="79">
        <v>0.05</v>
      </c>
      <c r="E222" s="80">
        <v>30049069</v>
      </c>
      <c r="F222" s="81" t="s">
        <v>644</v>
      </c>
      <c r="G222" s="82" t="s">
        <v>645</v>
      </c>
      <c r="H222" s="82" t="s">
        <v>3795</v>
      </c>
      <c r="I222" s="79" t="s">
        <v>2771</v>
      </c>
      <c r="J222" s="83">
        <v>46.39</v>
      </c>
      <c r="K222" s="83">
        <v>35.34476190476191</v>
      </c>
      <c r="L222" s="83">
        <v>32.031190476190481</v>
      </c>
      <c r="M222" s="84">
        <v>28.828071428571441</v>
      </c>
      <c r="N222" s="59">
        <f t="shared" si="3"/>
        <v>0.37857142857142834</v>
      </c>
      <c r="O222" s="85" t="s">
        <v>376</v>
      </c>
      <c r="P222" s="86" t="s">
        <v>4120</v>
      </c>
      <c r="Q222" s="87" t="s">
        <v>3208</v>
      </c>
      <c r="R222" s="87">
        <v>1</v>
      </c>
      <c r="S222" s="88">
        <v>46.39</v>
      </c>
      <c r="T222" s="88">
        <v>32.031190476190481</v>
      </c>
      <c r="U222" s="88">
        <v>28.828071428571441</v>
      </c>
      <c r="V222" s="87" t="s">
        <v>3066</v>
      </c>
      <c r="W222" s="87" t="s">
        <v>3106</v>
      </c>
      <c r="X222" s="90" t="s">
        <v>3486</v>
      </c>
      <c r="Y222" s="89"/>
      <c r="Z222" s="89">
        <v>1</v>
      </c>
      <c r="AA222" s="89"/>
      <c r="AB222" s="89"/>
    </row>
    <row r="223" spans="1:28" s="31" customFormat="1" ht="60" customHeight="1" x14ac:dyDescent="0.2">
      <c r="A223" s="76">
        <v>222</v>
      </c>
      <c r="B223" s="77">
        <v>50000860</v>
      </c>
      <c r="C223" s="78" t="s">
        <v>643</v>
      </c>
      <c r="D223" s="79">
        <v>0.05</v>
      </c>
      <c r="E223" s="80">
        <v>30049069</v>
      </c>
      <c r="F223" s="81" t="s">
        <v>646</v>
      </c>
      <c r="G223" s="82" t="s">
        <v>645</v>
      </c>
      <c r="H223" s="82" t="s">
        <v>3796</v>
      </c>
      <c r="I223" s="79" t="s">
        <v>2772</v>
      </c>
      <c r="J223" s="83">
        <v>135.26</v>
      </c>
      <c r="K223" s="83">
        <v>103.05523809523808</v>
      </c>
      <c r="L223" s="83">
        <v>86.566399999999987</v>
      </c>
      <c r="M223" s="84">
        <v>77.909759999999991</v>
      </c>
      <c r="N223" s="59">
        <f t="shared" si="3"/>
        <v>0.42400000000000004</v>
      </c>
      <c r="O223" s="85" t="s">
        <v>376</v>
      </c>
      <c r="P223" s="86" t="s">
        <v>4121</v>
      </c>
      <c r="Q223" s="87" t="s">
        <v>3208</v>
      </c>
      <c r="R223" s="87">
        <v>1</v>
      </c>
      <c r="S223" s="88">
        <v>135.26</v>
      </c>
      <c r="T223" s="88">
        <v>86.566399999999987</v>
      </c>
      <c r="U223" s="88">
        <v>77.909759999999991</v>
      </c>
      <c r="V223" s="87" t="s">
        <v>3066</v>
      </c>
      <c r="W223" s="87" t="s">
        <v>3106</v>
      </c>
      <c r="X223" s="90" t="s">
        <v>3486</v>
      </c>
      <c r="Y223" s="89"/>
      <c r="Z223" s="89">
        <v>1</v>
      </c>
      <c r="AA223" s="89"/>
      <c r="AB223" s="89"/>
    </row>
    <row r="224" spans="1:28" s="31" customFormat="1" ht="60" customHeight="1" x14ac:dyDescent="0.2">
      <c r="A224" s="76">
        <v>223</v>
      </c>
      <c r="B224" s="77">
        <v>50005082</v>
      </c>
      <c r="C224" s="78" t="s">
        <v>3219</v>
      </c>
      <c r="D224" s="79">
        <v>0.05</v>
      </c>
      <c r="E224" s="80">
        <v>30049069</v>
      </c>
      <c r="F224" s="81" t="s">
        <v>3220</v>
      </c>
      <c r="G224" s="82" t="s">
        <v>3220</v>
      </c>
      <c r="H224" s="82" t="s">
        <v>3797</v>
      </c>
      <c r="I224" s="79" t="s">
        <v>2772</v>
      </c>
      <c r="J224" s="83">
        <v>123.74</v>
      </c>
      <c r="K224" s="83">
        <v>94.278095238095233</v>
      </c>
      <c r="L224" s="83">
        <v>70.708571428571432</v>
      </c>
      <c r="M224" s="84">
        <v>70.708571428571403</v>
      </c>
      <c r="N224" s="59">
        <f t="shared" si="3"/>
        <v>0.42857142857142877</v>
      </c>
      <c r="O224" s="85" t="s">
        <v>376</v>
      </c>
      <c r="P224" s="86" t="s">
        <v>2899</v>
      </c>
      <c r="Q224" s="87" t="s">
        <v>3208</v>
      </c>
      <c r="R224" s="87">
        <v>1</v>
      </c>
      <c r="S224" s="88">
        <v>123.74</v>
      </c>
      <c r="T224" s="88">
        <v>70.708571428571432</v>
      </c>
      <c r="U224" s="88">
        <v>70.708571428571403</v>
      </c>
      <c r="V224" s="87" t="s">
        <v>3066</v>
      </c>
      <c r="W224" s="87" t="s">
        <v>3106</v>
      </c>
      <c r="X224" s="90" t="s">
        <v>3486</v>
      </c>
      <c r="Y224" s="89"/>
      <c r="Z224" s="89">
        <v>1</v>
      </c>
      <c r="AA224" s="89"/>
      <c r="AB224" s="89"/>
    </row>
    <row r="225" spans="1:28" s="31" customFormat="1" ht="60" customHeight="1" x14ac:dyDescent="0.2">
      <c r="A225" s="76">
        <v>224</v>
      </c>
      <c r="B225" s="77">
        <v>50000353</v>
      </c>
      <c r="C225" s="78" t="s">
        <v>647</v>
      </c>
      <c r="D225" s="79">
        <v>0.05</v>
      </c>
      <c r="E225" s="80">
        <v>30049069</v>
      </c>
      <c r="F225" s="81" t="s">
        <v>648</v>
      </c>
      <c r="G225" s="82" t="s">
        <v>649</v>
      </c>
      <c r="H225" s="82" t="s">
        <v>3798</v>
      </c>
      <c r="I225" s="79" t="s">
        <v>2680</v>
      </c>
      <c r="J225" s="83">
        <v>57.17</v>
      </c>
      <c r="K225" s="83">
        <v>43.558095238095241</v>
      </c>
      <c r="L225" s="83">
        <v>39.928253968253976</v>
      </c>
      <c r="M225" s="84">
        <v>35.935428571428574</v>
      </c>
      <c r="N225" s="59">
        <f t="shared" si="3"/>
        <v>0.37142857142857139</v>
      </c>
      <c r="O225" s="85" t="s">
        <v>376</v>
      </c>
      <c r="P225" s="86" t="s">
        <v>81</v>
      </c>
      <c r="Q225" s="87" t="s">
        <v>3208</v>
      </c>
      <c r="R225" s="87">
        <v>1</v>
      </c>
      <c r="S225" s="88">
        <v>57.17</v>
      </c>
      <c r="T225" s="88">
        <v>39.928253968253976</v>
      </c>
      <c r="U225" s="88">
        <v>35.935428571428574</v>
      </c>
      <c r="V225" s="87" t="s">
        <v>3062</v>
      </c>
      <c r="W225" s="87" t="s">
        <v>3106</v>
      </c>
      <c r="X225" s="90" t="s">
        <v>3480</v>
      </c>
      <c r="Y225" s="89"/>
      <c r="Z225" s="89">
        <v>1</v>
      </c>
      <c r="AA225" s="89"/>
      <c r="AB225" s="89"/>
    </row>
    <row r="226" spans="1:28" s="31" customFormat="1" ht="60" customHeight="1" x14ac:dyDescent="0.2">
      <c r="A226" s="76">
        <v>225</v>
      </c>
      <c r="B226" s="77">
        <v>50005183</v>
      </c>
      <c r="C226" s="78" t="s">
        <v>3142</v>
      </c>
      <c r="D226" s="79">
        <v>0.05</v>
      </c>
      <c r="E226" s="80">
        <v>30049069</v>
      </c>
      <c r="F226" s="81" t="s">
        <v>3143</v>
      </c>
      <c r="G226" s="82" t="s">
        <v>3144</v>
      </c>
      <c r="H226" s="82" t="s">
        <v>3799</v>
      </c>
      <c r="I226" s="79" t="s">
        <v>2680</v>
      </c>
      <c r="J226" s="83">
        <v>57.35</v>
      </c>
      <c r="K226" s="83">
        <v>43.695238095238096</v>
      </c>
      <c r="L226" s="83">
        <v>36.412698412698418</v>
      </c>
      <c r="M226" s="84">
        <v>36.412698412698411</v>
      </c>
      <c r="N226" s="59">
        <f t="shared" si="3"/>
        <v>0.36507936507936511</v>
      </c>
      <c r="O226" s="85" t="s">
        <v>376</v>
      </c>
      <c r="P226" s="86" t="s">
        <v>2683</v>
      </c>
      <c r="Q226" s="87" t="s">
        <v>3208</v>
      </c>
      <c r="R226" s="87">
        <v>1</v>
      </c>
      <c r="S226" s="88">
        <v>57.35</v>
      </c>
      <c r="T226" s="88">
        <v>36.412698412698418</v>
      </c>
      <c r="U226" s="88">
        <v>36.412698412698411</v>
      </c>
      <c r="V226" s="87" t="s">
        <v>3062</v>
      </c>
      <c r="W226" s="87" t="s">
        <v>3106</v>
      </c>
      <c r="X226" s="90" t="s">
        <v>3480</v>
      </c>
      <c r="Y226" s="89"/>
      <c r="Z226" s="89">
        <v>1</v>
      </c>
      <c r="AA226" s="89"/>
      <c r="AB226" s="89"/>
    </row>
    <row r="227" spans="1:28" s="31" customFormat="1" ht="60" customHeight="1" x14ac:dyDescent="0.2">
      <c r="A227" s="76">
        <v>226</v>
      </c>
      <c r="B227" s="77">
        <v>50000751</v>
      </c>
      <c r="C227" s="78" t="s">
        <v>650</v>
      </c>
      <c r="D227" s="79">
        <v>0.05</v>
      </c>
      <c r="E227" s="80">
        <v>30049029</v>
      </c>
      <c r="F227" s="81" t="s">
        <v>651</v>
      </c>
      <c r="G227" s="82" t="s">
        <v>652</v>
      </c>
      <c r="H227" s="82" t="s">
        <v>3667</v>
      </c>
      <c r="I227" s="79" t="s">
        <v>3140</v>
      </c>
      <c r="J227" s="83">
        <v>109.35</v>
      </c>
      <c r="K227" s="83">
        <v>83.314285714285717</v>
      </c>
      <c r="L227" s="83">
        <v>83.314285714285717</v>
      </c>
      <c r="M227" s="84">
        <v>74.982857142857142</v>
      </c>
      <c r="N227" s="59">
        <f t="shared" si="3"/>
        <v>0.31428571428571428</v>
      </c>
      <c r="O227" s="85" t="s">
        <v>376</v>
      </c>
      <c r="P227" s="86" t="s">
        <v>235</v>
      </c>
      <c r="Q227" s="87" t="s">
        <v>3208</v>
      </c>
      <c r="R227" s="87">
        <v>1</v>
      </c>
      <c r="S227" s="88">
        <v>109.35</v>
      </c>
      <c r="T227" s="88">
        <v>83.314285714285717</v>
      </c>
      <c r="U227" s="88">
        <v>74.982857142857142</v>
      </c>
      <c r="V227" s="87" t="s">
        <v>3062</v>
      </c>
      <c r="W227" s="87" t="s">
        <v>3109</v>
      </c>
      <c r="X227" s="90" t="s">
        <v>3560</v>
      </c>
      <c r="Y227" s="89"/>
      <c r="Z227" s="89">
        <v>1</v>
      </c>
      <c r="AA227" s="89"/>
      <c r="AB227" s="89"/>
    </row>
    <row r="228" spans="1:28" s="31" customFormat="1" ht="60" customHeight="1" x14ac:dyDescent="0.2">
      <c r="A228" s="76">
        <v>227</v>
      </c>
      <c r="B228" s="77">
        <v>50003193</v>
      </c>
      <c r="C228" s="78" t="s">
        <v>653</v>
      </c>
      <c r="D228" s="79">
        <v>0.05</v>
      </c>
      <c r="E228" s="80">
        <v>30049099</v>
      </c>
      <c r="F228" s="81" t="s">
        <v>654</v>
      </c>
      <c r="G228" s="82" t="s">
        <v>655</v>
      </c>
      <c r="H228" s="82" t="s">
        <v>3800</v>
      </c>
      <c r="I228" s="79" t="s">
        <v>2708</v>
      </c>
      <c r="J228" s="83">
        <v>99.63</v>
      </c>
      <c r="K228" s="83">
        <v>75.908571428571435</v>
      </c>
      <c r="L228" s="83">
        <v>69.835885714285723</v>
      </c>
      <c r="M228" s="84">
        <v>62.852297142857132</v>
      </c>
      <c r="N228" s="59">
        <f t="shared" si="3"/>
        <v>0.36914285714285722</v>
      </c>
      <c r="O228" s="85" t="s">
        <v>376</v>
      </c>
      <c r="P228" s="86" t="s">
        <v>2709</v>
      </c>
      <c r="Q228" s="87" t="s">
        <v>3208</v>
      </c>
      <c r="R228" s="87">
        <v>1</v>
      </c>
      <c r="S228" s="88">
        <v>99.63</v>
      </c>
      <c r="T228" s="88">
        <v>69.835885714285723</v>
      </c>
      <c r="U228" s="88">
        <v>62.852297142857132</v>
      </c>
      <c r="V228" s="87" t="s">
        <v>3067</v>
      </c>
      <c r="W228" s="87" t="s">
        <v>3110</v>
      </c>
      <c r="X228" s="90" t="s">
        <v>3482</v>
      </c>
      <c r="Y228" s="89"/>
      <c r="Z228" s="89">
        <v>1</v>
      </c>
      <c r="AA228" s="89"/>
      <c r="AB228" s="89"/>
    </row>
    <row r="229" spans="1:28" s="31" customFormat="1" ht="60" customHeight="1" x14ac:dyDescent="0.2">
      <c r="A229" s="76">
        <v>228</v>
      </c>
      <c r="B229" s="77">
        <v>50003220</v>
      </c>
      <c r="C229" s="78" t="s">
        <v>656</v>
      </c>
      <c r="D229" s="79">
        <v>0.05</v>
      </c>
      <c r="E229" s="80">
        <v>30049039</v>
      </c>
      <c r="F229" s="81" t="s">
        <v>657</v>
      </c>
      <c r="G229" s="82" t="s">
        <v>658</v>
      </c>
      <c r="H229" s="82" t="s">
        <v>115</v>
      </c>
      <c r="I229" s="79" t="s">
        <v>2663</v>
      </c>
      <c r="J229" s="83">
        <v>87.38</v>
      </c>
      <c r="K229" s="83">
        <v>66.575238095238092</v>
      </c>
      <c r="L229" s="83">
        <v>55.479365079365074</v>
      </c>
      <c r="M229" s="84">
        <v>49.931428571428569</v>
      </c>
      <c r="N229" s="59">
        <f t="shared" si="3"/>
        <v>0.42857142857142855</v>
      </c>
      <c r="O229" s="85" t="s">
        <v>376</v>
      </c>
      <c r="P229" s="86" t="s">
        <v>2691</v>
      </c>
      <c r="Q229" s="87" t="s">
        <v>3208</v>
      </c>
      <c r="R229" s="87">
        <v>15</v>
      </c>
      <c r="S229" s="88">
        <v>5.825333333333333</v>
      </c>
      <c r="T229" s="88">
        <v>3.6986243386243385</v>
      </c>
      <c r="U229" s="88">
        <v>3.3287619047619046</v>
      </c>
      <c r="V229" s="87" t="s">
        <v>3061</v>
      </c>
      <c r="W229" s="87" t="s">
        <v>3105</v>
      </c>
      <c r="X229" s="90" t="s">
        <v>3477</v>
      </c>
      <c r="Y229" s="89" t="s">
        <v>3455</v>
      </c>
      <c r="Z229" s="89">
        <v>10</v>
      </c>
      <c r="AA229" s="89" t="s">
        <v>3207</v>
      </c>
      <c r="AB229" s="89"/>
    </row>
    <row r="230" spans="1:28" s="31" customFormat="1" ht="60" customHeight="1" x14ac:dyDescent="0.2">
      <c r="A230" s="76">
        <v>229</v>
      </c>
      <c r="B230" s="77">
        <v>50004799</v>
      </c>
      <c r="C230" s="78" t="s">
        <v>659</v>
      </c>
      <c r="D230" s="79">
        <v>0.05</v>
      </c>
      <c r="E230" s="80">
        <v>30049039</v>
      </c>
      <c r="F230" s="81" t="s">
        <v>660</v>
      </c>
      <c r="G230" s="82" t="s">
        <v>661</v>
      </c>
      <c r="H230" s="82" t="s">
        <v>119</v>
      </c>
      <c r="I230" s="79" t="s">
        <v>2666</v>
      </c>
      <c r="J230" s="83">
        <v>111.56</v>
      </c>
      <c r="K230" s="83">
        <v>84.998095238095246</v>
      </c>
      <c r="L230" s="83">
        <v>42.499047619047623</v>
      </c>
      <c r="M230" s="84">
        <v>42.499047619047623</v>
      </c>
      <c r="N230" s="59">
        <f t="shared" si="3"/>
        <v>0.61904761904761907</v>
      </c>
      <c r="O230" s="85" t="s">
        <v>376</v>
      </c>
      <c r="P230" s="86" t="s">
        <v>48</v>
      </c>
      <c r="Q230" s="87" t="s">
        <v>3208</v>
      </c>
      <c r="R230" s="87">
        <v>10</v>
      </c>
      <c r="S230" s="88">
        <v>11.156000000000001</v>
      </c>
      <c r="T230" s="88">
        <v>4.2499047619047623</v>
      </c>
      <c r="U230" s="88">
        <v>4.2499047619047623</v>
      </c>
      <c r="V230" s="87" t="s">
        <v>3061</v>
      </c>
      <c r="W230" s="87" t="s">
        <v>3105</v>
      </c>
      <c r="X230" s="90" t="s">
        <v>3477</v>
      </c>
      <c r="Y230" s="89" t="s">
        <v>3455</v>
      </c>
      <c r="Z230" s="89">
        <v>6</v>
      </c>
      <c r="AA230" s="89" t="s">
        <v>3207</v>
      </c>
      <c r="AB230" s="89"/>
    </row>
    <row r="231" spans="1:28" s="31" customFormat="1" ht="60" customHeight="1" x14ac:dyDescent="0.2">
      <c r="A231" s="76">
        <v>230</v>
      </c>
      <c r="B231" s="77">
        <v>50000816</v>
      </c>
      <c r="C231" s="78" t="s">
        <v>662</v>
      </c>
      <c r="D231" s="79">
        <v>0.05</v>
      </c>
      <c r="E231" s="80">
        <v>30049039</v>
      </c>
      <c r="F231" s="81" t="s">
        <v>663</v>
      </c>
      <c r="G231" s="82" t="s">
        <v>664</v>
      </c>
      <c r="H231" s="82" t="s">
        <v>3401</v>
      </c>
      <c r="I231" s="79" t="s">
        <v>2693</v>
      </c>
      <c r="J231" s="83">
        <v>124.57</v>
      </c>
      <c r="K231" s="83">
        <v>94.910476190476189</v>
      </c>
      <c r="L231" s="83">
        <v>87.001269841269846</v>
      </c>
      <c r="M231" s="84">
        <v>78.301142857142878</v>
      </c>
      <c r="N231" s="59">
        <f t="shared" si="3"/>
        <v>0.37142857142857122</v>
      </c>
      <c r="O231" s="85" t="s">
        <v>376</v>
      </c>
      <c r="P231" s="86" t="s">
        <v>2773</v>
      </c>
      <c r="Q231" s="87" t="s">
        <v>3208</v>
      </c>
      <c r="R231" s="87">
        <v>10</v>
      </c>
      <c r="S231" s="88">
        <v>12.456999999999999</v>
      </c>
      <c r="T231" s="88">
        <v>8.7001269841269853</v>
      </c>
      <c r="U231" s="88">
        <v>7.8301142857142878</v>
      </c>
      <c r="V231" s="87" t="s">
        <v>3061</v>
      </c>
      <c r="W231" s="87" t="s">
        <v>3105</v>
      </c>
      <c r="X231" s="90" t="s">
        <v>3478</v>
      </c>
      <c r="Y231" s="89"/>
      <c r="Z231" s="89">
        <v>6</v>
      </c>
      <c r="AA231" s="89" t="s">
        <v>3207</v>
      </c>
      <c r="AB231" s="89"/>
    </row>
    <row r="232" spans="1:28" s="31" customFormat="1" ht="60" customHeight="1" x14ac:dyDescent="0.2">
      <c r="A232" s="76">
        <v>231</v>
      </c>
      <c r="B232" s="77">
        <v>50006046</v>
      </c>
      <c r="C232" s="78" t="s">
        <v>662</v>
      </c>
      <c r="D232" s="79">
        <v>0.05</v>
      </c>
      <c r="E232" s="80">
        <v>30049039</v>
      </c>
      <c r="F232" s="81" t="s">
        <v>4675</v>
      </c>
      <c r="G232" s="82" t="s">
        <v>664</v>
      </c>
      <c r="H232" s="82" t="s">
        <v>3401</v>
      </c>
      <c r="I232" s="79" t="s">
        <v>2696</v>
      </c>
      <c r="J232" s="83">
        <v>186.85</v>
      </c>
      <c r="K232" s="83">
        <v>142.36190476190478</v>
      </c>
      <c r="L232" s="83">
        <v>130.49841269841272</v>
      </c>
      <c r="M232" s="84">
        <v>117.44857142857147</v>
      </c>
      <c r="N232" s="59">
        <f t="shared" si="3"/>
        <v>0.37142857142857122</v>
      </c>
      <c r="O232" s="85" t="s">
        <v>376</v>
      </c>
      <c r="P232" s="86" t="s">
        <v>21</v>
      </c>
      <c r="Q232" s="87" t="s">
        <v>3208</v>
      </c>
      <c r="R232" s="87">
        <v>15</v>
      </c>
      <c r="S232" s="88">
        <v>12.456666666666667</v>
      </c>
      <c r="T232" s="88">
        <v>8.6998941798941818</v>
      </c>
      <c r="U232" s="88">
        <v>7.829904761904765</v>
      </c>
      <c r="V232" s="87" t="s">
        <v>3061</v>
      </c>
      <c r="W232" s="87" t="s">
        <v>3105</v>
      </c>
      <c r="X232" s="90" t="s">
        <v>3478</v>
      </c>
      <c r="Y232" s="89"/>
      <c r="Z232" s="89"/>
      <c r="AA232" s="89"/>
      <c r="AB232" s="89"/>
    </row>
    <row r="233" spans="1:28" s="31" customFormat="1" ht="60" customHeight="1" x14ac:dyDescent="0.2">
      <c r="A233" s="76">
        <v>232</v>
      </c>
      <c r="B233" s="77">
        <v>50000102</v>
      </c>
      <c r="C233" s="78" t="s">
        <v>665</v>
      </c>
      <c r="D233" s="79">
        <v>0.05</v>
      </c>
      <c r="E233" s="80">
        <v>30049039</v>
      </c>
      <c r="F233" s="81" t="s">
        <v>666</v>
      </c>
      <c r="G233" s="82" t="s">
        <v>667</v>
      </c>
      <c r="H233" s="82" t="s">
        <v>3801</v>
      </c>
      <c r="I233" s="79" t="s">
        <v>2693</v>
      </c>
      <c r="J233" s="83">
        <v>186.64</v>
      </c>
      <c r="K233" s="83">
        <v>142.20190476190476</v>
      </c>
      <c r="L233" s="83">
        <v>142.20190476190476</v>
      </c>
      <c r="M233" s="84">
        <v>127.98171428571429</v>
      </c>
      <c r="N233" s="59">
        <f t="shared" si="3"/>
        <v>0.31428571428571422</v>
      </c>
      <c r="O233" s="85" t="s">
        <v>376</v>
      </c>
      <c r="P233" s="86" t="s">
        <v>2774</v>
      </c>
      <c r="Q233" s="87" t="s">
        <v>3208</v>
      </c>
      <c r="R233" s="87">
        <v>10</v>
      </c>
      <c r="S233" s="88">
        <v>18.663999999999998</v>
      </c>
      <c r="T233" s="88">
        <v>14.220190476190476</v>
      </c>
      <c r="U233" s="88">
        <v>12.798171428571429</v>
      </c>
      <c r="V233" s="87" t="s">
        <v>3061</v>
      </c>
      <c r="W233" s="87" t="s">
        <v>3105</v>
      </c>
      <c r="X233" s="90" t="s">
        <v>3478</v>
      </c>
      <c r="Y233" s="89"/>
      <c r="Z233" s="89">
        <v>3</v>
      </c>
      <c r="AA233" s="89" t="s">
        <v>3207</v>
      </c>
      <c r="AB233" s="89"/>
    </row>
    <row r="234" spans="1:28" s="31" customFormat="1" ht="60" customHeight="1" x14ac:dyDescent="0.2">
      <c r="A234" s="76">
        <v>233</v>
      </c>
      <c r="B234" s="77">
        <v>50004269</v>
      </c>
      <c r="C234" s="78" t="s">
        <v>668</v>
      </c>
      <c r="D234" s="79">
        <v>0.05</v>
      </c>
      <c r="E234" s="80">
        <v>30049039</v>
      </c>
      <c r="F234" s="81" t="s">
        <v>669</v>
      </c>
      <c r="G234" s="82" t="s">
        <v>658</v>
      </c>
      <c r="H234" s="82" t="s">
        <v>3802</v>
      </c>
      <c r="I234" s="79" t="s">
        <v>2672</v>
      </c>
      <c r="J234" s="83">
        <v>53.88</v>
      </c>
      <c r="K234" s="83">
        <v>41.051428571428573</v>
      </c>
      <c r="L234" s="83">
        <v>11.728979591836733</v>
      </c>
      <c r="M234" s="84">
        <v>11.728979591836733</v>
      </c>
      <c r="N234" s="59">
        <f t="shared" si="3"/>
        <v>0.78231292517006812</v>
      </c>
      <c r="O234" s="85" t="s">
        <v>376</v>
      </c>
      <c r="P234" s="86" t="s">
        <v>2775</v>
      </c>
      <c r="Q234" s="87" t="s">
        <v>3207</v>
      </c>
      <c r="R234" s="87">
        <v>1</v>
      </c>
      <c r="S234" s="88">
        <v>53.88</v>
      </c>
      <c r="T234" s="88">
        <v>11.728979591836733</v>
      </c>
      <c r="U234" s="88">
        <v>11.728979591836733</v>
      </c>
      <c r="V234" s="87" t="s">
        <v>3067</v>
      </c>
      <c r="W234" s="87" t="s">
        <v>3105</v>
      </c>
      <c r="X234" s="90" t="s">
        <v>3479</v>
      </c>
      <c r="Y234" s="89"/>
      <c r="Z234" s="89">
        <v>1</v>
      </c>
      <c r="AA234" s="89" t="s">
        <v>3207</v>
      </c>
      <c r="AB234" s="89"/>
    </row>
    <row r="235" spans="1:28" s="31" customFormat="1" ht="60" customHeight="1" x14ac:dyDescent="0.2">
      <c r="A235" s="76">
        <v>234</v>
      </c>
      <c r="B235" s="77">
        <v>50006030</v>
      </c>
      <c r="C235" s="78" t="s">
        <v>3221</v>
      </c>
      <c r="D235" s="79">
        <v>0.05</v>
      </c>
      <c r="E235" s="80">
        <v>30049039</v>
      </c>
      <c r="F235" s="81" t="s">
        <v>4535</v>
      </c>
      <c r="G235" s="82" t="s">
        <v>3223</v>
      </c>
      <c r="H235" s="82" t="s">
        <v>3803</v>
      </c>
      <c r="I235" s="79" t="s">
        <v>2682</v>
      </c>
      <c r="J235" s="83">
        <v>101.62</v>
      </c>
      <c r="K235" s="83">
        <v>77.424761904761908</v>
      </c>
      <c r="L235" s="83">
        <v>64.520634920634919</v>
      </c>
      <c r="M235" s="84">
        <v>61.294603174603182</v>
      </c>
      <c r="N235" s="59">
        <f t="shared" si="3"/>
        <v>0.3968253968253968</v>
      </c>
      <c r="O235" s="85" t="s">
        <v>376</v>
      </c>
      <c r="P235" s="86" t="s">
        <v>305</v>
      </c>
      <c r="Q235" s="87" t="s">
        <v>3208</v>
      </c>
      <c r="R235" s="87">
        <v>1</v>
      </c>
      <c r="S235" s="88">
        <v>101.62</v>
      </c>
      <c r="T235" s="88">
        <v>64.520634920634919</v>
      </c>
      <c r="U235" s="88">
        <v>61.294603174603182</v>
      </c>
      <c r="V235" s="87" t="s">
        <v>3062</v>
      </c>
      <c r="W235" s="87" t="s">
        <v>3105</v>
      </c>
      <c r="X235" s="90" t="s">
        <v>3484</v>
      </c>
      <c r="Y235" s="89"/>
      <c r="Z235" s="89"/>
      <c r="AA235" s="89"/>
      <c r="AB235" s="89"/>
    </row>
    <row r="236" spans="1:28" s="31" customFormat="1" ht="60" customHeight="1" x14ac:dyDescent="0.2">
      <c r="A236" s="76">
        <v>235</v>
      </c>
      <c r="B236" s="77">
        <v>50005165</v>
      </c>
      <c r="C236" s="78" t="s">
        <v>3221</v>
      </c>
      <c r="D236" s="79">
        <v>0.05</v>
      </c>
      <c r="E236" s="80">
        <v>30049039</v>
      </c>
      <c r="F236" s="81" t="s">
        <v>3222</v>
      </c>
      <c r="G236" s="82" t="s">
        <v>3223</v>
      </c>
      <c r="H236" s="82" t="s">
        <v>3803</v>
      </c>
      <c r="I236" s="79" t="s">
        <v>2687</v>
      </c>
      <c r="J236" s="83">
        <v>203.26</v>
      </c>
      <c r="K236" s="83">
        <v>154.86476190476191</v>
      </c>
      <c r="L236" s="83">
        <v>129.05396825396826</v>
      </c>
      <c r="M236" s="84">
        <v>122.60126984126985</v>
      </c>
      <c r="N236" s="59">
        <f t="shared" si="3"/>
        <v>0.39682539682539675</v>
      </c>
      <c r="O236" s="85" t="s">
        <v>376</v>
      </c>
      <c r="P236" s="86" t="s">
        <v>305</v>
      </c>
      <c r="Q236" s="87" t="s">
        <v>3208</v>
      </c>
      <c r="R236" s="87">
        <v>1</v>
      </c>
      <c r="S236" s="88">
        <v>203.26</v>
      </c>
      <c r="T236" s="88">
        <v>129.05396825396826</v>
      </c>
      <c r="U236" s="88">
        <v>122.60126984126985</v>
      </c>
      <c r="V236" s="87" t="s">
        <v>3062</v>
      </c>
      <c r="W236" s="87" t="s">
        <v>3105</v>
      </c>
      <c r="X236" s="90" t="s">
        <v>3484</v>
      </c>
      <c r="Y236" s="89"/>
      <c r="Z236" s="89">
        <v>1</v>
      </c>
      <c r="AA236" s="89"/>
      <c r="AB236" s="89"/>
    </row>
    <row r="237" spans="1:28" s="31" customFormat="1" ht="60" customHeight="1" x14ac:dyDescent="0.2">
      <c r="A237" s="76">
        <v>236</v>
      </c>
      <c r="B237" s="77">
        <v>50000574</v>
      </c>
      <c r="C237" s="78" t="s">
        <v>670</v>
      </c>
      <c r="D237" s="79">
        <v>0.05</v>
      </c>
      <c r="E237" s="80">
        <v>30049099</v>
      </c>
      <c r="F237" s="81" t="s">
        <v>671</v>
      </c>
      <c r="G237" s="82" t="s">
        <v>672</v>
      </c>
      <c r="H237" s="82" t="s">
        <v>673</v>
      </c>
      <c r="I237" s="79" t="s">
        <v>2666</v>
      </c>
      <c r="J237" s="83">
        <v>74.86</v>
      </c>
      <c r="K237" s="83">
        <v>57.03619047619047</v>
      </c>
      <c r="L237" s="83">
        <v>57.03619047619047</v>
      </c>
      <c r="M237" s="84">
        <v>45.62895238095237</v>
      </c>
      <c r="N237" s="59">
        <f t="shared" si="3"/>
        <v>0.39047619047619064</v>
      </c>
      <c r="O237" s="85" t="s">
        <v>376</v>
      </c>
      <c r="P237" s="86" t="s">
        <v>2821</v>
      </c>
      <c r="Q237" s="87" t="s">
        <v>3208</v>
      </c>
      <c r="R237" s="87">
        <v>10</v>
      </c>
      <c r="S237" s="88">
        <v>7.4859999999999998</v>
      </c>
      <c r="T237" s="88">
        <v>5.7036190476190471</v>
      </c>
      <c r="U237" s="88">
        <v>4.562895238095237</v>
      </c>
      <c r="V237" s="87" t="s">
        <v>3061</v>
      </c>
      <c r="W237" s="87" t="s">
        <v>3114</v>
      </c>
      <c r="X237" s="90" t="s">
        <v>3477</v>
      </c>
      <c r="Y237" s="89"/>
      <c r="Z237" s="89">
        <v>3</v>
      </c>
      <c r="AA237" s="89"/>
      <c r="AB237" s="89"/>
    </row>
    <row r="238" spans="1:28" s="31" customFormat="1" ht="60" customHeight="1" x14ac:dyDescent="0.2">
      <c r="A238" s="76">
        <v>237</v>
      </c>
      <c r="B238" s="77">
        <v>50000686</v>
      </c>
      <c r="C238" s="78" t="s">
        <v>674</v>
      </c>
      <c r="D238" s="79">
        <v>0.05</v>
      </c>
      <c r="E238" s="80">
        <v>30049099</v>
      </c>
      <c r="F238" s="81" t="s">
        <v>675</v>
      </c>
      <c r="G238" s="82" t="s">
        <v>676</v>
      </c>
      <c r="H238" s="82" t="s">
        <v>677</v>
      </c>
      <c r="I238" s="79" t="s">
        <v>2666</v>
      </c>
      <c r="J238" s="83">
        <v>102.08</v>
      </c>
      <c r="K238" s="83">
        <v>77.775238095238095</v>
      </c>
      <c r="L238" s="83">
        <v>77.775238095238095</v>
      </c>
      <c r="M238" s="84">
        <v>62.220190476190481</v>
      </c>
      <c r="N238" s="59">
        <f t="shared" si="3"/>
        <v>0.39047619047619042</v>
      </c>
      <c r="O238" s="85" t="s">
        <v>376</v>
      </c>
      <c r="P238" s="86" t="s">
        <v>2821</v>
      </c>
      <c r="Q238" s="87" t="s">
        <v>3208</v>
      </c>
      <c r="R238" s="87">
        <v>10</v>
      </c>
      <c r="S238" s="88">
        <v>10.208</v>
      </c>
      <c r="T238" s="88">
        <v>7.7775238095238093</v>
      </c>
      <c r="U238" s="88">
        <v>6.2220190476190478</v>
      </c>
      <c r="V238" s="87" t="s">
        <v>3061</v>
      </c>
      <c r="W238" s="87" t="s">
        <v>3114</v>
      </c>
      <c r="X238" s="90" t="s">
        <v>3477</v>
      </c>
      <c r="Y238" s="89"/>
      <c r="Z238" s="89">
        <v>2</v>
      </c>
      <c r="AA238" s="89"/>
      <c r="AB238" s="89" t="s">
        <v>4613</v>
      </c>
    </row>
    <row r="239" spans="1:28" s="31" customFormat="1" ht="60" customHeight="1" x14ac:dyDescent="0.2">
      <c r="A239" s="76">
        <v>238</v>
      </c>
      <c r="B239" s="77">
        <v>50000202</v>
      </c>
      <c r="C239" s="78" t="s">
        <v>678</v>
      </c>
      <c r="D239" s="79">
        <v>0.05</v>
      </c>
      <c r="E239" s="80">
        <v>30049099</v>
      </c>
      <c r="F239" s="81" t="s">
        <v>679</v>
      </c>
      <c r="G239" s="82" t="s">
        <v>680</v>
      </c>
      <c r="H239" s="82" t="s">
        <v>3804</v>
      </c>
      <c r="I239" s="79" t="s">
        <v>2666</v>
      </c>
      <c r="J239" s="83">
        <v>104.14</v>
      </c>
      <c r="K239" s="83">
        <v>79.344761904761896</v>
      </c>
      <c r="L239" s="83">
        <v>79.344761904761896</v>
      </c>
      <c r="M239" s="84">
        <v>71.41028571428572</v>
      </c>
      <c r="N239" s="59">
        <f t="shared" si="3"/>
        <v>0.31428571428571422</v>
      </c>
      <c r="O239" s="85" t="s">
        <v>376</v>
      </c>
      <c r="P239" s="86" t="s">
        <v>2674</v>
      </c>
      <c r="Q239" s="87" t="s">
        <v>3208</v>
      </c>
      <c r="R239" s="87">
        <v>10</v>
      </c>
      <c r="S239" s="88">
        <v>10.414</v>
      </c>
      <c r="T239" s="88">
        <v>7.9344761904761896</v>
      </c>
      <c r="U239" s="88">
        <v>7.1410285714285724</v>
      </c>
      <c r="V239" s="87" t="s">
        <v>3061</v>
      </c>
      <c r="W239" s="87" t="s">
        <v>3114</v>
      </c>
      <c r="X239" s="90" t="s">
        <v>3477</v>
      </c>
      <c r="Y239" s="89"/>
      <c r="Z239" s="89">
        <v>3</v>
      </c>
      <c r="AA239" s="89"/>
      <c r="AB239" s="89"/>
    </row>
    <row r="240" spans="1:28" s="31" customFormat="1" ht="60" customHeight="1" x14ac:dyDescent="0.2">
      <c r="A240" s="76">
        <v>239</v>
      </c>
      <c r="B240" s="77">
        <v>50000650</v>
      </c>
      <c r="C240" s="78" t="s">
        <v>681</v>
      </c>
      <c r="D240" s="79">
        <v>0.05</v>
      </c>
      <c r="E240" s="80">
        <v>30049039</v>
      </c>
      <c r="F240" s="81" t="s">
        <v>682</v>
      </c>
      <c r="G240" s="82" t="s">
        <v>683</v>
      </c>
      <c r="H240" s="82" t="s">
        <v>3343</v>
      </c>
      <c r="I240" s="79" t="s">
        <v>2666</v>
      </c>
      <c r="J240" s="83">
        <v>72.790000000000006</v>
      </c>
      <c r="K240" s="83">
        <v>55.459047619047624</v>
      </c>
      <c r="L240" s="83">
        <v>50.837460317460319</v>
      </c>
      <c r="M240" s="84">
        <v>45.753714285714281</v>
      </c>
      <c r="N240" s="59">
        <f t="shared" si="3"/>
        <v>0.37142857142857155</v>
      </c>
      <c r="O240" s="85" t="s">
        <v>376</v>
      </c>
      <c r="P240" s="86" t="s">
        <v>2726</v>
      </c>
      <c r="Q240" s="87" t="s">
        <v>3208</v>
      </c>
      <c r="R240" s="87">
        <v>10</v>
      </c>
      <c r="S240" s="88">
        <v>7.2790000000000008</v>
      </c>
      <c r="T240" s="88">
        <v>5.0837460317460321</v>
      </c>
      <c r="U240" s="88">
        <v>4.5753714285714278</v>
      </c>
      <c r="V240" s="87" t="s">
        <v>3061</v>
      </c>
      <c r="W240" s="87" t="s">
        <v>3105</v>
      </c>
      <c r="X240" s="90" t="s">
        <v>3477</v>
      </c>
      <c r="Y240" s="89"/>
      <c r="Z240" s="89">
        <v>10</v>
      </c>
      <c r="AA240" s="89" t="s">
        <v>3207</v>
      </c>
      <c r="AB240" s="89"/>
    </row>
    <row r="241" spans="1:28" s="31" customFormat="1" ht="60" customHeight="1" x14ac:dyDescent="0.2">
      <c r="A241" s="76">
        <v>240</v>
      </c>
      <c r="B241" s="77">
        <v>50002113</v>
      </c>
      <c r="C241" s="78" t="s">
        <v>684</v>
      </c>
      <c r="D241" s="79">
        <v>0.05</v>
      </c>
      <c r="E241" s="80">
        <v>30049084</v>
      </c>
      <c r="F241" s="81" t="s">
        <v>685</v>
      </c>
      <c r="G241" s="82" t="s">
        <v>686</v>
      </c>
      <c r="H241" s="82" t="s">
        <v>3805</v>
      </c>
      <c r="I241" s="79" t="s">
        <v>2666</v>
      </c>
      <c r="J241" s="83">
        <v>268.11</v>
      </c>
      <c r="K241" s="83">
        <v>204.27428571428572</v>
      </c>
      <c r="L241" s="83">
        <v>204.27428571428572</v>
      </c>
      <c r="M241" s="84">
        <v>183.84685714285717</v>
      </c>
      <c r="N241" s="59">
        <f t="shared" si="3"/>
        <v>0.31428571428571422</v>
      </c>
      <c r="O241" s="85" t="s">
        <v>376</v>
      </c>
      <c r="P241" s="86" t="s">
        <v>2753</v>
      </c>
      <c r="Q241" s="87" t="s">
        <v>3208</v>
      </c>
      <c r="R241" s="87">
        <v>10</v>
      </c>
      <c r="S241" s="88">
        <v>26.811</v>
      </c>
      <c r="T241" s="88">
        <v>20.427428571428571</v>
      </c>
      <c r="U241" s="88">
        <v>18.384685714285716</v>
      </c>
      <c r="V241" s="87" t="s">
        <v>3061</v>
      </c>
      <c r="W241" s="87" t="s">
        <v>3106</v>
      </c>
      <c r="X241" s="90" t="s">
        <v>3477</v>
      </c>
      <c r="Y241" s="89"/>
      <c r="Z241" s="89">
        <v>3</v>
      </c>
      <c r="AA241" s="89"/>
      <c r="AB241" s="89"/>
    </row>
    <row r="242" spans="1:28" s="31" customFormat="1" ht="60" customHeight="1" x14ac:dyDescent="0.2">
      <c r="A242" s="76">
        <v>241</v>
      </c>
      <c r="B242" s="77">
        <v>50001959</v>
      </c>
      <c r="C242" s="78" t="s">
        <v>687</v>
      </c>
      <c r="D242" s="79">
        <v>0.05</v>
      </c>
      <c r="E242" s="80">
        <v>30049099</v>
      </c>
      <c r="F242" s="81" t="s">
        <v>688</v>
      </c>
      <c r="G242" s="82" t="s">
        <v>689</v>
      </c>
      <c r="H242" s="82" t="s">
        <v>3806</v>
      </c>
      <c r="I242" s="79" t="s">
        <v>2666</v>
      </c>
      <c r="J242" s="83">
        <v>299.06</v>
      </c>
      <c r="K242" s="83">
        <v>227.85523809523812</v>
      </c>
      <c r="L242" s="83">
        <v>227.85523809523812</v>
      </c>
      <c r="M242" s="84">
        <v>205.06971428571435</v>
      </c>
      <c r="N242" s="59">
        <f t="shared" si="3"/>
        <v>0.31428571428571406</v>
      </c>
      <c r="O242" s="85" t="s">
        <v>376</v>
      </c>
      <c r="P242" s="86" t="s">
        <v>3260</v>
      </c>
      <c r="Q242" s="87" t="s">
        <v>3208</v>
      </c>
      <c r="R242" s="87">
        <v>10</v>
      </c>
      <c r="S242" s="88">
        <v>29.905999999999999</v>
      </c>
      <c r="T242" s="88">
        <v>22.785523809523813</v>
      </c>
      <c r="U242" s="88">
        <v>20.506971428571436</v>
      </c>
      <c r="V242" s="87" t="s">
        <v>3061</v>
      </c>
      <c r="W242" s="87" t="s">
        <v>3106</v>
      </c>
      <c r="X242" s="90" t="s">
        <v>3477</v>
      </c>
      <c r="Y242" s="89"/>
      <c r="Z242" s="89">
        <v>3</v>
      </c>
      <c r="AA242" s="89"/>
      <c r="AB242" s="89"/>
    </row>
    <row r="243" spans="1:28" s="31" customFormat="1" ht="60" customHeight="1" x14ac:dyDescent="0.2">
      <c r="A243" s="76">
        <v>242</v>
      </c>
      <c r="B243" s="77">
        <v>50003959</v>
      </c>
      <c r="C243" s="78" t="s">
        <v>690</v>
      </c>
      <c r="D243" s="79">
        <v>0.05</v>
      </c>
      <c r="E243" s="80">
        <v>30049099</v>
      </c>
      <c r="F243" s="81" t="s">
        <v>691</v>
      </c>
      <c r="G243" s="82" t="s">
        <v>692</v>
      </c>
      <c r="H243" s="82" t="s">
        <v>26</v>
      </c>
      <c r="I243" s="79" t="s">
        <v>2666</v>
      </c>
      <c r="J243" s="83">
        <v>85.07</v>
      </c>
      <c r="K243" s="83">
        <v>64.815238095238101</v>
      </c>
      <c r="L243" s="83">
        <v>64.815238095238101</v>
      </c>
      <c r="M243" s="84">
        <v>60.494222222222234</v>
      </c>
      <c r="N243" s="59">
        <f t="shared" si="3"/>
        <v>0.2888888888888887</v>
      </c>
      <c r="O243" s="85" t="s">
        <v>376</v>
      </c>
      <c r="P243" s="86" t="s">
        <v>3603</v>
      </c>
      <c r="Q243" s="87" t="s">
        <v>3208</v>
      </c>
      <c r="R243" s="87">
        <v>10</v>
      </c>
      <c r="S243" s="88">
        <v>8.5069999999999997</v>
      </c>
      <c r="T243" s="88">
        <v>6.4815238095238099</v>
      </c>
      <c r="U243" s="88">
        <v>6.0494222222222236</v>
      </c>
      <c r="V243" s="87" t="s">
        <v>3061</v>
      </c>
      <c r="W243" s="87" t="s">
        <v>3114</v>
      </c>
      <c r="X243" s="90" t="s">
        <v>3477</v>
      </c>
      <c r="Y243" s="89" t="s">
        <v>3455</v>
      </c>
      <c r="Z243" s="89">
        <v>3</v>
      </c>
      <c r="AA243" s="89" t="s">
        <v>3207</v>
      </c>
      <c r="AB243" s="89"/>
    </row>
    <row r="244" spans="1:28" s="31" customFormat="1" ht="60" customHeight="1" x14ac:dyDescent="0.2">
      <c r="A244" s="76">
        <v>243</v>
      </c>
      <c r="B244" s="77">
        <v>50003958</v>
      </c>
      <c r="C244" s="78" t="s">
        <v>693</v>
      </c>
      <c r="D244" s="79">
        <v>0.05</v>
      </c>
      <c r="E244" s="80">
        <v>30049099</v>
      </c>
      <c r="F244" s="81" t="s">
        <v>694</v>
      </c>
      <c r="G244" s="82" t="s">
        <v>695</v>
      </c>
      <c r="H244" s="82" t="s">
        <v>30</v>
      </c>
      <c r="I244" s="79" t="s">
        <v>2666</v>
      </c>
      <c r="J244" s="83">
        <v>123.5</v>
      </c>
      <c r="K244" s="83">
        <v>94.095238095238102</v>
      </c>
      <c r="L244" s="83">
        <v>94.095238095238102</v>
      </c>
      <c r="M244" s="84">
        <v>86.491582491582506</v>
      </c>
      <c r="N244" s="59">
        <f t="shared" si="3"/>
        <v>0.29966329966329958</v>
      </c>
      <c r="O244" s="85" t="s">
        <v>376</v>
      </c>
      <c r="P244" s="86" t="s">
        <v>3529</v>
      </c>
      <c r="Q244" s="87" t="s">
        <v>3208</v>
      </c>
      <c r="R244" s="87">
        <v>10</v>
      </c>
      <c r="S244" s="88">
        <v>12.35</v>
      </c>
      <c r="T244" s="88">
        <v>9.4095238095238098</v>
      </c>
      <c r="U244" s="88">
        <v>8.6491582491582513</v>
      </c>
      <c r="V244" s="87" t="s">
        <v>3061</v>
      </c>
      <c r="W244" s="87" t="s">
        <v>3114</v>
      </c>
      <c r="X244" s="90" t="s">
        <v>3477</v>
      </c>
      <c r="Y244" s="89" t="s">
        <v>3455</v>
      </c>
      <c r="Z244" s="89">
        <v>3</v>
      </c>
      <c r="AA244" s="89" t="s">
        <v>3207</v>
      </c>
      <c r="AB244" s="89"/>
    </row>
    <row r="245" spans="1:28" s="31" customFormat="1" ht="60" customHeight="1" x14ac:dyDescent="0.2">
      <c r="A245" s="76">
        <v>244</v>
      </c>
      <c r="B245" s="77">
        <v>50004200</v>
      </c>
      <c r="C245" s="78" t="s">
        <v>696</v>
      </c>
      <c r="D245" s="79">
        <v>0.05</v>
      </c>
      <c r="E245" s="80">
        <v>30049099</v>
      </c>
      <c r="F245" s="81" t="s">
        <v>697</v>
      </c>
      <c r="G245" s="82" t="s">
        <v>698</v>
      </c>
      <c r="H245" s="82" t="s">
        <v>3280</v>
      </c>
      <c r="I245" s="79" t="s">
        <v>2666</v>
      </c>
      <c r="J245" s="83">
        <v>79.400000000000006</v>
      </c>
      <c r="K245" s="83">
        <v>60.495238095238108</v>
      </c>
      <c r="L245" s="83">
        <v>60.495238095238108</v>
      </c>
      <c r="M245" s="84">
        <v>48.393770666666661</v>
      </c>
      <c r="N245" s="59">
        <f t="shared" si="3"/>
        <v>0.39050666666666678</v>
      </c>
      <c r="O245" s="85" t="s">
        <v>376</v>
      </c>
      <c r="P245" s="86" t="s">
        <v>2748</v>
      </c>
      <c r="Q245" s="87" t="s">
        <v>3208</v>
      </c>
      <c r="R245" s="87">
        <v>10</v>
      </c>
      <c r="S245" s="88">
        <v>7.94</v>
      </c>
      <c r="T245" s="88">
        <v>6.0495238095238104</v>
      </c>
      <c r="U245" s="88">
        <v>4.8393770666666658</v>
      </c>
      <c r="V245" s="87" t="s">
        <v>3061</v>
      </c>
      <c r="W245" s="87" t="s">
        <v>3114</v>
      </c>
      <c r="X245" s="90" t="s">
        <v>3477</v>
      </c>
      <c r="Y245" s="89" t="s">
        <v>3455</v>
      </c>
      <c r="Z245" s="89">
        <v>3</v>
      </c>
      <c r="AA245" s="89" t="s">
        <v>3207</v>
      </c>
      <c r="AB245" s="89"/>
    </row>
    <row r="246" spans="1:28" s="31" customFormat="1" ht="60" customHeight="1" x14ac:dyDescent="0.2">
      <c r="A246" s="76">
        <v>245</v>
      </c>
      <c r="B246" s="77">
        <v>50004199</v>
      </c>
      <c r="C246" s="78" t="s">
        <v>699</v>
      </c>
      <c r="D246" s="79">
        <v>0.05</v>
      </c>
      <c r="E246" s="80">
        <v>30049099</v>
      </c>
      <c r="F246" s="81" t="s">
        <v>700</v>
      </c>
      <c r="G246" s="82" t="s">
        <v>701</v>
      </c>
      <c r="H246" s="82" t="s">
        <v>3766</v>
      </c>
      <c r="I246" s="79" t="s">
        <v>2666</v>
      </c>
      <c r="J246" s="83">
        <v>84.36</v>
      </c>
      <c r="K246" s="83">
        <v>64.27428571428571</v>
      </c>
      <c r="L246" s="83">
        <v>64.27428571428571</v>
      </c>
      <c r="M246" s="84">
        <v>52.103694794125779</v>
      </c>
      <c r="N246" s="59">
        <f t="shared" si="3"/>
        <v>0.38236492657508558</v>
      </c>
      <c r="O246" s="85" t="s">
        <v>376</v>
      </c>
      <c r="P246" s="86" t="s">
        <v>3198</v>
      </c>
      <c r="Q246" s="87" t="s">
        <v>3208</v>
      </c>
      <c r="R246" s="87">
        <v>10</v>
      </c>
      <c r="S246" s="88">
        <v>8.4359999999999999</v>
      </c>
      <c r="T246" s="88">
        <v>6.427428571428571</v>
      </c>
      <c r="U246" s="88">
        <v>5.2103694794125781</v>
      </c>
      <c r="V246" s="87" t="s">
        <v>3061</v>
      </c>
      <c r="W246" s="87" t="s">
        <v>3114</v>
      </c>
      <c r="X246" s="90" t="s">
        <v>3477</v>
      </c>
      <c r="Y246" s="89" t="s">
        <v>3455</v>
      </c>
      <c r="Z246" s="89">
        <v>3</v>
      </c>
      <c r="AA246" s="89" t="s">
        <v>3207</v>
      </c>
      <c r="AB246" s="89"/>
    </row>
    <row r="247" spans="1:28" s="31" customFormat="1" ht="60" customHeight="1" x14ac:dyDescent="0.2">
      <c r="A247" s="76">
        <v>246</v>
      </c>
      <c r="B247" s="77">
        <v>50003960</v>
      </c>
      <c r="C247" s="78" t="s">
        <v>702</v>
      </c>
      <c r="D247" s="79">
        <v>0.05</v>
      </c>
      <c r="E247" s="80">
        <v>30049099</v>
      </c>
      <c r="F247" s="81" t="s">
        <v>703</v>
      </c>
      <c r="G247" s="82" t="s">
        <v>704</v>
      </c>
      <c r="H247" s="82" t="s">
        <v>3344</v>
      </c>
      <c r="I247" s="79" t="s">
        <v>2666</v>
      </c>
      <c r="J247" s="83">
        <v>133.94999999999999</v>
      </c>
      <c r="K247" s="83">
        <v>102.05714285714285</v>
      </c>
      <c r="L247" s="83">
        <v>102.05714285714285</v>
      </c>
      <c r="M247" s="84">
        <v>97.836209257737565</v>
      </c>
      <c r="N247" s="59">
        <f t="shared" si="3"/>
        <v>0.2696065005021458</v>
      </c>
      <c r="O247" s="85" t="s">
        <v>376</v>
      </c>
      <c r="P247" s="86" t="s">
        <v>2734</v>
      </c>
      <c r="Q247" s="87" t="s">
        <v>3208</v>
      </c>
      <c r="R247" s="87">
        <v>10</v>
      </c>
      <c r="S247" s="88">
        <v>13.395</v>
      </c>
      <c r="T247" s="88">
        <v>10.205714285714285</v>
      </c>
      <c r="U247" s="88">
        <v>9.7836209257737572</v>
      </c>
      <c r="V247" s="87" t="s">
        <v>3061</v>
      </c>
      <c r="W247" s="87" t="s">
        <v>3114</v>
      </c>
      <c r="X247" s="90" t="s">
        <v>3477</v>
      </c>
      <c r="Y247" s="89" t="s">
        <v>3455</v>
      </c>
      <c r="Z247" s="89">
        <v>3</v>
      </c>
      <c r="AA247" s="89" t="s">
        <v>3207</v>
      </c>
      <c r="AB247" s="89"/>
    </row>
    <row r="248" spans="1:28" s="31" customFormat="1" ht="60" customHeight="1" x14ac:dyDescent="0.2">
      <c r="A248" s="76">
        <v>247</v>
      </c>
      <c r="B248" s="77">
        <v>50003957</v>
      </c>
      <c r="C248" s="78" t="s">
        <v>705</v>
      </c>
      <c r="D248" s="79">
        <v>0.05</v>
      </c>
      <c r="E248" s="80">
        <v>30049099</v>
      </c>
      <c r="F248" s="81" t="s">
        <v>706</v>
      </c>
      <c r="G248" s="82" t="s">
        <v>707</v>
      </c>
      <c r="H248" s="82" t="s">
        <v>3807</v>
      </c>
      <c r="I248" s="79" t="s">
        <v>2666</v>
      </c>
      <c r="J248" s="83">
        <v>154.57</v>
      </c>
      <c r="K248" s="83">
        <v>117.76761904761904</v>
      </c>
      <c r="L248" s="83">
        <v>117.76761904761904</v>
      </c>
      <c r="M248" s="84">
        <v>114.64104509060257</v>
      </c>
      <c r="N248" s="59">
        <f t="shared" si="3"/>
        <v>0.25832279814580722</v>
      </c>
      <c r="O248" s="85" t="s">
        <v>376</v>
      </c>
      <c r="P248" s="86" t="s">
        <v>2777</v>
      </c>
      <c r="Q248" s="87" t="s">
        <v>3208</v>
      </c>
      <c r="R248" s="87">
        <v>10</v>
      </c>
      <c r="S248" s="88">
        <v>15.456999999999999</v>
      </c>
      <c r="T248" s="88">
        <v>11.776761904761903</v>
      </c>
      <c r="U248" s="88">
        <v>11.464104509060258</v>
      </c>
      <c r="V248" s="87" t="s">
        <v>3061</v>
      </c>
      <c r="W248" s="87" t="s">
        <v>3114</v>
      </c>
      <c r="X248" s="90" t="s">
        <v>3477</v>
      </c>
      <c r="Y248" s="89" t="s">
        <v>3455</v>
      </c>
      <c r="Z248" s="89">
        <v>3</v>
      </c>
      <c r="AA248" s="89" t="s">
        <v>3207</v>
      </c>
      <c r="AB248" s="89" t="s">
        <v>4613</v>
      </c>
    </row>
    <row r="249" spans="1:28" s="31" customFormat="1" ht="60" customHeight="1" x14ac:dyDescent="0.2">
      <c r="A249" s="76">
        <v>248</v>
      </c>
      <c r="B249" s="77">
        <v>50004306</v>
      </c>
      <c r="C249" s="78" t="s">
        <v>708</v>
      </c>
      <c r="D249" s="79">
        <v>0.05</v>
      </c>
      <c r="E249" s="80">
        <v>30049099</v>
      </c>
      <c r="F249" s="81" t="s">
        <v>709</v>
      </c>
      <c r="G249" s="82" t="s">
        <v>710</v>
      </c>
      <c r="H249" s="82" t="s">
        <v>3289</v>
      </c>
      <c r="I249" s="79" t="s">
        <v>2666</v>
      </c>
      <c r="J249" s="83">
        <v>145.19</v>
      </c>
      <c r="K249" s="83">
        <v>110.62095238095237</v>
      </c>
      <c r="L249" s="83">
        <v>110.62095238095237</v>
      </c>
      <c r="M249" s="84">
        <v>88.496761904761911</v>
      </c>
      <c r="N249" s="59">
        <f t="shared" si="3"/>
        <v>0.39047619047619042</v>
      </c>
      <c r="O249" s="85" t="s">
        <v>376</v>
      </c>
      <c r="P249" s="86" t="s">
        <v>2748</v>
      </c>
      <c r="Q249" s="87" t="s">
        <v>3208</v>
      </c>
      <c r="R249" s="87">
        <v>10</v>
      </c>
      <c r="S249" s="88">
        <v>14.519</v>
      </c>
      <c r="T249" s="88">
        <v>11.062095238095237</v>
      </c>
      <c r="U249" s="88">
        <v>8.8496761904761918</v>
      </c>
      <c r="V249" s="87" t="s">
        <v>3061</v>
      </c>
      <c r="W249" s="87" t="s">
        <v>3114</v>
      </c>
      <c r="X249" s="90" t="s">
        <v>3477</v>
      </c>
      <c r="Y249" s="89" t="s">
        <v>3455</v>
      </c>
      <c r="Z249" s="89">
        <v>3</v>
      </c>
      <c r="AA249" s="89" t="s">
        <v>3207</v>
      </c>
      <c r="AB249" s="89"/>
    </row>
    <row r="250" spans="1:28" s="31" customFormat="1" ht="60" customHeight="1" x14ac:dyDescent="0.2">
      <c r="A250" s="76">
        <v>249</v>
      </c>
      <c r="B250" s="77">
        <v>50004307</v>
      </c>
      <c r="C250" s="78" t="s">
        <v>711</v>
      </c>
      <c r="D250" s="79">
        <v>0.05</v>
      </c>
      <c r="E250" s="80">
        <v>30049099</v>
      </c>
      <c r="F250" s="81" t="s">
        <v>712</v>
      </c>
      <c r="G250" s="82" t="s">
        <v>713</v>
      </c>
      <c r="H250" s="82" t="s">
        <v>3290</v>
      </c>
      <c r="I250" s="79" t="s">
        <v>2666</v>
      </c>
      <c r="J250" s="83">
        <v>178.12</v>
      </c>
      <c r="K250" s="83">
        <v>135.71047619047619</v>
      </c>
      <c r="L250" s="83">
        <v>135.71047619047619</v>
      </c>
      <c r="M250" s="84">
        <v>108.56838095238093</v>
      </c>
      <c r="N250" s="59">
        <f t="shared" si="3"/>
        <v>0.39047619047619059</v>
      </c>
      <c r="O250" s="85" t="s">
        <v>376</v>
      </c>
      <c r="P250" s="86" t="s">
        <v>2748</v>
      </c>
      <c r="Q250" s="87" t="s">
        <v>3208</v>
      </c>
      <c r="R250" s="87">
        <v>10</v>
      </c>
      <c r="S250" s="88">
        <v>17.812000000000001</v>
      </c>
      <c r="T250" s="88">
        <v>13.571047619047619</v>
      </c>
      <c r="U250" s="88">
        <v>10.856838095238093</v>
      </c>
      <c r="V250" s="87" t="s">
        <v>3061</v>
      </c>
      <c r="W250" s="87" t="s">
        <v>3114</v>
      </c>
      <c r="X250" s="90" t="s">
        <v>3477</v>
      </c>
      <c r="Y250" s="89" t="s">
        <v>3455</v>
      </c>
      <c r="Z250" s="89">
        <v>3</v>
      </c>
      <c r="AA250" s="89" t="s">
        <v>3207</v>
      </c>
      <c r="AB250" s="89"/>
    </row>
    <row r="251" spans="1:28" s="31" customFormat="1" ht="60" customHeight="1" x14ac:dyDescent="0.2">
      <c r="A251" s="76">
        <v>250</v>
      </c>
      <c r="B251" s="77">
        <v>50004762</v>
      </c>
      <c r="C251" s="78" t="s">
        <v>714</v>
      </c>
      <c r="D251" s="79">
        <v>0.05</v>
      </c>
      <c r="E251" s="80">
        <v>30049099</v>
      </c>
      <c r="F251" s="81" t="s">
        <v>715</v>
      </c>
      <c r="G251" s="82" t="s">
        <v>716</v>
      </c>
      <c r="H251" s="82" t="s">
        <v>3808</v>
      </c>
      <c r="I251" s="79" t="s">
        <v>2666</v>
      </c>
      <c r="J251" s="83">
        <v>209.9</v>
      </c>
      <c r="K251" s="83">
        <v>159.92380952380952</v>
      </c>
      <c r="L251" s="83">
        <v>159.92380952380952</v>
      </c>
      <c r="M251" s="84">
        <v>127.93904761904763</v>
      </c>
      <c r="N251" s="59">
        <f t="shared" si="3"/>
        <v>0.39047619047619048</v>
      </c>
      <c r="O251" s="85" t="s">
        <v>376</v>
      </c>
      <c r="P251" s="86" t="s">
        <v>2734</v>
      </c>
      <c r="Q251" s="87" t="s">
        <v>3208</v>
      </c>
      <c r="R251" s="87">
        <v>10</v>
      </c>
      <c r="S251" s="88">
        <v>20.990000000000002</v>
      </c>
      <c r="T251" s="88">
        <v>15.992380952380952</v>
      </c>
      <c r="U251" s="88">
        <v>12.793904761904763</v>
      </c>
      <c r="V251" s="87" t="s">
        <v>3061</v>
      </c>
      <c r="W251" s="87" t="s">
        <v>3114</v>
      </c>
      <c r="X251" s="90" t="s">
        <v>3477</v>
      </c>
      <c r="Y251" s="89" t="s">
        <v>3455</v>
      </c>
      <c r="Z251" s="89">
        <v>3</v>
      </c>
      <c r="AA251" s="89" t="s">
        <v>3207</v>
      </c>
      <c r="AB251" s="89"/>
    </row>
    <row r="252" spans="1:28" s="31" customFormat="1" ht="60" customHeight="1" x14ac:dyDescent="0.2">
      <c r="A252" s="76">
        <v>251</v>
      </c>
      <c r="B252" s="77">
        <v>50004763</v>
      </c>
      <c r="C252" s="78" t="s">
        <v>717</v>
      </c>
      <c r="D252" s="79">
        <v>0.05</v>
      </c>
      <c r="E252" s="80">
        <v>30049099</v>
      </c>
      <c r="F252" s="81" t="s">
        <v>718</v>
      </c>
      <c r="G252" s="82" t="s">
        <v>719</v>
      </c>
      <c r="H252" s="82" t="s">
        <v>3809</v>
      </c>
      <c r="I252" s="79" t="s">
        <v>2666</v>
      </c>
      <c r="J252" s="83">
        <v>229.9</v>
      </c>
      <c r="K252" s="83">
        <v>175.16190476190476</v>
      </c>
      <c r="L252" s="83">
        <v>175.16190476190476</v>
      </c>
      <c r="M252" s="84">
        <v>140.12952380952379</v>
      </c>
      <c r="N252" s="59">
        <f t="shared" si="3"/>
        <v>0.39047619047619059</v>
      </c>
      <c r="O252" s="85" t="s">
        <v>376</v>
      </c>
      <c r="P252" s="86" t="s">
        <v>2734</v>
      </c>
      <c r="Q252" s="87" t="s">
        <v>3208</v>
      </c>
      <c r="R252" s="87">
        <v>10</v>
      </c>
      <c r="S252" s="88">
        <v>22.990000000000002</v>
      </c>
      <c r="T252" s="88">
        <v>17.516190476190477</v>
      </c>
      <c r="U252" s="88">
        <v>14.012952380952379</v>
      </c>
      <c r="V252" s="87" t="s">
        <v>3061</v>
      </c>
      <c r="W252" s="87" t="s">
        <v>3114</v>
      </c>
      <c r="X252" s="90" t="s">
        <v>3477</v>
      </c>
      <c r="Y252" s="89" t="s">
        <v>3455</v>
      </c>
      <c r="Z252" s="89">
        <v>3</v>
      </c>
      <c r="AA252" s="89" t="s">
        <v>3207</v>
      </c>
      <c r="AB252" s="89"/>
    </row>
    <row r="253" spans="1:28" s="31" customFormat="1" ht="60" customHeight="1" x14ac:dyDescent="0.2">
      <c r="A253" s="76">
        <v>252</v>
      </c>
      <c r="B253" s="77">
        <v>50003297</v>
      </c>
      <c r="C253" s="78" t="s">
        <v>720</v>
      </c>
      <c r="D253" s="79">
        <v>0.05</v>
      </c>
      <c r="E253" s="80">
        <v>30043190</v>
      </c>
      <c r="F253" s="81" t="s">
        <v>721</v>
      </c>
      <c r="G253" s="82" t="s">
        <v>722</v>
      </c>
      <c r="H253" s="82" t="s">
        <v>323</v>
      </c>
      <c r="I253" s="79" t="s">
        <v>2666</v>
      </c>
      <c r="J253" s="83">
        <v>157.66</v>
      </c>
      <c r="K253" s="83">
        <v>120.12190476190476</v>
      </c>
      <c r="L253" s="83">
        <v>120.12190476190476</v>
      </c>
      <c r="M253" s="84">
        <v>120.12190476190476</v>
      </c>
      <c r="N253" s="59">
        <f t="shared" si="3"/>
        <v>0.23809523809523811</v>
      </c>
      <c r="O253" s="85" t="s">
        <v>376</v>
      </c>
      <c r="P253" s="86" t="s">
        <v>723</v>
      </c>
      <c r="Q253" s="87" t="s">
        <v>3208</v>
      </c>
      <c r="R253" s="87">
        <v>10</v>
      </c>
      <c r="S253" s="88">
        <v>15.766</v>
      </c>
      <c r="T253" s="88">
        <v>12.012190476190476</v>
      </c>
      <c r="U253" s="88">
        <v>12.012190476190476</v>
      </c>
      <c r="V253" s="87" t="s">
        <v>3061</v>
      </c>
      <c r="W253" s="87" t="s">
        <v>3114</v>
      </c>
      <c r="X253" s="90" t="s">
        <v>3477</v>
      </c>
      <c r="Y253" s="89"/>
      <c r="Z253" s="89">
        <v>3</v>
      </c>
      <c r="AA253" s="89"/>
      <c r="AB253" s="89"/>
    </row>
    <row r="254" spans="1:28" s="31" customFormat="1" ht="60" customHeight="1" x14ac:dyDescent="0.2">
      <c r="A254" s="76">
        <v>253</v>
      </c>
      <c r="B254" s="77">
        <v>50003296</v>
      </c>
      <c r="C254" s="78" t="s">
        <v>724</v>
      </c>
      <c r="D254" s="79">
        <v>0.05</v>
      </c>
      <c r="E254" s="80">
        <v>30043190</v>
      </c>
      <c r="F254" s="81" t="s">
        <v>725</v>
      </c>
      <c r="G254" s="82" t="s">
        <v>726</v>
      </c>
      <c r="H254" s="82" t="s">
        <v>3810</v>
      </c>
      <c r="I254" s="79" t="s">
        <v>2666</v>
      </c>
      <c r="J254" s="83">
        <v>180.35</v>
      </c>
      <c r="K254" s="83">
        <v>137.40952380952382</v>
      </c>
      <c r="L254" s="83">
        <v>137.40952380952382</v>
      </c>
      <c r="M254" s="84">
        <v>137.40952380952382</v>
      </c>
      <c r="N254" s="59">
        <f t="shared" si="3"/>
        <v>0.23809523809523803</v>
      </c>
      <c r="O254" s="85" t="s">
        <v>376</v>
      </c>
      <c r="P254" s="86" t="s">
        <v>723</v>
      </c>
      <c r="Q254" s="87" t="s">
        <v>3208</v>
      </c>
      <c r="R254" s="87">
        <v>10</v>
      </c>
      <c r="S254" s="88">
        <v>18.035</v>
      </c>
      <c r="T254" s="88">
        <v>13.740952380952383</v>
      </c>
      <c r="U254" s="88">
        <v>13.740952380952383</v>
      </c>
      <c r="V254" s="87" t="s">
        <v>3061</v>
      </c>
      <c r="W254" s="87" t="s">
        <v>3114</v>
      </c>
      <c r="X254" s="90" t="s">
        <v>3477</v>
      </c>
      <c r="Y254" s="89"/>
      <c r="Z254" s="89">
        <v>3</v>
      </c>
      <c r="AA254" s="89"/>
      <c r="AB254" s="89"/>
    </row>
    <row r="255" spans="1:28" s="31" customFormat="1" ht="60" customHeight="1" x14ac:dyDescent="0.2">
      <c r="A255" s="76">
        <v>254</v>
      </c>
      <c r="B255" s="77">
        <v>50003295</v>
      </c>
      <c r="C255" s="78" t="s">
        <v>727</v>
      </c>
      <c r="D255" s="79">
        <v>0.05</v>
      </c>
      <c r="E255" s="80">
        <v>30043190</v>
      </c>
      <c r="F255" s="81" t="s">
        <v>728</v>
      </c>
      <c r="G255" s="82" t="s">
        <v>729</v>
      </c>
      <c r="H255" s="82" t="s">
        <v>3811</v>
      </c>
      <c r="I255" s="79" t="s">
        <v>2666</v>
      </c>
      <c r="J255" s="83">
        <v>187.4</v>
      </c>
      <c r="K255" s="83">
        <v>142.78095238095239</v>
      </c>
      <c r="L255" s="83">
        <v>142.78095238095239</v>
      </c>
      <c r="M255" s="84">
        <v>142.78095238095239</v>
      </c>
      <c r="N255" s="59">
        <f t="shared" si="3"/>
        <v>0.23809523809523808</v>
      </c>
      <c r="O255" s="85" t="s">
        <v>376</v>
      </c>
      <c r="P255" s="86" t="s">
        <v>723</v>
      </c>
      <c r="Q255" s="87" t="s">
        <v>3208</v>
      </c>
      <c r="R255" s="87">
        <v>10</v>
      </c>
      <c r="S255" s="88">
        <v>18.740000000000002</v>
      </c>
      <c r="T255" s="88">
        <v>14.278095238095238</v>
      </c>
      <c r="U255" s="88">
        <v>14.278095238095238</v>
      </c>
      <c r="V255" s="87" t="s">
        <v>3061</v>
      </c>
      <c r="W255" s="87" t="s">
        <v>3114</v>
      </c>
      <c r="X255" s="90" t="s">
        <v>3477</v>
      </c>
      <c r="Y255" s="89"/>
      <c r="Z255" s="89">
        <v>3</v>
      </c>
      <c r="AA255" s="89"/>
      <c r="AB255" s="89"/>
    </row>
    <row r="256" spans="1:28" s="31" customFormat="1" ht="60" customHeight="1" x14ac:dyDescent="0.2">
      <c r="A256" s="76">
        <v>255</v>
      </c>
      <c r="B256" s="77">
        <v>50003736</v>
      </c>
      <c r="C256" s="78" t="s">
        <v>730</v>
      </c>
      <c r="D256" s="79">
        <v>0.05</v>
      </c>
      <c r="E256" s="80">
        <v>30043190</v>
      </c>
      <c r="F256" s="81" t="s">
        <v>731</v>
      </c>
      <c r="G256" s="82" t="s">
        <v>732</v>
      </c>
      <c r="H256" s="82" t="s">
        <v>3812</v>
      </c>
      <c r="I256" s="79" t="s">
        <v>2666</v>
      </c>
      <c r="J256" s="83">
        <v>169.01</v>
      </c>
      <c r="K256" s="83">
        <v>128.7695238095238</v>
      </c>
      <c r="L256" s="83">
        <v>128.7695238095238</v>
      </c>
      <c r="M256" s="84">
        <v>128.7695238095238</v>
      </c>
      <c r="N256" s="59">
        <f t="shared" si="3"/>
        <v>0.23809523809523808</v>
      </c>
      <c r="O256" s="85" t="s">
        <v>376</v>
      </c>
      <c r="P256" s="86" t="s">
        <v>723</v>
      </c>
      <c r="Q256" s="87" t="s">
        <v>3208</v>
      </c>
      <c r="R256" s="87">
        <v>10</v>
      </c>
      <c r="S256" s="88">
        <v>16.901</v>
      </c>
      <c r="T256" s="88">
        <v>12.87695238095238</v>
      </c>
      <c r="U256" s="88">
        <v>12.87695238095238</v>
      </c>
      <c r="V256" s="87" t="s">
        <v>3061</v>
      </c>
      <c r="W256" s="87" t="s">
        <v>3114</v>
      </c>
      <c r="X256" s="90" t="s">
        <v>3477</v>
      </c>
      <c r="Y256" s="89"/>
      <c r="Z256" s="89">
        <v>3</v>
      </c>
      <c r="AA256" s="89"/>
      <c r="AB256" s="89"/>
    </row>
    <row r="257" spans="1:28" s="31" customFormat="1" ht="60" customHeight="1" x14ac:dyDescent="0.2">
      <c r="A257" s="76">
        <v>256</v>
      </c>
      <c r="B257" s="77">
        <v>50004212</v>
      </c>
      <c r="C257" s="78" t="s">
        <v>1635</v>
      </c>
      <c r="D257" s="79">
        <v>0.05</v>
      </c>
      <c r="E257" s="80">
        <v>30049099</v>
      </c>
      <c r="F257" s="81" t="s">
        <v>1636</v>
      </c>
      <c r="G257" s="82" t="s">
        <v>3126</v>
      </c>
      <c r="H257" s="82" t="s">
        <v>3813</v>
      </c>
      <c r="I257" s="79" t="s">
        <v>2772</v>
      </c>
      <c r="J257" s="83">
        <v>224.8</v>
      </c>
      <c r="K257" s="83">
        <v>171.27619047619049</v>
      </c>
      <c r="L257" s="83">
        <v>154.14857142857144</v>
      </c>
      <c r="M257" s="84">
        <v>137.01410133333337</v>
      </c>
      <c r="N257" s="59">
        <f t="shared" si="3"/>
        <v>0.3905066666666665</v>
      </c>
      <c r="O257" s="85" t="s">
        <v>376</v>
      </c>
      <c r="P257" s="86" t="s">
        <v>2872</v>
      </c>
      <c r="Q257" s="87" t="s">
        <v>3208</v>
      </c>
      <c r="R257" s="87">
        <v>1</v>
      </c>
      <c r="S257" s="88">
        <v>224.8</v>
      </c>
      <c r="T257" s="88">
        <v>154.14857142857144</v>
      </c>
      <c r="U257" s="88">
        <v>137.01410133333337</v>
      </c>
      <c r="V257" s="87" t="s">
        <v>3066</v>
      </c>
      <c r="W257" s="87" t="s">
        <v>3118</v>
      </c>
      <c r="X257" s="90" t="s">
        <v>3481</v>
      </c>
      <c r="Y257" s="89"/>
      <c r="Z257" s="89">
        <v>1</v>
      </c>
      <c r="AA257" s="89"/>
      <c r="AB257" s="89"/>
    </row>
    <row r="258" spans="1:28" s="31" customFormat="1" ht="60" customHeight="1" x14ac:dyDescent="0.2">
      <c r="A258" s="76">
        <v>257</v>
      </c>
      <c r="B258" s="77">
        <v>50004204</v>
      </c>
      <c r="C258" s="78" t="s">
        <v>1637</v>
      </c>
      <c r="D258" s="79">
        <v>0.05</v>
      </c>
      <c r="E258" s="80">
        <v>30049099</v>
      </c>
      <c r="F258" s="81" t="s">
        <v>1638</v>
      </c>
      <c r="G258" s="82" t="s">
        <v>3127</v>
      </c>
      <c r="H258" s="82" t="s">
        <v>3814</v>
      </c>
      <c r="I258" s="79" t="s">
        <v>2873</v>
      </c>
      <c r="J258" s="83">
        <v>409.73</v>
      </c>
      <c r="K258" s="83">
        <v>312.17523809523811</v>
      </c>
      <c r="L258" s="83">
        <v>280.9577142857143</v>
      </c>
      <c r="M258" s="84">
        <v>280.9577142857143</v>
      </c>
      <c r="N258" s="59">
        <f t="shared" ref="N258:N321" si="4">(J258-M258)/J258</f>
        <v>0.31428571428571428</v>
      </c>
      <c r="O258" s="85" t="s">
        <v>376</v>
      </c>
      <c r="P258" s="86" t="s">
        <v>3152</v>
      </c>
      <c r="Q258" s="87" t="s">
        <v>3208</v>
      </c>
      <c r="R258" s="87">
        <v>7</v>
      </c>
      <c r="S258" s="88">
        <v>58.532857142857146</v>
      </c>
      <c r="T258" s="88">
        <v>40.136816326530614</v>
      </c>
      <c r="U258" s="88">
        <v>40.136816326530614</v>
      </c>
      <c r="V258" s="87" t="s">
        <v>3061</v>
      </c>
      <c r="W258" s="87" t="s">
        <v>3118</v>
      </c>
      <c r="X258" s="90" t="s">
        <v>3477</v>
      </c>
      <c r="Y258" s="89"/>
      <c r="Z258" s="89">
        <v>6</v>
      </c>
      <c r="AA258" s="89"/>
      <c r="AB258" s="89"/>
    </row>
    <row r="259" spans="1:28" s="31" customFormat="1" ht="60" customHeight="1" x14ac:dyDescent="0.2">
      <c r="A259" s="76">
        <v>258</v>
      </c>
      <c r="B259" s="77">
        <v>50006231</v>
      </c>
      <c r="C259" s="78" t="s">
        <v>4780</v>
      </c>
      <c r="D259" s="79">
        <v>0.05</v>
      </c>
      <c r="E259" s="80">
        <v>30049099</v>
      </c>
      <c r="F259" s="81" t="s">
        <v>4799</v>
      </c>
      <c r="G259" s="82" t="s">
        <v>4823</v>
      </c>
      <c r="H259" s="82" t="s">
        <v>4729</v>
      </c>
      <c r="I259" s="79" t="s">
        <v>2702</v>
      </c>
      <c r="J259" s="83">
        <v>654</v>
      </c>
      <c r="K259" s="83">
        <v>498.28571428571433</v>
      </c>
      <c r="L259" s="83">
        <v>498.28571428571433</v>
      </c>
      <c r="M259" s="84">
        <v>448.45714285714291</v>
      </c>
      <c r="N259" s="59">
        <f t="shared" si="4"/>
        <v>0.31428571428571422</v>
      </c>
      <c r="O259" s="85" t="s">
        <v>376</v>
      </c>
      <c r="P259" s="86" t="s">
        <v>819</v>
      </c>
      <c r="Q259" s="87" t="s">
        <v>3208</v>
      </c>
      <c r="R259" s="87">
        <v>6</v>
      </c>
      <c r="S259" s="88">
        <v>109</v>
      </c>
      <c r="T259" s="88">
        <v>83.047619047619051</v>
      </c>
      <c r="U259" s="88">
        <v>74.742857142857147</v>
      </c>
      <c r="V259" s="87" t="s">
        <v>3061</v>
      </c>
      <c r="W259" s="87" t="s">
        <v>3112</v>
      </c>
      <c r="X259" s="90" t="s">
        <v>3477</v>
      </c>
      <c r="Y259" s="89"/>
      <c r="Z259" s="89"/>
      <c r="AA259" s="89"/>
      <c r="AB259" s="89" t="s">
        <v>3299</v>
      </c>
    </row>
    <row r="260" spans="1:28" s="31" customFormat="1" ht="60" customHeight="1" x14ac:dyDescent="0.2">
      <c r="A260" s="76">
        <v>259</v>
      </c>
      <c r="B260" s="77">
        <v>50002980</v>
      </c>
      <c r="C260" s="78" t="s">
        <v>3224</v>
      </c>
      <c r="D260" s="79">
        <v>0.05</v>
      </c>
      <c r="E260" s="80">
        <v>30049099</v>
      </c>
      <c r="F260" s="81" t="s">
        <v>3225</v>
      </c>
      <c r="G260" s="82" t="s">
        <v>3225</v>
      </c>
      <c r="H260" s="82" t="s">
        <v>3815</v>
      </c>
      <c r="I260" s="79" t="s">
        <v>2722</v>
      </c>
      <c r="J260" s="83">
        <v>81.099999999999994</v>
      </c>
      <c r="K260" s="83">
        <v>61.790476190476184</v>
      </c>
      <c r="L260" s="83">
        <v>41.193650793650789</v>
      </c>
      <c r="M260" s="84">
        <v>39.133968253968241</v>
      </c>
      <c r="N260" s="59">
        <f t="shared" si="4"/>
        <v>0.51746031746031762</v>
      </c>
      <c r="O260" s="85" t="s">
        <v>376</v>
      </c>
      <c r="P260" s="86" t="s">
        <v>3257</v>
      </c>
      <c r="Q260" s="87" t="s">
        <v>3208</v>
      </c>
      <c r="R260" s="87">
        <v>1</v>
      </c>
      <c r="S260" s="88">
        <v>81.099999999999994</v>
      </c>
      <c r="T260" s="88">
        <v>41.193650793650789</v>
      </c>
      <c r="U260" s="88">
        <v>39.133968253968241</v>
      </c>
      <c r="V260" s="87" t="s">
        <v>3066</v>
      </c>
      <c r="W260" s="87" t="s">
        <v>3300</v>
      </c>
      <c r="X260" s="90" t="s">
        <v>3481</v>
      </c>
      <c r="Y260" s="89"/>
      <c r="Z260" s="89">
        <v>1</v>
      </c>
      <c r="AA260" s="89"/>
      <c r="AB260" s="89"/>
    </row>
    <row r="261" spans="1:28" s="31" customFormat="1" ht="60" customHeight="1" x14ac:dyDescent="0.2">
      <c r="A261" s="76">
        <v>260</v>
      </c>
      <c r="B261" s="77">
        <v>50000630</v>
      </c>
      <c r="C261" s="78" t="s">
        <v>733</v>
      </c>
      <c r="D261" s="79">
        <v>0.05</v>
      </c>
      <c r="E261" s="80">
        <v>30049099</v>
      </c>
      <c r="F261" s="81" t="s">
        <v>734</v>
      </c>
      <c r="G261" s="82" t="s">
        <v>735</v>
      </c>
      <c r="H261" s="82" t="s">
        <v>72</v>
      </c>
      <c r="I261" s="79" t="s">
        <v>2666</v>
      </c>
      <c r="J261" s="83">
        <v>159</v>
      </c>
      <c r="K261" s="83">
        <v>121.14285714285714</v>
      </c>
      <c r="L261" s="83">
        <v>121.14285714285714</v>
      </c>
      <c r="M261" s="84">
        <v>109.02857142857142</v>
      </c>
      <c r="N261" s="59">
        <f t="shared" si="4"/>
        <v>0.31428571428571433</v>
      </c>
      <c r="O261" s="85" t="s">
        <v>376</v>
      </c>
      <c r="P261" s="86" t="s">
        <v>2778</v>
      </c>
      <c r="Q261" s="87" t="s">
        <v>3207</v>
      </c>
      <c r="R261" s="87">
        <v>10</v>
      </c>
      <c r="S261" s="88">
        <v>15.9</v>
      </c>
      <c r="T261" s="88">
        <v>12.114285714285714</v>
      </c>
      <c r="U261" s="88">
        <v>10.902857142857142</v>
      </c>
      <c r="V261" s="87" t="s">
        <v>3061</v>
      </c>
      <c r="W261" s="87" t="s">
        <v>3117</v>
      </c>
      <c r="X261" s="90" t="s">
        <v>3477</v>
      </c>
      <c r="Y261" s="89" t="s">
        <v>3455</v>
      </c>
      <c r="Z261" s="89">
        <v>3</v>
      </c>
      <c r="AA261" s="89"/>
      <c r="AB261" s="89"/>
    </row>
    <row r="262" spans="1:28" s="31" customFormat="1" ht="60" customHeight="1" x14ac:dyDescent="0.2">
      <c r="A262" s="76">
        <v>261</v>
      </c>
      <c r="B262" s="77">
        <v>50000294</v>
      </c>
      <c r="C262" s="78" t="s">
        <v>736</v>
      </c>
      <c r="D262" s="79">
        <v>0.05</v>
      </c>
      <c r="E262" s="80">
        <v>30049099</v>
      </c>
      <c r="F262" s="81" t="s">
        <v>737</v>
      </c>
      <c r="G262" s="82" t="s">
        <v>738</v>
      </c>
      <c r="H262" s="82" t="s">
        <v>3816</v>
      </c>
      <c r="I262" s="79" t="s">
        <v>2666</v>
      </c>
      <c r="J262" s="83">
        <v>328.96</v>
      </c>
      <c r="K262" s="83">
        <v>250.63619047619051</v>
      </c>
      <c r="L262" s="83">
        <v>208.86349206349209</v>
      </c>
      <c r="M262" s="84">
        <v>192.98986666666673</v>
      </c>
      <c r="N262" s="59">
        <f t="shared" si="4"/>
        <v>0.41333333333333311</v>
      </c>
      <c r="O262" s="85" t="s">
        <v>376</v>
      </c>
      <c r="P262" s="86" t="s">
        <v>2778</v>
      </c>
      <c r="Q262" s="87" t="s">
        <v>3208</v>
      </c>
      <c r="R262" s="87">
        <v>10</v>
      </c>
      <c r="S262" s="88">
        <v>32.896000000000001</v>
      </c>
      <c r="T262" s="88">
        <v>20.886349206349209</v>
      </c>
      <c r="U262" s="88">
        <v>19.298986666666671</v>
      </c>
      <c r="V262" s="87" t="s">
        <v>3061</v>
      </c>
      <c r="W262" s="87" t="s">
        <v>3117</v>
      </c>
      <c r="X262" s="90" t="s">
        <v>3477</v>
      </c>
      <c r="Y262" s="89"/>
      <c r="Z262" s="89">
        <v>4</v>
      </c>
      <c r="AA262" s="89"/>
      <c r="AB262" s="89"/>
    </row>
    <row r="263" spans="1:28" s="31" customFormat="1" ht="60" customHeight="1" x14ac:dyDescent="0.2">
      <c r="A263" s="76">
        <v>262</v>
      </c>
      <c r="B263" s="77">
        <v>50000616</v>
      </c>
      <c r="C263" s="78" t="s">
        <v>739</v>
      </c>
      <c r="D263" s="79">
        <v>0.05</v>
      </c>
      <c r="E263" s="80">
        <v>30049099</v>
      </c>
      <c r="F263" s="81" t="s">
        <v>740</v>
      </c>
      <c r="G263" s="82" t="s">
        <v>735</v>
      </c>
      <c r="H263" s="82" t="s">
        <v>741</v>
      </c>
      <c r="I263" s="79" t="s">
        <v>2708</v>
      </c>
      <c r="J263" s="83">
        <v>55.79</v>
      </c>
      <c r="K263" s="83">
        <v>42.506666666666668</v>
      </c>
      <c r="L263" s="83">
        <v>34.005333333333333</v>
      </c>
      <c r="M263" s="84">
        <v>34.005333333333333</v>
      </c>
      <c r="N263" s="59">
        <f t="shared" si="4"/>
        <v>0.39047619047619048</v>
      </c>
      <c r="O263" s="85" t="s">
        <v>376</v>
      </c>
      <c r="P263" s="86" t="s">
        <v>2712</v>
      </c>
      <c r="Q263" s="87" t="s">
        <v>3207</v>
      </c>
      <c r="R263" s="87">
        <v>1</v>
      </c>
      <c r="S263" s="88">
        <v>55.79</v>
      </c>
      <c r="T263" s="88">
        <v>34.005333333333333</v>
      </c>
      <c r="U263" s="88">
        <v>34.005333333333333</v>
      </c>
      <c r="V263" s="87" t="s">
        <v>3065</v>
      </c>
      <c r="W263" s="87" t="s">
        <v>3117</v>
      </c>
      <c r="X263" s="90" t="s">
        <v>3479</v>
      </c>
      <c r="Y263" s="89"/>
      <c r="Z263" s="89">
        <v>4</v>
      </c>
      <c r="AA263" s="89"/>
      <c r="AB263" s="89"/>
    </row>
    <row r="264" spans="1:28" s="31" customFormat="1" ht="60" customHeight="1" x14ac:dyDescent="0.2">
      <c r="A264" s="76">
        <v>263</v>
      </c>
      <c r="B264" s="77">
        <v>50000694</v>
      </c>
      <c r="C264" s="78" t="s">
        <v>744</v>
      </c>
      <c r="D264" s="79">
        <v>0.05</v>
      </c>
      <c r="E264" s="80">
        <v>30049087</v>
      </c>
      <c r="F264" s="81" t="s">
        <v>745</v>
      </c>
      <c r="G264" s="82" t="s">
        <v>746</v>
      </c>
      <c r="H264" s="82" t="s">
        <v>3716</v>
      </c>
      <c r="I264" s="79" t="s">
        <v>2666</v>
      </c>
      <c r="J264" s="83">
        <v>119.1</v>
      </c>
      <c r="K264" s="83">
        <v>90.742857142857147</v>
      </c>
      <c r="L264" s="83">
        <v>90.742857142857147</v>
      </c>
      <c r="M264" s="84">
        <v>81.668571428571425</v>
      </c>
      <c r="N264" s="59">
        <f t="shared" si="4"/>
        <v>0.31428571428571428</v>
      </c>
      <c r="O264" s="85" t="s">
        <v>376</v>
      </c>
      <c r="P264" s="86" t="s">
        <v>4657</v>
      </c>
      <c r="Q264" s="87" t="s">
        <v>3208</v>
      </c>
      <c r="R264" s="87">
        <v>10</v>
      </c>
      <c r="S264" s="88">
        <v>11.91</v>
      </c>
      <c r="T264" s="88">
        <v>9.0742857142857147</v>
      </c>
      <c r="U264" s="88">
        <v>8.1668571428571433</v>
      </c>
      <c r="V264" s="87" t="s">
        <v>3061</v>
      </c>
      <c r="W264" s="87" t="s">
        <v>3102</v>
      </c>
      <c r="X264" s="90" t="s">
        <v>3477</v>
      </c>
      <c r="Y264" s="89"/>
      <c r="Z264" s="89">
        <v>6</v>
      </c>
      <c r="AA264" s="89"/>
      <c r="AB264" s="89"/>
    </row>
    <row r="265" spans="1:28" s="31" customFormat="1" ht="60" customHeight="1" x14ac:dyDescent="0.2">
      <c r="A265" s="76">
        <v>264</v>
      </c>
      <c r="B265" s="77">
        <v>50000066</v>
      </c>
      <c r="C265" s="78" t="s">
        <v>747</v>
      </c>
      <c r="D265" s="79">
        <v>0.05</v>
      </c>
      <c r="E265" s="80">
        <v>30049087</v>
      </c>
      <c r="F265" s="81" t="s">
        <v>748</v>
      </c>
      <c r="G265" s="82" t="s">
        <v>749</v>
      </c>
      <c r="H265" s="82" t="s">
        <v>3715</v>
      </c>
      <c r="I265" s="79" t="s">
        <v>2666</v>
      </c>
      <c r="J265" s="83">
        <v>168.65</v>
      </c>
      <c r="K265" s="83">
        <v>128.49523809523811</v>
      </c>
      <c r="L265" s="83">
        <v>117.7873015873016</v>
      </c>
      <c r="M265" s="84">
        <v>117.7873015873016</v>
      </c>
      <c r="N265" s="59">
        <f t="shared" si="4"/>
        <v>0.30158730158730157</v>
      </c>
      <c r="O265" s="85" t="s">
        <v>376</v>
      </c>
      <c r="P265" s="86" t="s">
        <v>2780</v>
      </c>
      <c r="Q265" s="87" t="s">
        <v>3208</v>
      </c>
      <c r="R265" s="87">
        <v>10</v>
      </c>
      <c r="S265" s="88">
        <v>16.865000000000002</v>
      </c>
      <c r="T265" s="88">
        <v>11.778730158730159</v>
      </c>
      <c r="U265" s="88">
        <v>11.778730158730159</v>
      </c>
      <c r="V265" s="87" t="s">
        <v>3061</v>
      </c>
      <c r="W265" s="87" t="s">
        <v>3102</v>
      </c>
      <c r="X265" s="90" t="s">
        <v>3477</v>
      </c>
      <c r="Y265" s="89"/>
      <c r="Z265" s="89">
        <v>6</v>
      </c>
      <c r="AA265" s="89"/>
      <c r="AB265" s="89"/>
    </row>
    <row r="266" spans="1:28" s="31" customFormat="1" ht="60" customHeight="1" x14ac:dyDescent="0.2">
      <c r="A266" s="76">
        <v>265</v>
      </c>
      <c r="B266" s="77">
        <v>50005463</v>
      </c>
      <c r="C266" s="78" t="s">
        <v>4093</v>
      </c>
      <c r="D266" s="79">
        <v>0.05</v>
      </c>
      <c r="E266" s="80">
        <v>30049099</v>
      </c>
      <c r="F266" s="81" t="s">
        <v>4106</v>
      </c>
      <c r="G266" s="82" t="s">
        <v>4129</v>
      </c>
      <c r="H266" s="82" t="s">
        <v>2921</v>
      </c>
      <c r="I266" s="79" t="s">
        <v>4114</v>
      </c>
      <c r="J266" s="83">
        <v>391.86</v>
      </c>
      <c r="K266" s="83">
        <v>298.56</v>
      </c>
      <c r="L266" s="83">
        <v>265.38666666666666</v>
      </c>
      <c r="M266" s="84">
        <v>265.38666666666666</v>
      </c>
      <c r="N266" s="59">
        <f t="shared" si="4"/>
        <v>0.32275132275132279</v>
      </c>
      <c r="O266" s="85" t="s">
        <v>376</v>
      </c>
      <c r="P266" s="86" t="s">
        <v>4117</v>
      </c>
      <c r="Q266" s="87" t="s">
        <v>3208</v>
      </c>
      <c r="R266" s="87">
        <v>1</v>
      </c>
      <c r="S266" s="88">
        <v>391.86</v>
      </c>
      <c r="T266" s="88">
        <v>265.38666666666666</v>
      </c>
      <c r="U266" s="88">
        <v>265.38666666666666</v>
      </c>
      <c r="V266" s="87" t="s">
        <v>3064</v>
      </c>
      <c r="W266" s="87" t="s">
        <v>3102</v>
      </c>
      <c r="X266" s="90" t="s">
        <v>3489</v>
      </c>
      <c r="Y266" s="89"/>
      <c r="Z266" s="89"/>
      <c r="AA266" s="89"/>
      <c r="AB266" s="89"/>
    </row>
    <row r="267" spans="1:28" s="31" customFormat="1" ht="60" customHeight="1" x14ac:dyDescent="0.2">
      <c r="A267" s="76">
        <v>266</v>
      </c>
      <c r="B267" s="77">
        <v>50002966</v>
      </c>
      <c r="C267" s="78" t="s">
        <v>750</v>
      </c>
      <c r="D267" s="79">
        <v>0.05</v>
      </c>
      <c r="E267" s="80">
        <v>21069099</v>
      </c>
      <c r="F267" s="81" t="s">
        <v>751</v>
      </c>
      <c r="G267" s="82" t="s">
        <v>752</v>
      </c>
      <c r="H267" s="82" t="s">
        <v>3817</v>
      </c>
      <c r="I267" s="79" t="s">
        <v>3140</v>
      </c>
      <c r="J267" s="83">
        <v>57</v>
      </c>
      <c r="K267" s="83">
        <v>43.428571428571431</v>
      </c>
      <c r="L267" s="83">
        <v>39.809523809523817</v>
      </c>
      <c r="M267" s="84">
        <v>35.828571428571443</v>
      </c>
      <c r="N267" s="59">
        <f t="shared" si="4"/>
        <v>0.37142857142857116</v>
      </c>
      <c r="O267" s="85" t="s">
        <v>376</v>
      </c>
      <c r="P267" s="86" t="s">
        <v>2781</v>
      </c>
      <c r="Q267" s="87" t="s">
        <v>3208</v>
      </c>
      <c r="R267" s="87">
        <v>1</v>
      </c>
      <c r="S267" s="88">
        <v>57</v>
      </c>
      <c r="T267" s="88">
        <v>39.809523809523817</v>
      </c>
      <c r="U267" s="88">
        <v>35.828571428571443</v>
      </c>
      <c r="V267" s="87" t="s">
        <v>3062</v>
      </c>
      <c r="W267" s="87" t="s">
        <v>3108</v>
      </c>
      <c r="X267" s="90" t="s">
        <v>3482</v>
      </c>
      <c r="Y267" s="89"/>
      <c r="Z267" s="89">
        <v>1</v>
      </c>
      <c r="AA267" s="89" t="s">
        <v>3207</v>
      </c>
      <c r="AB267" s="89"/>
    </row>
    <row r="268" spans="1:28" s="31" customFormat="1" ht="60" customHeight="1" x14ac:dyDescent="0.2">
      <c r="A268" s="76">
        <v>267</v>
      </c>
      <c r="B268" s="77">
        <v>50002590</v>
      </c>
      <c r="C268" s="78" t="s">
        <v>754</v>
      </c>
      <c r="D268" s="79">
        <v>0.05</v>
      </c>
      <c r="E268" s="80">
        <v>21069099</v>
      </c>
      <c r="F268" s="81" t="s">
        <v>755</v>
      </c>
      <c r="G268" s="82" t="s">
        <v>756</v>
      </c>
      <c r="H268" s="82" t="s">
        <v>3818</v>
      </c>
      <c r="I268" s="79" t="s">
        <v>2724</v>
      </c>
      <c r="J268" s="83">
        <v>32</v>
      </c>
      <c r="K268" s="83">
        <v>24.38095238095238</v>
      </c>
      <c r="L268" s="83">
        <v>22.349206349206344</v>
      </c>
      <c r="M268" s="84">
        <v>20.705339105339103</v>
      </c>
      <c r="N268" s="59">
        <f t="shared" si="4"/>
        <v>0.35295815295815303</v>
      </c>
      <c r="O268" s="85" t="s">
        <v>376</v>
      </c>
      <c r="P268" s="86" t="s">
        <v>82</v>
      </c>
      <c r="Q268" s="87" t="s">
        <v>3208</v>
      </c>
      <c r="R268" s="87">
        <v>1</v>
      </c>
      <c r="S268" s="88">
        <v>32</v>
      </c>
      <c r="T268" s="88">
        <v>22.349206349206344</v>
      </c>
      <c r="U268" s="88">
        <v>20.705339105339103</v>
      </c>
      <c r="V268" s="87" t="s">
        <v>3064</v>
      </c>
      <c r="W268" s="87" t="s">
        <v>3108</v>
      </c>
      <c r="X268" s="90" t="s">
        <v>3489</v>
      </c>
      <c r="Y268" s="89"/>
      <c r="Z268" s="89">
        <v>6</v>
      </c>
      <c r="AA268" s="89" t="s">
        <v>3207</v>
      </c>
      <c r="AB268" s="89"/>
    </row>
    <row r="269" spans="1:28" s="31" customFormat="1" ht="60" customHeight="1" x14ac:dyDescent="0.2">
      <c r="A269" s="76">
        <v>268</v>
      </c>
      <c r="B269" s="77">
        <v>50002710</v>
      </c>
      <c r="C269" s="78" t="s">
        <v>757</v>
      </c>
      <c r="D269" s="79">
        <v>0.05</v>
      </c>
      <c r="E269" s="80">
        <v>21069099</v>
      </c>
      <c r="F269" s="81" t="s">
        <v>758</v>
      </c>
      <c r="G269" s="82" t="s">
        <v>759</v>
      </c>
      <c r="H269" s="82" t="s">
        <v>3819</v>
      </c>
      <c r="I269" s="79" t="s">
        <v>2687</v>
      </c>
      <c r="J269" s="83">
        <v>142</v>
      </c>
      <c r="K269" s="83">
        <v>108.19047619047619</v>
      </c>
      <c r="L269" s="83">
        <v>99.174603174603178</v>
      </c>
      <c r="M269" s="84">
        <v>89.257142857142853</v>
      </c>
      <c r="N269" s="59">
        <f t="shared" si="4"/>
        <v>0.37142857142857144</v>
      </c>
      <c r="O269" s="85" t="s">
        <v>376</v>
      </c>
      <c r="P269" s="86" t="s">
        <v>82</v>
      </c>
      <c r="Q269" s="87" t="s">
        <v>3208</v>
      </c>
      <c r="R269" s="87">
        <v>1</v>
      </c>
      <c r="S269" s="88">
        <v>142</v>
      </c>
      <c r="T269" s="88">
        <v>99.174603174603178</v>
      </c>
      <c r="U269" s="88">
        <v>89.257142857142853</v>
      </c>
      <c r="V269" s="87" t="s">
        <v>3062</v>
      </c>
      <c r="W269" s="87" t="s">
        <v>3108</v>
      </c>
      <c r="X269" s="90" t="s">
        <v>3480</v>
      </c>
      <c r="Y269" s="89"/>
      <c r="Z269" s="89">
        <v>1</v>
      </c>
      <c r="AA269" s="89" t="s">
        <v>3207</v>
      </c>
      <c r="AB269" s="89"/>
    </row>
    <row r="270" spans="1:28" s="31" customFormat="1" ht="60" customHeight="1" x14ac:dyDescent="0.2">
      <c r="A270" s="76">
        <v>269</v>
      </c>
      <c r="B270" s="77">
        <v>50002639</v>
      </c>
      <c r="C270" s="78" t="s">
        <v>760</v>
      </c>
      <c r="D270" s="79">
        <v>0.05</v>
      </c>
      <c r="E270" s="80">
        <v>21069099</v>
      </c>
      <c r="F270" s="81" t="s">
        <v>761</v>
      </c>
      <c r="G270" s="82" t="s">
        <v>762</v>
      </c>
      <c r="H270" s="82" t="s">
        <v>763</v>
      </c>
      <c r="I270" s="79" t="s">
        <v>2672</v>
      </c>
      <c r="J270" s="83">
        <v>137</v>
      </c>
      <c r="K270" s="83">
        <v>104.38095238095238</v>
      </c>
      <c r="L270" s="83">
        <v>104.38095238095238</v>
      </c>
      <c r="M270" s="84">
        <v>93.942857142857122</v>
      </c>
      <c r="N270" s="59">
        <f t="shared" si="4"/>
        <v>0.31428571428571445</v>
      </c>
      <c r="O270" s="85" t="s">
        <v>376</v>
      </c>
      <c r="P270" s="86" t="s">
        <v>764</v>
      </c>
      <c r="Q270" s="87" t="s">
        <v>3208</v>
      </c>
      <c r="R270" s="87">
        <v>1</v>
      </c>
      <c r="S270" s="88">
        <v>137</v>
      </c>
      <c r="T270" s="88">
        <v>104.38095238095238</v>
      </c>
      <c r="U270" s="88">
        <v>93.942857142857122</v>
      </c>
      <c r="V270" s="87" t="s">
        <v>3062</v>
      </c>
      <c r="W270" s="87" t="s">
        <v>3105</v>
      </c>
      <c r="X270" s="90" t="s">
        <v>3482</v>
      </c>
      <c r="Y270" s="89"/>
      <c r="Z270" s="89">
        <v>1</v>
      </c>
      <c r="AA270" s="89"/>
      <c r="AB270" s="89"/>
    </row>
    <row r="271" spans="1:28" s="31" customFormat="1" ht="60" customHeight="1" x14ac:dyDescent="0.2">
      <c r="A271" s="76">
        <v>270</v>
      </c>
      <c r="B271" s="77">
        <v>50003233</v>
      </c>
      <c r="C271" s="78" t="s">
        <v>765</v>
      </c>
      <c r="D271" s="79">
        <v>0.05</v>
      </c>
      <c r="E271" s="80">
        <v>30049079</v>
      </c>
      <c r="F271" s="81" t="s">
        <v>766</v>
      </c>
      <c r="G271" s="82" t="s">
        <v>767</v>
      </c>
      <c r="H271" s="82" t="s">
        <v>3820</v>
      </c>
      <c r="I271" s="79" t="s">
        <v>2666</v>
      </c>
      <c r="J271" s="83">
        <v>77.349999999999994</v>
      </c>
      <c r="K271" s="83">
        <v>58.933333333333323</v>
      </c>
      <c r="L271" s="83">
        <v>58.933333333333323</v>
      </c>
      <c r="M271" s="84">
        <v>45.333333333333329</v>
      </c>
      <c r="N271" s="59">
        <f t="shared" si="4"/>
        <v>0.41391941391941395</v>
      </c>
      <c r="O271" s="85" t="s">
        <v>768</v>
      </c>
      <c r="P271" s="86" t="s">
        <v>123</v>
      </c>
      <c r="Q271" s="87" t="s">
        <v>3208</v>
      </c>
      <c r="R271" s="87">
        <v>10</v>
      </c>
      <c r="S271" s="88">
        <v>7.7349999999999994</v>
      </c>
      <c r="T271" s="88">
        <v>5.8933333333333326</v>
      </c>
      <c r="U271" s="88">
        <v>4.5333333333333332</v>
      </c>
      <c r="V271" s="87" t="s">
        <v>3061</v>
      </c>
      <c r="W271" s="87" t="s">
        <v>3100</v>
      </c>
      <c r="X271" s="90" t="s">
        <v>3477</v>
      </c>
      <c r="Y271" s="89" t="s">
        <v>3455</v>
      </c>
      <c r="Z271" s="89">
        <v>3</v>
      </c>
      <c r="AA271" s="89"/>
      <c r="AB271" s="89"/>
    </row>
    <row r="272" spans="1:28" s="31" customFormat="1" ht="60" customHeight="1" x14ac:dyDescent="0.2">
      <c r="A272" s="76">
        <v>271</v>
      </c>
      <c r="B272" s="77">
        <v>50003234</v>
      </c>
      <c r="C272" s="78" t="s">
        <v>769</v>
      </c>
      <c r="D272" s="79">
        <v>0.05</v>
      </c>
      <c r="E272" s="80">
        <v>30049079</v>
      </c>
      <c r="F272" s="81" t="s">
        <v>770</v>
      </c>
      <c r="G272" s="82" t="s">
        <v>771</v>
      </c>
      <c r="H272" s="82" t="s">
        <v>3821</v>
      </c>
      <c r="I272" s="79" t="s">
        <v>2666</v>
      </c>
      <c r="J272" s="83">
        <v>117.61</v>
      </c>
      <c r="K272" s="83">
        <v>89.607619047619053</v>
      </c>
      <c r="L272" s="83">
        <v>89.607619047619053</v>
      </c>
      <c r="M272" s="84">
        <v>68.928937728937726</v>
      </c>
      <c r="N272" s="59">
        <f t="shared" si="4"/>
        <v>0.41391941391941395</v>
      </c>
      <c r="O272" s="85" t="s">
        <v>768</v>
      </c>
      <c r="P272" s="86" t="s">
        <v>123</v>
      </c>
      <c r="Q272" s="87" t="s">
        <v>3208</v>
      </c>
      <c r="R272" s="87">
        <v>10</v>
      </c>
      <c r="S272" s="88">
        <v>11.760999999999999</v>
      </c>
      <c r="T272" s="88">
        <v>8.960761904761906</v>
      </c>
      <c r="U272" s="88">
        <v>6.8928937728937729</v>
      </c>
      <c r="V272" s="87" t="s">
        <v>3061</v>
      </c>
      <c r="W272" s="87" t="s">
        <v>3100</v>
      </c>
      <c r="X272" s="90" t="s">
        <v>3477</v>
      </c>
      <c r="Y272" s="89" t="s">
        <v>3455</v>
      </c>
      <c r="Z272" s="89">
        <v>3</v>
      </c>
      <c r="AA272" s="89"/>
      <c r="AB272" s="89"/>
    </row>
    <row r="273" spans="1:28" s="31" customFormat="1" ht="60" customHeight="1" x14ac:dyDescent="0.2">
      <c r="A273" s="76">
        <v>272</v>
      </c>
      <c r="B273" s="77">
        <v>50002226</v>
      </c>
      <c r="C273" s="78" t="s">
        <v>772</v>
      </c>
      <c r="D273" s="79">
        <v>0.05</v>
      </c>
      <c r="E273" s="80">
        <v>30049087</v>
      </c>
      <c r="F273" s="81" t="s">
        <v>773</v>
      </c>
      <c r="G273" s="82" t="s">
        <v>3306</v>
      </c>
      <c r="H273" s="82" t="s">
        <v>3718</v>
      </c>
      <c r="I273" s="79" t="s">
        <v>2666</v>
      </c>
      <c r="J273" s="83">
        <v>384.37</v>
      </c>
      <c r="K273" s="83">
        <v>292.85333333333335</v>
      </c>
      <c r="L273" s="83">
        <v>268.44888888888892</v>
      </c>
      <c r="M273" s="84">
        <v>245.90737913486012</v>
      </c>
      <c r="N273" s="59">
        <f t="shared" si="4"/>
        <v>0.36023264267539057</v>
      </c>
      <c r="O273" s="85" t="s">
        <v>768</v>
      </c>
      <c r="P273" s="86" t="s">
        <v>68</v>
      </c>
      <c r="Q273" s="87" t="s">
        <v>3208</v>
      </c>
      <c r="R273" s="87">
        <v>10</v>
      </c>
      <c r="S273" s="88">
        <v>38.436999999999998</v>
      </c>
      <c r="T273" s="88">
        <v>26.844888888888892</v>
      </c>
      <c r="U273" s="88">
        <v>24.590737913486013</v>
      </c>
      <c r="V273" s="87" t="s">
        <v>3061</v>
      </c>
      <c r="W273" s="87" t="s">
        <v>3102</v>
      </c>
      <c r="X273" s="90" t="s">
        <v>3477</v>
      </c>
      <c r="Y273" s="89"/>
      <c r="Z273" s="89">
        <v>3</v>
      </c>
      <c r="AA273" s="89" t="s">
        <v>3207</v>
      </c>
      <c r="AB273" s="89"/>
    </row>
    <row r="274" spans="1:28" s="31" customFormat="1" ht="60" customHeight="1" x14ac:dyDescent="0.2">
      <c r="A274" s="76">
        <v>273</v>
      </c>
      <c r="B274" s="77">
        <v>50002227</v>
      </c>
      <c r="C274" s="78" t="s">
        <v>774</v>
      </c>
      <c r="D274" s="79">
        <v>0.05</v>
      </c>
      <c r="E274" s="80">
        <v>30049087</v>
      </c>
      <c r="F274" s="81" t="s">
        <v>775</v>
      </c>
      <c r="G274" s="82" t="s">
        <v>3307</v>
      </c>
      <c r="H274" s="82" t="s">
        <v>3719</v>
      </c>
      <c r="I274" s="79" t="s">
        <v>2666</v>
      </c>
      <c r="J274" s="83">
        <v>597.69000000000005</v>
      </c>
      <c r="K274" s="83">
        <v>455.38285714285723</v>
      </c>
      <c r="L274" s="83">
        <v>417.43428571428581</v>
      </c>
      <c r="M274" s="84">
        <v>382.38255179934583</v>
      </c>
      <c r="N274" s="59">
        <f t="shared" si="4"/>
        <v>0.36023264267539057</v>
      </c>
      <c r="O274" s="85" t="s">
        <v>768</v>
      </c>
      <c r="P274" s="86" t="s">
        <v>2703</v>
      </c>
      <c r="Q274" s="87" t="s">
        <v>3208</v>
      </c>
      <c r="R274" s="87">
        <v>10</v>
      </c>
      <c r="S274" s="88">
        <v>59.769000000000005</v>
      </c>
      <c r="T274" s="88">
        <v>41.743428571428581</v>
      </c>
      <c r="U274" s="88">
        <v>38.238255179934583</v>
      </c>
      <c r="V274" s="87" t="s">
        <v>3061</v>
      </c>
      <c r="W274" s="87" t="s">
        <v>3102</v>
      </c>
      <c r="X274" s="90" t="s">
        <v>3477</v>
      </c>
      <c r="Y274" s="89"/>
      <c r="Z274" s="89">
        <v>3</v>
      </c>
      <c r="AA274" s="89" t="s">
        <v>3207</v>
      </c>
      <c r="AB274" s="89"/>
    </row>
    <row r="275" spans="1:28" s="31" customFormat="1" ht="60" customHeight="1" x14ac:dyDescent="0.2">
      <c r="A275" s="76">
        <v>274</v>
      </c>
      <c r="B275" s="77">
        <v>50003955</v>
      </c>
      <c r="C275" s="78" t="s">
        <v>776</v>
      </c>
      <c r="D275" s="79">
        <v>0.05</v>
      </c>
      <c r="E275" s="80">
        <v>30042063</v>
      </c>
      <c r="F275" s="81" t="s">
        <v>777</v>
      </c>
      <c r="G275" s="82" t="s">
        <v>778</v>
      </c>
      <c r="H275" s="82" t="s">
        <v>66</v>
      </c>
      <c r="I275" s="79" t="s">
        <v>2666</v>
      </c>
      <c r="J275" s="83">
        <v>197.83</v>
      </c>
      <c r="K275" s="83">
        <v>150.72761904761904</v>
      </c>
      <c r="L275" s="83">
        <v>138.16698412698412</v>
      </c>
      <c r="M275" s="84">
        <v>138.16698412698409</v>
      </c>
      <c r="N275" s="59">
        <f t="shared" si="4"/>
        <v>0.30158730158730179</v>
      </c>
      <c r="O275" s="85" t="s">
        <v>768</v>
      </c>
      <c r="P275" s="86" t="s">
        <v>22</v>
      </c>
      <c r="Q275" s="87" t="s">
        <v>3207</v>
      </c>
      <c r="R275" s="87">
        <v>10</v>
      </c>
      <c r="S275" s="88">
        <v>19.783000000000001</v>
      </c>
      <c r="T275" s="88">
        <v>13.816698412698411</v>
      </c>
      <c r="U275" s="88">
        <v>13.816698412698409</v>
      </c>
      <c r="V275" s="87" t="s">
        <v>3061</v>
      </c>
      <c r="W275" s="87" t="s">
        <v>3102</v>
      </c>
      <c r="X275" s="90" t="s">
        <v>3477</v>
      </c>
      <c r="Y275" s="89"/>
      <c r="Z275" s="89">
        <v>4</v>
      </c>
      <c r="AA275" s="89"/>
      <c r="AB275" s="89"/>
    </row>
    <row r="276" spans="1:28" s="31" customFormat="1" ht="60" customHeight="1" x14ac:dyDescent="0.2">
      <c r="A276" s="76">
        <v>275</v>
      </c>
      <c r="B276" s="77">
        <v>50004809</v>
      </c>
      <c r="C276" s="78" t="s">
        <v>779</v>
      </c>
      <c r="D276" s="79">
        <v>0.05</v>
      </c>
      <c r="E276" s="80">
        <v>30042063</v>
      </c>
      <c r="F276" s="81" t="s">
        <v>780</v>
      </c>
      <c r="G276" s="82" t="s">
        <v>778</v>
      </c>
      <c r="H276" s="82" t="s">
        <v>66</v>
      </c>
      <c r="I276" s="79" t="s">
        <v>2678</v>
      </c>
      <c r="J276" s="83">
        <v>226.86</v>
      </c>
      <c r="K276" s="83">
        <v>172.84571428571428</v>
      </c>
      <c r="L276" s="83">
        <v>172.84571428571428</v>
      </c>
      <c r="M276" s="84">
        <v>172.84571428571425</v>
      </c>
      <c r="N276" s="59">
        <f t="shared" si="4"/>
        <v>0.2380952380952383</v>
      </c>
      <c r="O276" s="85" t="s">
        <v>768</v>
      </c>
      <c r="P276" s="86" t="s">
        <v>1807</v>
      </c>
      <c r="Q276" s="87" t="s">
        <v>3208</v>
      </c>
      <c r="R276" s="87">
        <v>1</v>
      </c>
      <c r="S276" s="88">
        <v>226.86</v>
      </c>
      <c r="T276" s="88">
        <v>172.84571428571428</v>
      </c>
      <c r="U276" s="88">
        <v>172.84571428571425</v>
      </c>
      <c r="V276" s="87" t="s">
        <v>3062</v>
      </c>
      <c r="W276" s="87" t="s">
        <v>3102</v>
      </c>
      <c r="X276" s="90" t="s">
        <v>3480</v>
      </c>
      <c r="Y276" s="89"/>
      <c r="Z276" s="89">
        <v>1</v>
      </c>
      <c r="AA276" s="89"/>
      <c r="AB276" s="89"/>
    </row>
    <row r="277" spans="1:28" s="31" customFormat="1" ht="60" customHeight="1" x14ac:dyDescent="0.2">
      <c r="A277" s="76">
        <v>276</v>
      </c>
      <c r="B277" s="77">
        <v>50003956</v>
      </c>
      <c r="C277" s="78" t="s">
        <v>781</v>
      </c>
      <c r="D277" s="79">
        <v>0.05</v>
      </c>
      <c r="E277" s="80">
        <v>30042063</v>
      </c>
      <c r="F277" s="81" t="s">
        <v>782</v>
      </c>
      <c r="G277" s="82" t="s">
        <v>783</v>
      </c>
      <c r="H277" s="82" t="s">
        <v>72</v>
      </c>
      <c r="I277" s="79" t="s">
        <v>2666</v>
      </c>
      <c r="J277" s="83">
        <v>358.23</v>
      </c>
      <c r="K277" s="83">
        <v>272.93714285714287</v>
      </c>
      <c r="L277" s="83">
        <v>250.19238095238097</v>
      </c>
      <c r="M277" s="84">
        <v>250.19238095238094</v>
      </c>
      <c r="N277" s="59">
        <f t="shared" si="4"/>
        <v>0.30158730158730163</v>
      </c>
      <c r="O277" s="85" t="s">
        <v>768</v>
      </c>
      <c r="P277" s="86" t="s">
        <v>4259</v>
      </c>
      <c r="Q277" s="87" t="s">
        <v>3207</v>
      </c>
      <c r="R277" s="87">
        <v>10</v>
      </c>
      <c r="S277" s="88">
        <v>35.823</v>
      </c>
      <c r="T277" s="88">
        <v>25.019238095238098</v>
      </c>
      <c r="U277" s="88">
        <v>25.019238095238094</v>
      </c>
      <c r="V277" s="87" t="s">
        <v>3061</v>
      </c>
      <c r="W277" s="87" t="s">
        <v>3102</v>
      </c>
      <c r="X277" s="90" t="s">
        <v>3477</v>
      </c>
      <c r="Y277" s="89"/>
      <c r="Z277" s="89">
        <v>2</v>
      </c>
      <c r="AA277" s="89"/>
      <c r="AB277" s="89"/>
    </row>
    <row r="278" spans="1:28" s="31" customFormat="1" ht="60" customHeight="1" x14ac:dyDescent="0.2">
      <c r="A278" s="76">
        <v>277</v>
      </c>
      <c r="B278" s="77">
        <v>50002528</v>
      </c>
      <c r="C278" s="78" t="s">
        <v>784</v>
      </c>
      <c r="D278" s="79">
        <v>0.05</v>
      </c>
      <c r="E278" s="80">
        <v>30042063</v>
      </c>
      <c r="F278" s="81" t="s">
        <v>785</v>
      </c>
      <c r="G278" s="82" t="s">
        <v>786</v>
      </c>
      <c r="H278" s="82" t="s">
        <v>76</v>
      </c>
      <c r="I278" s="79" t="s">
        <v>2678</v>
      </c>
      <c r="J278" s="83">
        <v>147.4</v>
      </c>
      <c r="K278" s="83">
        <v>112.3047619047619</v>
      </c>
      <c r="L278" s="83">
        <v>102.94603174603174</v>
      </c>
      <c r="M278" s="84">
        <v>102.94603174603176</v>
      </c>
      <c r="N278" s="59">
        <f t="shared" si="4"/>
        <v>0.30158730158730152</v>
      </c>
      <c r="O278" s="85" t="s">
        <v>768</v>
      </c>
      <c r="P278" s="86" t="s">
        <v>1807</v>
      </c>
      <c r="Q278" s="87" t="s">
        <v>3207</v>
      </c>
      <c r="R278" s="87">
        <v>1</v>
      </c>
      <c r="S278" s="88">
        <v>147.4</v>
      </c>
      <c r="T278" s="88">
        <v>102.94603174603174</v>
      </c>
      <c r="U278" s="88">
        <v>102.94603174603176</v>
      </c>
      <c r="V278" s="87" t="s">
        <v>3062</v>
      </c>
      <c r="W278" s="87" t="s">
        <v>3102</v>
      </c>
      <c r="X278" s="90" t="s">
        <v>3480</v>
      </c>
      <c r="Y278" s="89"/>
      <c r="Z278" s="89">
        <v>1</v>
      </c>
      <c r="AA278" s="89"/>
      <c r="AB278" s="89"/>
    </row>
    <row r="279" spans="1:28" s="31" customFormat="1" ht="60" customHeight="1" x14ac:dyDescent="0.2">
      <c r="A279" s="76">
        <v>278</v>
      </c>
      <c r="B279" s="77">
        <v>50002164</v>
      </c>
      <c r="C279" s="78" t="s">
        <v>787</v>
      </c>
      <c r="D279" s="79">
        <v>0.05</v>
      </c>
      <c r="E279" s="80">
        <v>30045036</v>
      </c>
      <c r="F279" s="81" t="s">
        <v>788</v>
      </c>
      <c r="G279" s="82" t="s">
        <v>789</v>
      </c>
      <c r="H279" s="82" t="s">
        <v>790</v>
      </c>
      <c r="I279" s="79" t="s">
        <v>2666</v>
      </c>
      <c r="J279" s="83">
        <v>73.2</v>
      </c>
      <c r="K279" s="83">
        <v>55.771428571428565</v>
      </c>
      <c r="L279" s="83">
        <v>46.476190476190474</v>
      </c>
      <c r="M279" s="84">
        <v>42.251082251082259</v>
      </c>
      <c r="N279" s="59">
        <f t="shared" si="4"/>
        <v>0.42279942279942273</v>
      </c>
      <c r="O279" s="85" t="s">
        <v>768</v>
      </c>
      <c r="P279" s="86" t="s">
        <v>2729</v>
      </c>
      <c r="Q279" s="87" t="s">
        <v>3208</v>
      </c>
      <c r="R279" s="87">
        <v>10</v>
      </c>
      <c r="S279" s="88">
        <v>7.32</v>
      </c>
      <c r="T279" s="88">
        <v>4.6476190476190471</v>
      </c>
      <c r="U279" s="88">
        <v>4.2251082251082259</v>
      </c>
      <c r="V279" s="87" t="s">
        <v>3061</v>
      </c>
      <c r="W279" s="87" t="s">
        <v>3108</v>
      </c>
      <c r="X279" s="90" t="s">
        <v>3477</v>
      </c>
      <c r="Y279" s="89"/>
      <c r="Z279" s="89">
        <v>3</v>
      </c>
      <c r="AA279" s="89" t="s">
        <v>3207</v>
      </c>
      <c r="AB279" s="89"/>
    </row>
    <row r="280" spans="1:28" s="31" customFormat="1" ht="60" customHeight="1" x14ac:dyDescent="0.2">
      <c r="A280" s="76">
        <v>279</v>
      </c>
      <c r="B280" s="77">
        <v>50004330</v>
      </c>
      <c r="C280" s="78" t="s">
        <v>791</v>
      </c>
      <c r="D280" s="79">
        <v>0.05</v>
      </c>
      <c r="E280" s="80">
        <v>30045036</v>
      </c>
      <c r="F280" s="81" t="s">
        <v>792</v>
      </c>
      <c r="G280" s="82" t="s">
        <v>793</v>
      </c>
      <c r="H280" s="82" t="s">
        <v>794</v>
      </c>
      <c r="I280" s="79" t="s">
        <v>2782</v>
      </c>
      <c r="J280" s="83">
        <v>166.96</v>
      </c>
      <c r="K280" s="83">
        <v>127.20761904761905</v>
      </c>
      <c r="L280" s="83">
        <v>106.00634920634921</v>
      </c>
      <c r="M280" s="84">
        <v>96.369408369408376</v>
      </c>
      <c r="N280" s="59">
        <f t="shared" si="4"/>
        <v>0.42279942279942279</v>
      </c>
      <c r="O280" s="85" t="s">
        <v>768</v>
      </c>
      <c r="P280" s="86" t="s">
        <v>37</v>
      </c>
      <c r="Q280" s="87" t="s">
        <v>3207</v>
      </c>
      <c r="R280" s="87">
        <v>8</v>
      </c>
      <c r="S280" s="88">
        <v>20.87</v>
      </c>
      <c r="T280" s="88">
        <v>13.250793650793652</v>
      </c>
      <c r="U280" s="88">
        <v>12.046176046176047</v>
      </c>
      <c r="V280" s="87" t="s">
        <v>3061</v>
      </c>
      <c r="W280" s="87" t="s">
        <v>3108</v>
      </c>
      <c r="X280" s="90" t="s">
        <v>3477</v>
      </c>
      <c r="Y280" s="89"/>
      <c r="Z280" s="89">
        <v>3</v>
      </c>
      <c r="AA280" s="89" t="s">
        <v>3207</v>
      </c>
      <c r="AB280" s="89"/>
    </row>
    <row r="281" spans="1:28" s="31" customFormat="1" ht="60" customHeight="1" x14ac:dyDescent="0.2">
      <c r="A281" s="76">
        <v>280</v>
      </c>
      <c r="B281" s="77">
        <v>50006021</v>
      </c>
      <c r="C281" s="78" t="s">
        <v>791</v>
      </c>
      <c r="D281" s="79">
        <v>0.05</v>
      </c>
      <c r="E281" s="80">
        <v>30045036</v>
      </c>
      <c r="F281" s="81" t="s">
        <v>4272</v>
      </c>
      <c r="G281" s="82" t="s">
        <v>4275</v>
      </c>
      <c r="H281" s="82" t="s">
        <v>4276</v>
      </c>
      <c r="I281" s="79" t="s">
        <v>4281</v>
      </c>
      <c r="J281" s="83">
        <v>250.44</v>
      </c>
      <c r="K281" s="83">
        <v>190.81142857142856</v>
      </c>
      <c r="L281" s="83">
        <v>159.00952380952381</v>
      </c>
      <c r="M281" s="84">
        <v>144.55411255411258</v>
      </c>
      <c r="N281" s="59">
        <f t="shared" si="4"/>
        <v>0.42279942279942268</v>
      </c>
      <c r="O281" s="85" t="s">
        <v>768</v>
      </c>
      <c r="P281" s="86" t="s">
        <v>37</v>
      </c>
      <c r="Q281" s="87" t="s">
        <v>3207</v>
      </c>
      <c r="R281" s="87">
        <v>12</v>
      </c>
      <c r="S281" s="88">
        <v>20.87</v>
      </c>
      <c r="T281" s="88">
        <v>13.250793650793652</v>
      </c>
      <c r="U281" s="88">
        <v>12.046176046176049</v>
      </c>
      <c r="V281" s="87" t="s">
        <v>3061</v>
      </c>
      <c r="W281" s="87" t="s">
        <v>3108</v>
      </c>
      <c r="X281" s="90" t="s">
        <v>3477</v>
      </c>
      <c r="Y281" s="89"/>
      <c r="Z281" s="89"/>
      <c r="AA281" s="89"/>
      <c r="AB281" s="89"/>
    </row>
    <row r="282" spans="1:28" s="31" customFormat="1" ht="60" customHeight="1" x14ac:dyDescent="0.2">
      <c r="A282" s="76">
        <v>281</v>
      </c>
      <c r="B282" s="77">
        <v>50002177</v>
      </c>
      <c r="C282" s="78" t="s">
        <v>795</v>
      </c>
      <c r="D282" s="79">
        <v>0.05</v>
      </c>
      <c r="E282" s="80">
        <v>30045036</v>
      </c>
      <c r="F282" s="81" t="s">
        <v>796</v>
      </c>
      <c r="G282" s="82" t="s">
        <v>797</v>
      </c>
      <c r="H282" s="82" t="s">
        <v>798</v>
      </c>
      <c r="I282" s="79" t="s">
        <v>3140</v>
      </c>
      <c r="J282" s="83">
        <v>41.81</v>
      </c>
      <c r="K282" s="83">
        <v>31.855238095238093</v>
      </c>
      <c r="L282" s="83">
        <v>28.669714285714281</v>
      </c>
      <c r="M282" s="84">
        <v>28.669714285714289</v>
      </c>
      <c r="N282" s="59">
        <f t="shared" si="4"/>
        <v>0.31428571428571428</v>
      </c>
      <c r="O282" s="85" t="s">
        <v>768</v>
      </c>
      <c r="P282" s="86" t="s">
        <v>2783</v>
      </c>
      <c r="Q282" s="87" t="s">
        <v>3207</v>
      </c>
      <c r="R282" s="87">
        <v>1</v>
      </c>
      <c r="S282" s="88">
        <v>41.81</v>
      </c>
      <c r="T282" s="88">
        <v>28.669714285714281</v>
      </c>
      <c r="U282" s="88">
        <v>28.669714285714289</v>
      </c>
      <c r="V282" s="87" t="s">
        <v>3062</v>
      </c>
      <c r="W282" s="87" t="s">
        <v>3108</v>
      </c>
      <c r="X282" s="90" t="s">
        <v>3482</v>
      </c>
      <c r="Y282" s="89"/>
      <c r="Z282" s="89">
        <v>1</v>
      </c>
      <c r="AA282" s="89" t="s">
        <v>3207</v>
      </c>
      <c r="AB282" s="89"/>
    </row>
    <row r="283" spans="1:28" s="31" customFormat="1" ht="60" customHeight="1" x14ac:dyDescent="0.2">
      <c r="A283" s="76">
        <v>282</v>
      </c>
      <c r="B283" s="77">
        <v>50002909</v>
      </c>
      <c r="C283" s="78" t="s">
        <v>799</v>
      </c>
      <c r="D283" s="79">
        <v>0.05</v>
      </c>
      <c r="E283" s="80">
        <v>30045036</v>
      </c>
      <c r="F283" s="81" t="s">
        <v>800</v>
      </c>
      <c r="G283" s="82" t="s">
        <v>801</v>
      </c>
      <c r="H283" s="82" t="s">
        <v>802</v>
      </c>
      <c r="I283" s="79" t="s">
        <v>3140</v>
      </c>
      <c r="J283" s="83">
        <v>102.18</v>
      </c>
      <c r="K283" s="83">
        <v>77.851428571428571</v>
      </c>
      <c r="L283" s="83">
        <v>70.066285714285712</v>
      </c>
      <c r="M283" s="84">
        <v>63.696623376623357</v>
      </c>
      <c r="N283" s="59">
        <f t="shared" si="4"/>
        <v>0.37662337662337686</v>
      </c>
      <c r="O283" s="85" t="s">
        <v>768</v>
      </c>
      <c r="P283" s="86" t="s">
        <v>2784</v>
      </c>
      <c r="Q283" s="87" t="s">
        <v>3208</v>
      </c>
      <c r="R283" s="87">
        <v>1</v>
      </c>
      <c r="S283" s="88">
        <v>102.18</v>
      </c>
      <c r="T283" s="88">
        <v>70.066285714285712</v>
      </c>
      <c r="U283" s="88">
        <v>63.696623376623357</v>
      </c>
      <c r="V283" s="87" t="s">
        <v>3062</v>
      </c>
      <c r="W283" s="87" t="s">
        <v>3108</v>
      </c>
      <c r="X283" s="90" t="s">
        <v>3482</v>
      </c>
      <c r="Y283" s="89"/>
      <c r="Z283" s="89">
        <v>1</v>
      </c>
      <c r="AA283" s="89" t="s">
        <v>3207</v>
      </c>
      <c r="AB283" s="89"/>
    </row>
    <row r="284" spans="1:28" s="31" customFormat="1" ht="60" customHeight="1" x14ac:dyDescent="0.2">
      <c r="A284" s="76">
        <v>283</v>
      </c>
      <c r="B284" s="77">
        <v>50003394</v>
      </c>
      <c r="C284" s="78" t="s">
        <v>804</v>
      </c>
      <c r="D284" s="79">
        <v>0.05</v>
      </c>
      <c r="E284" s="80">
        <v>30045036</v>
      </c>
      <c r="F284" s="81" t="s">
        <v>805</v>
      </c>
      <c r="G284" s="82" t="s">
        <v>383</v>
      </c>
      <c r="H284" s="82" t="s">
        <v>806</v>
      </c>
      <c r="I284" s="79" t="s">
        <v>2708</v>
      </c>
      <c r="J284" s="83">
        <v>73.69</v>
      </c>
      <c r="K284" s="83">
        <v>56.1447619047619</v>
      </c>
      <c r="L284" s="83">
        <v>51.466031746031746</v>
      </c>
      <c r="M284" s="84">
        <v>46.787301587301585</v>
      </c>
      <c r="N284" s="59">
        <f t="shared" si="4"/>
        <v>0.36507936507936511</v>
      </c>
      <c r="O284" s="85" t="s">
        <v>768</v>
      </c>
      <c r="P284" s="86" t="s">
        <v>305</v>
      </c>
      <c r="Q284" s="87" t="s">
        <v>3208</v>
      </c>
      <c r="R284" s="87">
        <v>1</v>
      </c>
      <c r="S284" s="88">
        <v>73.69</v>
      </c>
      <c r="T284" s="88">
        <v>51.466031746031746</v>
      </c>
      <c r="U284" s="88">
        <v>46.787301587301585</v>
      </c>
      <c r="V284" s="87" t="s">
        <v>3062</v>
      </c>
      <c r="W284" s="87" t="s">
        <v>3108</v>
      </c>
      <c r="X284" s="90" t="s">
        <v>3561</v>
      </c>
      <c r="Y284" s="89"/>
      <c r="Z284" s="89">
        <v>4</v>
      </c>
      <c r="AA284" s="89" t="s">
        <v>3207</v>
      </c>
      <c r="AB284" s="89"/>
    </row>
    <row r="285" spans="1:28" s="31" customFormat="1" ht="60" customHeight="1" x14ac:dyDescent="0.2">
      <c r="A285" s="76">
        <v>284</v>
      </c>
      <c r="B285" s="77">
        <v>50000854</v>
      </c>
      <c r="C285" s="78" t="s">
        <v>807</v>
      </c>
      <c r="D285" s="79">
        <v>0.05</v>
      </c>
      <c r="E285" s="80">
        <v>30049069</v>
      </c>
      <c r="F285" s="81" t="s">
        <v>808</v>
      </c>
      <c r="G285" s="82" t="s">
        <v>809</v>
      </c>
      <c r="H285" s="82" t="s">
        <v>3769</v>
      </c>
      <c r="I285" s="79" t="s">
        <v>2666</v>
      </c>
      <c r="J285" s="83">
        <v>117.18</v>
      </c>
      <c r="K285" s="83">
        <v>89.28</v>
      </c>
      <c r="L285" s="83">
        <v>74.399999999999991</v>
      </c>
      <c r="M285" s="84">
        <v>73.047272727272713</v>
      </c>
      <c r="N285" s="59">
        <f t="shared" si="4"/>
        <v>0.3766233766233768</v>
      </c>
      <c r="O285" s="85" t="s">
        <v>768</v>
      </c>
      <c r="P285" s="86" t="s">
        <v>4259</v>
      </c>
      <c r="Q285" s="87" t="s">
        <v>3208</v>
      </c>
      <c r="R285" s="87">
        <v>10</v>
      </c>
      <c r="S285" s="88">
        <v>11.718</v>
      </c>
      <c r="T285" s="88">
        <v>7.4399999999999995</v>
      </c>
      <c r="U285" s="88">
        <v>7.3047272727272716</v>
      </c>
      <c r="V285" s="87" t="s">
        <v>3061</v>
      </c>
      <c r="W285" s="87" t="s">
        <v>3106</v>
      </c>
      <c r="X285" s="90" t="s">
        <v>3477</v>
      </c>
      <c r="Y285" s="89"/>
      <c r="Z285" s="89">
        <v>6</v>
      </c>
      <c r="AA285" s="89"/>
      <c r="AB285" s="89"/>
    </row>
    <row r="286" spans="1:28" s="31" customFormat="1" ht="60" customHeight="1" x14ac:dyDescent="0.2">
      <c r="A286" s="76">
        <v>285</v>
      </c>
      <c r="B286" s="77">
        <v>50004333</v>
      </c>
      <c r="C286" s="78" t="s">
        <v>810</v>
      </c>
      <c r="D286" s="79">
        <v>0.05</v>
      </c>
      <c r="E286" s="80">
        <v>30049099</v>
      </c>
      <c r="F286" s="81" t="s">
        <v>811</v>
      </c>
      <c r="G286" s="82" t="s">
        <v>812</v>
      </c>
      <c r="H286" s="82" t="s">
        <v>3822</v>
      </c>
      <c r="I286" s="79" t="s">
        <v>2663</v>
      </c>
      <c r="J286" s="83">
        <v>238.02</v>
      </c>
      <c r="K286" s="83">
        <v>181.34857142857143</v>
      </c>
      <c r="L286" s="83">
        <v>181.34857142857143</v>
      </c>
      <c r="M286" s="84">
        <v>164.86233766233767</v>
      </c>
      <c r="N286" s="59">
        <f t="shared" si="4"/>
        <v>0.30735930735930739</v>
      </c>
      <c r="O286" s="85" t="s">
        <v>768</v>
      </c>
      <c r="P286" s="86" t="s">
        <v>95</v>
      </c>
      <c r="Q286" s="87" t="s">
        <v>3208</v>
      </c>
      <c r="R286" s="87">
        <v>15</v>
      </c>
      <c r="S286" s="88">
        <v>15.868</v>
      </c>
      <c r="T286" s="88">
        <v>12.089904761904762</v>
      </c>
      <c r="U286" s="88">
        <v>10.990822510822511</v>
      </c>
      <c r="V286" s="87" t="s">
        <v>3061</v>
      </c>
      <c r="W286" s="87" t="s">
        <v>3114</v>
      </c>
      <c r="X286" s="90" t="s">
        <v>3477</v>
      </c>
      <c r="Y286" s="89"/>
      <c r="Z286" s="89">
        <v>3</v>
      </c>
      <c r="AA286" s="89" t="s">
        <v>3207</v>
      </c>
      <c r="AB286" s="89" t="s">
        <v>4613</v>
      </c>
    </row>
    <row r="287" spans="1:28" s="31" customFormat="1" ht="60" customHeight="1" x14ac:dyDescent="0.2">
      <c r="A287" s="76">
        <v>286</v>
      </c>
      <c r="B287" s="77">
        <v>50004332</v>
      </c>
      <c r="C287" s="78" t="s">
        <v>813</v>
      </c>
      <c r="D287" s="79">
        <v>0.05</v>
      </c>
      <c r="E287" s="80">
        <v>30049099</v>
      </c>
      <c r="F287" s="81" t="s">
        <v>814</v>
      </c>
      <c r="G287" s="82" t="s">
        <v>815</v>
      </c>
      <c r="H287" s="82" t="s">
        <v>3823</v>
      </c>
      <c r="I287" s="79" t="s">
        <v>2663</v>
      </c>
      <c r="J287" s="83">
        <v>281.24</v>
      </c>
      <c r="K287" s="83">
        <v>214.27809523809523</v>
      </c>
      <c r="L287" s="83">
        <v>214.27809523809523</v>
      </c>
      <c r="M287" s="84">
        <v>194.79826839826845</v>
      </c>
      <c r="N287" s="59">
        <f t="shared" si="4"/>
        <v>0.30735930735930722</v>
      </c>
      <c r="O287" s="85" t="s">
        <v>768</v>
      </c>
      <c r="P287" s="86" t="s">
        <v>95</v>
      </c>
      <c r="Q287" s="87" t="s">
        <v>3208</v>
      </c>
      <c r="R287" s="87">
        <v>15</v>
      </c>
      <c r="S287" s="88">
        <v>18.749333333333333</v>
      </c>
      <c r="T287" s="88">
        <v>14.28520634920635</v>
      </c>
      <c r="U287" s="88">
        <v>12.98655122655123</v>
      </c>
      <c r="V287" s="87" t="s">
        <v>3061</v>
      </c>
      <c r="W287" s="87" t="s">
        <v>3114</v>
      </c>
      <c r="X287" s="90" t="s">
        <v>3477</v>
      </c>
      <c r="Y287" s="89"/>
      <c r="Z287" s="89">
        <v>3</v>
      </c>
      <c r="AA287" s="89" t="s">
        <v>3207</v>
      </c>
      <c r="AB287" s="89"/>
    </row>
    <row r="288" spans="1:28" s="31" customFormat="1" ht="60" customHeight="1" x14ac:dyDescent="0.2">
      <c r="A288" s="76">
        <v>287</v>
      </c>
      <c r="B288" s="77">
        <v>50005292</v>
      </c>
      <c r="C288" s="78" t="s">
        <v>3569</v>
      </c>
      <c r="D288" s="79">
        <v>0.05</v>
      </c>
      <c r="E288" s="80">
        <v>30049099</v>
      </c>
      <c r="F288" s="81" t="s">
        <v>3577</v>
      </c>
      <c r="G288" s="82" t="s">
        <v>3608</v>
      </c>
      <c r="H288" s="82" t="s">
        <v>3824</v>
      </c>
      <c r="I288" s="79" t="s">
        <v>2666</v>
      </c>
      <c r="J288" s="83">
        <v>117.18</v>
      </c>
      <c r="K288" s="83">
        <v>89.28</v>
      </c>
      <c r="L288" s="83">
        <v>89.28</v>
      </c>
      <c r="M288" s="84">
        <v>80.352000000000004</v>
      </c>
      <c r="N288" s="59">
        <f t="shared" si="4"/>
        <v>0.31428571428571428</v>
      </c>
      <c r="O288" s="85" t="s">
        <v>768</v>
      </c>
      <c r="P288" s="86" t="s">
        <v>2813</v>
      </c>
      <c r="Q288" s="87" t="s">
        <v>3208</v>
      </c>
      <c r="R288" s="87">
        <v>10</v>
      </c>
      <c r="S288" s="88">
        <v>11.718</v>
      </c>
      <c r="T288" s="88">
        <v>8.9280000000000008</v>
      </c>
      <c r="U288" s="88">
        <v>8.0351999999999997</v>
      </c>
      <c r="V288" s="87" t="s">
        <v>3061</v>
      </c>
      <c r="W288" s="87" t="s">
        <v>3114</v>
      </c>
      <c r="X288" s="90" t="s">
        <v>3477</v>
      </c>
      <c r="Y288" s="89"/>
      <c r="Z288" s="89"/>
      <c r="AA288" s="89" t="s">
        <v>3207</v>
      </c>
      <c r="AB288" s="89"/>
    </row>
    <row r="289" spans="1:28" s="31" customFormat="1" ht="60" customHeight="1" x14ac:dyDescent="0.2">
      <c r="A289" s="76">
        <v>288</v>
      </c>
      <c r="B289" s="77">
        <v>50005293</v>
      </c>
      <c r="C289" s="78" t="s">
        <v>3570</v>
      </c>
      <c r="D289" s="79">
        <v>0.05</v>
      </c>
      <c r="E289" s="80">
        <v>30049099</v>
      </c>
      <c r="F289" s="81" t="s">
        <v>3578</v>
      </c>
      <c r="G289" s="82" t="s">
        <v>3609</v>
      </c>
      <c r="H289" s="82" t="s">
        <v>3825</v>
      </c>
      <c r="I289" s="79" t="s">
        <v>2666</v>
      </c>
      <c r="J289" s="83">
        <v>126.55</v>
      </c>
      <c r="K289" s="83">
        <v>96.419047619047618</v>
      </c>
      <c r="L289" s="83">
        <v>96.419047619047618</v>
      </c>
      <c r="M289" s="84">
        <v>86.777142857142863</v>
      </c>
      <c r="N289" s="59">
        <f t="shared" si="4"/>
        <v>0.31428571428571422</v>
      </c>
      <c r="O289" s="85" t="s">
        <v>768</v>
      </c>
      <c r="P289" s="86" t="s">
        <v>2813</v>
      </c>
      <c r="Q289" s="87" t="s">
        <v>3208</v>
      </c>
      <c r="R289" s="87">
        <v>10</v>
      </c>
      <c r="S289" s="88">
        <v>12.654999999999999</v>
      </c>
      <c r="T289" s="88">
        <v>9.6419047619047618</v>
      </c>
      <c r="U289" s="88">
        <v>8.6777142857142859</v>
      </c>
      <c r="V289" s="87" t="s">
        <v>3061</v>
      </c>
      <c r="W289" s="87" t="s">
        <v>3114</v>
      </c>
      <c r="X289" s="90" t="s">
        <v>3477</v>
      </c>
      <c r="Y289" s="89"/>
      <c r="Z289" s="89"/>
      <c r="AA289" s="89" t="s">
        <v>3207</v>
      </c>
      <c r="AB289" s="89"/>
    </row>
    <row r="290" spans="1:28" s="31" customFormat="1" ht="60" customHeight="1" x14ac:dyDescent="0.2">
      <c r="A290" s="76">
        <v>289</v>
      </c>
      <c r="B290" s="77">
        <v>50001950</v>
      </c>
      <c r="C290" s="78" t="s">
        <v>816</v>
      </c>
      <c r="D290" s="79">
        <v>0.05</v>
      </c>
      <c r="E290" s="80">
        <v>30049087</v>
      </c>
      <c r="F290" s="81" t="s">
        <v>817</v>
      </c>
      <c r="G290" s="82" t="s">
        <v>818</v>
      </c>
      <c r="H290" s="82" t="s">
        <v>569</v>
      </c>
      <c r="I290" s="79" t="s">
        <v>2785</v>
      </c>
      <c r="J290" s="83">
        <v>149.52000000000001</v>
      </c>
      <c r="K290" s="83">
        <v>113.92</v>
      </c>
      <c r="L290" s="83">
        <v>94.933333333333337</v>
      </c>
      <c r="M290" s="84">
        <v>94.933333333333337</v>
      </c>
      <c r="N290" s="59">
        <f t="shared" si="4"/>
        <v>0.36507936507936511</v>
      </c>
      <c r="O290" s="85" t="s">
        <v>768</v>
      </c>
      <c r="P290" s="86" t="s">
        <v>2786</v>
      </c>
      <c r="Q290" s="87" t="s">
        <v>3208</v>
      </c>
      <c r="R290" s="87">
        <v>1</v>
      </c>
      <c r="S290" s="88">
        <v>149.52000000000001</v>
      </c>
      <c r="T290" s="88">
        <v>94.933333333333337</v>
      </c>
      <c r="U290" s="88">
        <v>94.933333333333337</v>
      </c>
      <c r="V290" s="87" t="s">
        <v>3062</v>
      </c>
      <c r="W290" s="87" t="s">
        <v>3102</v>
      </c>
      <c r="X290" s="90" t="s">
        <v>3480</v>
      </c>
      <c r="Y290" s="89"/>
      <c r="Z290" s="89">
        <v>1</v>
      </c>
      <c r="AA290" s="89"/>
      <c r="AB290" s="89"/>
    </row>
    <row r="291" spans="1:28" s="31" customFormat="1" ht="60" customHeight="1" x14ac:dyDescent="0.2">
      <c r="A291" s="76">
        <v>290</v>
      </c>
      <c r="B291" s="77">
        <v>50004329</v>
      </c>
      <c r="C291" s="78" t="s">
        <v>820</v>
      </c>
      <c r="D291" s="79">
        <v>0.05</v>
      </c>
      <c r="E291" s="80">
        <v>30049087</v>
      </c>
      <c r="F291" s="81" t="s">
        <v>821</v>
      </c>
      <c r="G291" s="82" t="s">
        <v>822</v>
      </c>
      <c r="H291" s="82" t="s">
        <v>823</v>
      </c>
      <c r="I291" s="79" t="s">
        <v>2666</v>
      </c>
      <c r="J291" s="83">
        <v>380.92</v>
      </c>
      <c r="K291" s="83">
        <v>290.22476190476192</v>
      </c>
      <c r="L291" s="83">
        <v>241.85396825396825</v>
      </c>
      <c r="M291" s="84">
        <v>219.86724386724384</v>
      </c>
      <c r="N291" s="59">
        <f t="shared" si="4"/>
        <v>0.4227994227994229</v>
      </c>
      <c r="O291" s="85" t="s">
        <v>768</v>
      </c>
      <c r="P291" s="86" t="s">
        <v>3530</v>
      </c>
      <c r="Q291" s="87" t="s">
        <v>3207</v>
      </c>
      <c r="R291" s="87">
        <v>10</v>
      </c>
      <c r="S291" s="88">
        <v>38.091999999999999</v>
      </c>
      <c r="T291" s="88">
        <v>24.185396825396825</v>
      </c>
      <c r="U291" s="88">
        <v>21.986724386724383</v>
      </c>
      <c r="V291" s="87" t="s">
        <v>3061</v>
      </c>
      <c r="W291" s="87" t="s">
        <v>3102</v>
      </c>
      <c r="X291" s="90" t="s">
        <v>3477</v>
      </c>
      <c r="Y291" s="89"/>
      <c r="Z291" s="89">
        <v>3</v>
      </c>
      <c r="AA291" s="89"/>
      <c r="AB291" s="89"/>
    </row>
    <row r="292" spans="1:28" s="31" customFormat="1" ht="60" customHeight="1" x14ac:dyDescent="0.2">
      <c r="A292" s="76">
        <v>291</v>
      </c>
      <c r="B292" s="77">
        <v>50000782</v>
      </c>
      <c r="C292" s="78" t="s">
        <v>824</v>
      </c>
      <c r="D292" s="79">
        <v>0.05</v>
      </c>
      <c r="E292" s="80">
        <v>30049087</v>
      </c>
      <c r="F292" s="81" t="s">
        <v>825</v>
      </c>
      <c r="G292" s="82" t="s">
        <v>826</v>
      </c>
      <c r="H292" s="82" t="s">
        <v>3826</v>
      </c>
      <c r="I292" s="79" t="s">
        <v>2787</v>
      </c>
      <c r="J292" s="83">
        <v>580.74</v>
      </c>
      <c r="K292" s="83">
        <v>442.46857142857141</v>
      </c>
      <c r="L292" s="83">
        <v>110.61714285714285</v>
      </c>
      <c r="M292" s="84">
        <v>110.61714285714288</v>
      </c>
      <c r="N292" s="59">
        <f t="shared" si="4"/>
        <v>0.80952380952380953</v>
      </c>
      <c r="O292" s="85" t="s">
        <v>768</v>
      </c>
      <c r="P292" s="86" t="s">
        <v>3403</v>
      </c>
      <c r="Q292" s="87" t="s">
        <v>3208</v>
      </c>
      <c r="R292" s="87">
        <v>1</v>
      </c>
      <c r="S292" s="88">
        <v>580.74</v>
      </c>
      <c r="T292" s="88">
        <v>110.61714285714285</v>
      </c>
      <c r="U292" s="88">
        <v>110.61714285714288</v>
      </c>
      <c r="V292" s="87" t="s">
        <v>3062</v>
      </c>
      <c r="W292" s="87" t="s">
        <v>3102</v>
      </c>
      <c r="X292" s="90" t="s">
        <v>3479</v>
      </c>
      <c r="Y292" s="89"/>
      <c r="Z292" s="89">
        <v>1</v>
      </c>
      <c r="AA292" s="89"/>
      <c r="AB292" s="89"/>
    </row>
    <row r="293" spans="1:28" s="31" customFormat="1" ht="60" customHeight="1" x14ac:dyDescent="0.2">
      <c r="A293" s="76">
        <v>292</v>
      </c>
      <c r="B293" s="77">
        <v>50004890</v>
      </c>
      <c r="C293" s="78" t="s">
        <v>3423</v>
      </c>
      <c r="D293" s="79">
        <v>0.05</v>
      </c>
      <c r="E293" s="80">
        <v>30049099</v>
      </c>
      <c r="F293" s="81" t="s">
        <v>3429</v>
      </c>
      <c r="G293" s="82" t="s">
        <v>3450</v>
      </c>
      <c r="H293" s="82" t="s">
        <v>3442</v>
      </c>
      <c r="I293" s="79" t="s">
        <v>2693</v>
      </c>
      <c r="J293" s="83">
        <v>164.9</v>
      </c>
      <c r="K293" s="83">
        <v>125.63809523809523</v>
      </c>
      <c r="L293" s="83">
        <v>104.6984126984127</v>
      </c>
      <c r="M293" s="84">
        <v>104.69841269841268</v>
      </c>
      <c r="N293" s="59">
        <f t="shared" si="4"/>
        <v>0.36507936507936523</v>
      </c>
      <c r="O293" s="85" t="s">
        <v>768</v>
      </c>
      <c r="P293" s="86" t="s">
        <v>2751</v>
      </c>
      <c r="Q293" s="87" t="s">
        <v>3208</v>
      </c>
      <c r="R293" s="87">
        <v>10</v>
      </c>
      <c r="S293" s="88">
        <v>16.490000000000002</v>
      </c>
      <c r="T293" s="88">
        <v>10.46984126984127</v>
      </c>
      <c r="U293" s="88">
        <v>10.469841269841268</v>
      </c>
      <c r="V293" s="87" t="s">
        <v>3061</v>
      </c>
      <c r="W293" s="87" t="s">
        <v>3107</v>
      </c>
      <c r="X293" s="90" t="s">
        <v>3478</v>
      </c>
      <c r="Y293" s="89"/>
      <c r="Z293" s="89">
        <v>3</v>
      </c>
      <c r="AA293" s="89" t="s">
        <v>3207</v>
      </c>
      <c r="AB293" s="89"/>
    </row>
    <row r="294" spans="1:28" s="31" customFormat="1" ht="60" customHeight="1" x14ac:dyDescent="0.2">
      <c r="A294" s="76">
        <v>293</v>
      </c>
      <c r="B294" s="77">
        <v>50006001</v>
      </c>
      <c r="C294" s="78" t="s">
        <v>4781</v>
      </c>
      <c r="D294" s="79">
        <v>0.05</v>
      </c>
      <c r="E294" s="80">
        <v>30049099</v>
      </c>
      <c r="F294" s="81" t="s">
        <v>4800</v>
      </c>
      <c r="G294" s="82" t="s">
        <v>4824</v>
      </c>
      <c r="H294" s="82" t="s">
        <v>4825</v>
      </c>
      <c r="I294" s="79" t="s">
        <v>2693</v>
      </c>
      <c r="J294" s="83">
        <v>135</v>
      </c>
      <c r="K294" s="83">
        <v>102.85714285714286</v>
      </c>
      <c r="L294" s="83">
        <v>85.714285714285722</v>
      </c>
      <c r="M294" s="84">
        <v>77.142857142857153</v>
      </c>
      <c r="N294" s="59">
        <f t="shared" si="4"/>
        <v>0.42857142857142849</v>
      </c>
      <c r="O294" s="85" t="s">
        <v>768</v>
      </c>
      <c r="P294" s="86" t="s">
        <v>2751</v>
      </c>
      <c r="Q294" s="87" t="s">
        <v>3208</v>
      </c>
      <c r="R294" s="87">
        <v>10</v>
      </c>
      <c r="S294" s="88">
        <v>13.5</v>
      </c>
      <c r="T294" s="88">
        <v>8.571428571428573</v>
      </c>
      <c r="U294" s="88">
        <v>7.7142857142857153</v>
      </c>
      <c r="V294" s="87" t="s">
        <v>3061</v>
      </c>
      <c r="W294" s="87" t="s">
        <v>3107</v>
      </c>
      <c r="X294" s="90" t="s">
        <v>3478</v>
      </c>
      <c r="Y294" s="89"/>
      <c r="Z294" s="89"/>
      <c r="AA294" s="89"/>
      <c r="AB294" s="89" t="s">
        <v>3299</v>
      </c>
    </row>
    <row r="295" spans="1:28" s="31" customFormat="1" ht="60" customHeight="1" x14ac:dyDescent="0.2">
      <c r="A295" s="76">
        <v>294</v>
      </c>
      <c r="B295" s="77">
        <v>50005723</v>
      </c>
      <c r="C295" s="78" t="s">
        <v>4614</v>
      </c>
      <c r="D295" s="79">
        <v>0.05</v>
      </c>
      <c r="E295" s="80">
        <v>30049099</v>
      </c>
      <c r="F295" s="81" t="s">
        <v>4615</v>
      </c>
      <c r="G295" s="82" t="s">
        <v>4616</v>
      </c>
      <c r="H295" s="82" t="s">
        <v>4617</v>
      </c>
      <c r="I295" s="79" t="s">
        <v>2772</v>
      </c>
      <c r="J295" s="83">
        <v>398.44</v>
      </c>
      <c r="K295" s="83">
        <v>303.57333333333332</v>
      </c>
      <c r="L295" s="83">
        <v>278.27555555555551</v>
      </c>
      <c r="M295" s="84">
        <v>252.97777777777773</v>
      </c>
      <c r="N295" s="59">
        <f t="shared" si="4"/>
        <v>0.36507936507936517</v>
      </c>
      <c r="O295" s="85" t="s">
        <v>768</v>
      </c>
      <c r="P295" s="86" t="s">
        <v>4658</v>
      </c>
      <c r="Q295" s="87" t="s">
        <v>3208</v>
      </c>
      <c r="R295" s="87">
        <v>1</v>
      </c>
      <c r="S295" s="88">
        <v>398.44</v>
      </c>
      <c r="T295" s="88">
        <v>278.27555555555551</v>
      </c>
      <c r="U295" s="88">
        <v>252.97777777777773</v>
      </c>
      <c r="V295" s="87" t="s">
        <v>3066</v>
      </c>
      <c r="W295" s="87" t="s">
        <v>3107</v>
      </c>
      <c r="X295" s="90" t="s">
        <v>3486</v>
      </c>
      <c r="Y295" s="89"/>
      <c r="Z295" s="89"/>
      <c r="AA295" s="89"/>
      <c r="AB295" s="89"/>
    </row>
    <row r="296" spans="1:28" s="31" customFormat="1" ht="60" customHeight="1" x14ac:dyDescent="0.2">
      <c r="A296" s="76">
        <v>295</v>
      </c>
      <c r="B296" s="77">
        <v>50000407</v>
      </c>
      <c r="C296" s="78" t="s">
        <v>827</v>
      </c>
      <c r="D296" s="79">
        <v>0.05</v>
      </c>
      <c r="E296" s="80">
        <v>30049099</v>
      </c>
      <c r="F296" s="81" t="s">
        <v>828</v>
      </c>
      <c r="G296" s="82" t="s">
        <v>829</v>
      </c>
      <c r="H296" s="82" t="s">
        <v>3827</v>
      </c>
      <c r="I296" s="79" t="s">
        <v>2693</v>
      </c>
      <c r="J296" s="83">
        <v>170.14</v>
      </c>
      <c r="K296" s="83">
        <v>129.6304761904762</v>
      </c>
      <c r="L296" s="83">
        <v>129.6304761904762</v>
      </c>
      <c r="M296" s="84">
        <v>117.84588744588746</v>
      </c>
      <c r="N296" s="59">
        <f t="shared" si="4"/>
        <v>0.30735930735930722</v>
      </c>
      <c r="O296" s="85" t="s">
        <v>768</v>
      </c>
      <c r="P296" s="86" t="s">
        <v>2788</v>
      </c>
      <c r="Q296" s="87" t="s">
        <v>3208</v>
      </c>
      <c r="R296" s="87">
        <v>10</v>
      </c>
      <c r="S296" s="88">
        <v>17.013999999999999</v>
      </c>
      <c r="T296" s="88">
        <v>12.96304761904762</v>
      </c>
      <c r="U296" s="88">
        <v>11.784588744588746</v>
      </c>
      <c r="V296" s="87" t="s">
        <v>3061</v>
      </c>
      <c r="W296" s="87" t="s">
        <v>3107</v>
      </c>
      <c r="X296" s="90" t="s">
        <v>3478</v>
      </c>
      <c r="Y296" s="89"/>
      <c r="Z296" s="89">
        <v>6</v>
      </c>
      <c r="AA296" s="89" t="s">
        <v>3207</v>
      </c>
      <c r="AB296" s="89"/>
    </row>
    <row r="297" spans="1:28" s="31" customFormat="1" ht="60" customHeight="1" x14ac:dyDescent="0.2">
      <c r="A297" s="76">
        <v>296</v>
      </c>
      <c r="B297" s="77">
        <v>50003379</v>
      </c>
      <c r="C297" s="78" t="s">
        <v>830</v>
      </c>
      <c r="D297" s="79">
        <v>0.05</v>
      </c>
      <c r="E297" s="80">
        <v>30049099</v>
      </c>
      <c r="F297" s="81" t="s">
        <v>831</v>
      </c>
      <c r="G297" s="82" t="s">
        <v>832</v>
      </c>
      <c r="H297" s="82" t="s">
        <v>3828</v>
      </c>
      <c r="I297" s="79" t="s">
        <v>2666</v>
      </c>
      <c r="J297" s="83">
        <v>170.02</v>
      </c>
      <c r="K297" s="83">
        <v>129.53904761904761</v>
      </c>
      <c r="L297" s="83">
        <v>129.53904761904761</v>
      </c>
      <c r="M297" s="84">
        <v>117.88053333333332</v>
      </c>
      <c r="N297" s="59">
        <f t="shared" si="4"/>
        <v>0.30666666666666681</v>
      </c>
      <c r="O297" s="85" t="s">
        <v>768</v>
      </c>
      <c r="P297" s="86" t="s">
        <v>3604</v>
      </c>
      <c r="Q297" s="87" t="s">
        <v>3208</v>
      </c>
      <c r="R297" s="87">
        <v>10</v>
      </c>
      <c r="S297" s="88">
        <v>17.002000000000002</v>
      </c>
      <c r="T297" s="88">
        <v>12.953904761904761</v>
      </c>
      <c r="U297" s="88">
        <v>11.788053333333332</v>
      </c>
      <c r="V297" s="87" t="s">
        <v>3061</v>
      </c>
      <c r="W297" s="87" t="s">
        <v>3107</v>
      </c>
      <c r="X297" s="90" t="s">
        <v>3477</v>
      </c>
      <c r="Y297" s="89"/>
      <c r="Z297" s="89">
        <v>3</v>
      </c>
      <c r="AA297" s="89" t="s">
        <v>3207</v>
      </c>
      <c r="AB297" s="89"/>
    </row>
    <row r="298" spans="1:28" s="31" customFormat="1" ht="60" customHeight="1" x14ac:dyDescent="0.2">
      <c r="A298" s="76">
        <v>297</v>
      </c>
      <c r="B298" s="77">
        <v>50003967</v>
      </c>
      <c r="C298" s="78" t="s">
        <v>833</v>
      </c>
      <c r="D298" s="79">
        <v>0.05</v>
      </c>
      <c r="E298" s="80">
        <v>30049099</v>
      </c>
      <c r="F298" s="81" t="s">
        <v>834</v>
      </c>
      <c r="G298" s="82" t="s">
        <v>835</v>
      </c>
      <c r="H298" s="82" t="s">
        <v>3829</v>
      </c>
      <c r="I298" s="79" t="s">
        <v>2666</v>
      </c>
      <c r="J298" s="83">
        <v>186.55</v>
      </c>
      <c r="K298" s="83">
        <v>142.13333333333333</v>
      </c>
      <c r="L298" s="83">
        <v>118.44444444444444</v>
      </c>
      <c r="M298" s="84">
        <v>118.44444444444444</v>
      </c>
      <c r="N298" s="59">
        <f t="shared" si="4"/>
        <v>0.36507936507936511</v>
      </c>
      <c r="O298" s="85" t="s">
        <v>768</v>
      </c>
      <c r="P298" s="86" t="s">
        <v>123</v>
      </c>
      <c r="Q298" s="87" t="s">
        <v>3208</v>
      </c>
      <c r="R298" s="87">
        <v>10</v>
      </c>
      <c r="S298" s="88">
        <v>18.655000000000001</v>
      </c>
      <c r="T298" s="88">
        <v>11.844444444444445</v>
      </c>
      <c r="U298" s="88">
        <v>11.844444444444445</v>
      </c>
      <c r="V298" s="87" t="s">
        <v>3061</v>
      </c>
      <c r="W298" s="87" t="s">
        <v>3107</v>
      </c>
      <c r="X298" s="90" t="s">
        <v>3477</v>
      </c>
      <c r="Y298" s="89"/>
      <c r="Z298" s="89">
        <v>3</v>
      </c>
      <c r="AA298" s="89" t="s">
        <v>3207</v>
      </c>
      <c r="AB298" s="89"/>
    </row>
    <row r="299" spans="1:28" s="31" customFormat="1" ht="60" customHeight="1" x14ac:dyDescent="0.2">
      <c r="A299" s="76">
        <v>298</v>
      </c>
      <c r="B299" s="77">
        <v>50003348</v>
      </c>
      <c r="C299" s="78" t="s">
        <v>849</v>
      </c>
      <c r="D299" s="79">
        <v>0.05</v>
      </c>
      <c r="E299" s="80">
        <v>30049099</v>
      </c>
      <c r="F299" s="81" t="s">
        <v>850</v>
      </c>
      <c r="G299" s="82" t="s">
        <v>851</v>
      </c>
      <c r="H299" s="82" t="s">
        <v>3830</v>
      </c>
      <c r="I299" s="79" t="s">
        <v>2666</v>
      </c>
      <c r="J299" s="83">
        <v>78.599999999999994</v>
      </c>
      <c r="K299" s="83">
        <v>59.885714285714279</v>
      </c>
      <c r="L299" s="83">
        <v>49.904761904761898</v>
      </c>
      <c r="M299" s="84">
        <v>46.112000000000002</v>
      </c>
      <c r="N299" s="59">
        <f t="shared" si="4"/>
        <v>0.41333333333333327</v>
      </c>
      <c r="O299" s="85" t="s">
        <v>768</v>
      </c>
      <c r="P299" s="86" t="s">
        <v>2789</v>
      </c>
      <c r="Q299" s="87" t="s">
        <v>3208</v>
      </c>
      <c r="R299" s="87">
        <v>10</v>
      </c>
      <c r="S299" s="88">
        <v>7.8599999999999994</v>
      </c>
      <c r="T299" s="88">
        <v>4.9904761904761896</v>
      </c>
      <c r="U299" s="88">
        <v>4.6112000000000002</v>
      </c>
      <c r="V299" s="87" t="s">
        <v>3061</v>
      </c>
      <c r="W299" s="87" t="s">
        <v>3108</v>
      </c>
      <c r="X299" s="90" t="s">
        <v>3477</v>
      </c>
      <c r="Y299" s="89"/>
      <c r="Z299" s="89">
        <v>6</v>
      </c>
      <c r="AA299" s="89" t="s">
        <v>3207</v>
      </c>
      <c r="AB299" s="89"/>
    </row>
    <row r="300" spans="1:28" s="31" customFormat="1" ht="60" customHeight="1" x14ac:dyDescent="0.2">
      <c r="A300" s="76">
        <v>299</v>
      </c>
      <c r="B300" s="77">
        <v>50002499</v>
      </c>
      <c r="C300" s="78" t="s">
        <v>852</v>
      </c>
      <c r="D300" s="79">
        <v>0.05</v>
      </c>
      <c r="E300" s="80">
        <v>21069099</v>
      </c>
      <c r="F300" s="81" t="s">
        <v>853</v>
      </c>
      <c r="G300" s="82" t="s">
        <v>854</v>
      </c>
      <c r="H300" s="82" t="s">
        <v>3831</v>
      </c>
      <c r="I300" s="79" t="s">
        <v>2790</v>
      </c>
      <c r="J300" s="83">
        <v>96</v>
      </c>
      <c r="K300" s="83">
        <v>73.142857142857139</v>
      </c>
      <c r="L300" s="83">
        <v>73.142857142857139</v>
      </c>
      <c r="M300" s="84">
        <v>66.493506493506473</v>
      </c>
      <c r="N300" s="59">
        <f t="shared" si="4"/>
        <v>0.30735930735930755</v>
      </c>
      <c r="O300" s="85" t="s">
        <v>768</v>
      </c>
      <c r="P300" s="86" t="s">
        <v>82</v>
      </c>
      <c r="Q300" s="87" t="s">
        <v>3208</v>
      </c>
      <c r="R300" s="87">
        <v>1</v>
      </c>
      <c r="S300" s="88">
        <v>96</v>
      </c>
      <c r="T300" s="88">
        <v>73.142857142857139</v>
      </c>
      <c r="U300" s="88">
        <v>66.493506493506473</v>
      </c>
      <c r="V300" s="87" t="s">
        <v>3064</v>
      </c>
      <c r="W300" s="87" t="s">
        <v>3106</v>
      </c>
      <c r="X300" s="90" t="s">
        <v>3489</v>
      </c>
      <c r="Y300" s="89"/>
      <c r="Z300" s="89">
        <v>6</v>
      </c>
      <c r="AA300" s="89"/>
      <c r="AB300" s="89"/>
    </row>
    <row r="301" spans="1:28" s="31" customFormat="1" ht="60" customHeight="1" x14ac:dyDescent="0.2">
      <c r="A301" s="76">
        <v>300</v>
      </c>
      <c r="B301" s="77">
        <v>50004906</v>
      </c>
      <c r="C301" s="78" t="s">
        <v>855</v>
      </c>
      <c r="D301" s="79">
        <v>0.05</v>
      </c>
      <c r="E301" s="80">
        <v>30049069</v>
      </c>
      <c r="F301" s="81" t="s">
        <v>856</v>
      </c>
      <c r="G301" s="82" t="s">
        <v>857</v>
      </c>
      <c r="H301" s="82" t="s">
        <v>343</v>
      </c>
      <c r="I301" s="79" t="s">
        <v>2693</v>
      </c>
      <c r="J301" s="83">
        <v>123.64</v>
      </c>
      <c r="K301" s="83">
        <v>94.201904761904757</v>
      </c>
      <c r="L301" s="83">
        <v>86.351746031746032</v>
      </c>
      <c r="M301" s="84">
        <v>86.351746031746018</v>
      </c>
      <c r="N301" s="59">
        <f t="shared" si="4"/>
        <v>0.30158730158730168</v>
      </c>
      <c r="O301" s="85" t="s">
        <v>768</v>
      </c>
      <c r="P301" s="86" t="s">
        <v>3336</v>
      </c>
      <c r="Q301" s="87" t="s">
        <v>3208</v>
      </c>
      <c r="R301" s="87">
        <v>10</v>
      </c>
      <c r="S301" s="88">
        <v>12.364000000000001</v>
      </c>
      <c r="T301" s="88">
        <v>8.6351746031746028</v>
      </c>
      <c r="U301" s="88">
        <v>8.6351746031746011</v>
      </c>
      <c r="V301" s="87" t="s">
        <v>3061</v>
      </c>
      <c r="W301" s="87" t="s">
        <v>3106</v>
      </c>
      <c r="X301" s="90" t="s">
        <v>3478</v>
      </c>
      <c r="Y301" s="89"/>
      <c r="Z301" s="89">
        <v>3</v>
      </c>
      <c r="AA301" s="89" t="s">
        <v>3207</v>
      </c>
      <c r="AB301" s="89" t="s">
        <v>4613</v>
      </c>
    </row>
    <row r="302" spans="1:28" s="31" customFormat="1" ht="60" customHeight="1" x14ac:dyDescent="0.2">
      <c r="A302" s="76">
        <v>301</v>
      </c>
      <c r="B302" s="77">
        <v>50004165</v>
      </c>
      <c r="C302" s="78" t="s">
        <v>858</v>
      </c>
      <c r="D302" s="79">
        <v>0.05</v>
      </c>
      <c r="E302" s="80">
        <v>30049099</v>
      </c>
      <c r="F302" s="81" t="s">
        <v>859</v>
      </c>
      <c r="G302" s="82" t="s">
        <v>860</v>
      </c>
      <c r="H302" s="82" t="s">
        <v>158</v>
      </c>
      <c r="I302" s="79" t="s">
        <v>2663</v>
      </c>
      <c r="J302" s="83">
        <v>158.22999999999999</v>
      </c>
      <c r="K302" s="83">
        <v>120.55619047619045</v>
      </c>
      <c r="L302" s="83">
        <v>110.50984126984126</v>
      </c>
      <c r="M302" s="84">
        <v>96.444952380952358</v>
      </c>
      <c r="N302" s="59">
        <f t="shared" si="4"/>
        <v>0.39047619047619059</v>
      </c>
      <c r="O302" s="85" t="s">
        <v>768</v>
      </c>
      <c r="P302" s="86" t="s">
        <v>37</v>
      </c>
      <c r="Q302" s="87" t="s">
        <v>3208</v>
      </c>
      <c r="R302" s="87">
        <v>15</v>
      </c>
      <c r="S302" s="88">
        <v>10.548666666666666</v>
      </c>
      <c r="T302" s="88">
        <v>7.3673227513227504</v>
      </c>
      <c r="U302" s="88">
        <v>6.429663492063491</v>
      </c>
      <c r="V302" s="87" t="s">
        <v>3061</v>
      </c>
      <c r="W302" s="87" t="s">
        <v>3114</v>
      </c>
      <c r="X302" s="90" t="s">
        <v>3477</v>
      </c>
      <c r="Y302" s="89" t="s">
        <v>3455</v>
      </c>
      <c r="Z302" s="89">
        <v>4</v>
      </c>
      <c r="AA302" s="89" t="s">
        <v>3207</v>
      </c>
      <c r="AB302" s="89" t="s">
        <v>4613</v>
      </c>
    </row>
    <row r="303" spans="1:28" s="31" customFormat="1" ht="60" customHeight="1" x14ac:dyDescent="0.2">
      <c r="A303" s="76">
        <v>302</v>
      </c>
      <c r="B303" s="77">
        <v>50004164</v>
      </c>
      <c r="C303" s="78" t="s">
        <v>861</v>
      </c>
      <c r="D303" s="79">
        <v>0.05</v>
      </c>
      <c r="E303" s="80">
        <v>30049099</v>
      </c>
      <c r="F303" s="81" t="s">
        <v>862</v>
      </c>
      <c r="G303" s="82" t="s">
        <v>863</v>
      </c>
      <c r="H303" s="82" t="s">
        <v>323</v>
      </c>
      <c r="I303" s="79" t="s">
        <v>2663</v>
      </c>
      <c r="J303" s="83">
        <v>241.6</v>
      </c>
      <c r="K303" s="83">
        <v>184.07619047619048</v>
      </c>
      <c r="L303" s="83">
        <v>168.73650793650793</v>
      </c>
      <c r="M303" s="84">
        <v>147.26095238095235</v>
      </c>
      <c r="N303" s="59">
        <f t="shared" si="4"/>
        <v>0.39047619047619059</v>
      </c>
      <c r="O303" s="85" t="s">
        <v>768</v>
      </c>
      <c r="P303" s="86" t="s">
        <v>37</v>
      </c>
      <c r="Q303" s="87" t="s">
        <v>3208</v>
      </c>
      <c r="R303" s="87">
        <v>15</v>
      </c>
      <c r="S303" s="88">
        <v>16.106666666666666</v>
      </c>
      <c r="T303" s="88">
        <v>11.249100529100529</v>
      </c>
      <c r="U303" s="88">
        <v>9.8173968253968233</v>
      </c>
      <c r="V303" s="87" t="s">
        <v>3061</v>
      </c>
      <c r="W303" s="87" t="s">
        <v>3114</v>
      </c>
      <c r="X303" s="90" t="s">
        <v>3477</v>
      </c>
      <c r="Y303" s="89" t="s">
        <v>3455</v>
      </c>
      <c r="Z303" s="89">
        <v>4</v>
      </c>
      <c r="AA303" s="89" t="s">
        <v>3207</v>
      </c>
      <c r="AB303" s="89"/>
    </row>
    <row r="304" spans="1:28" s="31" customFormat="1" ht="60" customHeight="1" x14ac:dyDescent="0.2">
      <c r="A304" s="76">
        <v>303</v>
      </c>
      <c r="B304" s="77">
        <v>50004711</v>
      </c>
      <c r="C304" s="78" t="s">
        <v>864</v>
      </c>
      <c r="D304" s="79">
        <v>0.05</v>
      </c>
      <c r="E304" s="80">
        <v>30049099</v>
      </c>
      <c r="F304" s="81" t="s">
        <v>865</v>
      </c>
      <c r="G304" s="82" t="s">
        <v>866</v>
      </c>
      <c r="H304" s="82" t="s">
        <v>3421</v>
      </c>
      <c r="I304" s="79" t="s">
        <v>2663</v>
      </c>
      <c r="J304" s="83">
        <v>197.99</v>
      </c>
      <c r="K304" s="83">
        <v>150.84952380952382</v>
      </c>
      <c r="L304" s="83">
        <v>138.27873015873016</v>
      </c>
      <c r="M304" s="84">
        <v>120.67961904761901</v>
      </c>
      <c r="N304" s="59">
        <f t="shared" si="4"/>
        <v>0.3904761904761907</v>
      </c>
      <c r="O304" s="85" t="s">
        <v>768</v>
      </c>
      <c r="P304" s="86" t="s">
        <v>2748</v>
      </c>
      <c r="Q304" s="87" t="s">
        <v>3208</v>
      </c>
      <c r="R304" s="87">
        <v>15</v>
      </c>
      <c r="S304" s="88">
        <v>13.199333333333334</v>
      </c>
      <c r="T304" s="88">
        <v>9.2185820105820095</v>
      </c>
      <c r="U304" s="88">
        <v>8.0453079365079336</v>
      </c>
      <c r="V304" s="87" t="s">
        <v>3061</v>
      </c>
      <c r="W304" s="87" t="s">
        <v>3114</v>
      </c>
      <c r="X304" s="90" t="s">
        <v>3477</v>
      </c>
      <c r="Y304" s="89" t="s">
        <v>3455</v>
      </c>
      <c r="Z304" s="89">
        <v>4</v>
      </c>
      <c r="AA304" s="89" t="s">
        <v>3207</v>
      </c>
      <c r="AB304" s="89"/>
    </row>
    <row r="305" spans="1:28" s="31" customFormat="1" ht="60" customHeight="1" x14ac:dyDescent="0.2">
      <c r="A305" s="76">
        <v>304</v>
      </c>
      <c r="B305" s="77">
        <v>50004715</v>
      </c>
      <c r="C305" s="78" t="s">
        <v>867</v>
      </c>
      <c r="D305" s="79">
        <v>0.05</v>
      </c>
      <c r="E305" s="80">
        <v>30049099</v>
      </c>
      <c r="F305" s="81" t="s">
        <v>868</v>
      </c>
      <c r="G305" s="82" t="s">
        <v>869</v>
      </c>
      <c r="H305" s="82" t="s">
        <v>3832</v>
      </c>
      <c r="I305" s="79" t="s">
        <v>2663</v>
      </c>
      <c r="J305" s="83">
        <v>302.87</v>
      </c>
      <c r="K305" s="83">
        <v>230.75809523809525</v>
      </c>
      <c r="L305" s="83">
        <v>211.52825396825401</v>
      </c>
      <c r="M305" s="84">
        <v>184.60647619047623</v>
      </c>
      <c r="N305" s="59">
        <f t="shared" si="4"/>
        <v>0.39047619047619037</v>
      </c>
      <c r="O305" s="85" t="s">
        <v>768</v>
      </c>
      <c r="P305" s="86" t="s">
        <v>2748</v>
      </c>
      <c r="Q305" s="87" t="s">
        <v>3208</v>
      </c>
      <c r="R305" s="87">
        <v>15</v>
      </c>
      <c r="S305" s="88">
        <v>20.191333333333333</v>
      </c>
      <c r="T305" s="88">
        <v>14.101883597883601</v>
      </c>
      <c r="U305" s="88">
        <v>12.307098412698416</v>
      </c>
      <c r="V305" s="87" t="s">
        <v>3061</v>
      </c>
      <c r="W305" s="87" t="s">
        <v>3114</v>
      </c>
      <c r="X305" s="90" t="s">
        <v>3477</v>
      </c>
      <c r="Y305" s="89" t="s">
        <v>3455</v>
      </c>
      <c r="Z305" s="89">
        <v>4</v>
      </c>
      <c r="AA305" s="89" t="s">
        <v>3207</v>
      </c>
      <c r="AB305" s="89"/>
    </row>
    <row r="306" spans="1:28" s="31" customFormat="1" ht="60" customHeight="1" x14ac:dyDescent="0.2">
      <c r="A306" s="76">
        <v>305</v>
      </c>
      <c r="B306" s="77">
        <v>50004712</v>
      </c>
      <c r="C306" s="78" t="s">
        <v>870</v>
      </c>
      <c r="D306" s="79">
        <v>0.05</v>
      </c>
      <c r="E306" s="80">
        <v>30049099</v>
      </c>
      <c r="F306" s="81" t="s">
        <v>871</v>
      </c>
      <c r="G306" s="82" t="s">
        <v>872</v>
      </c>
      <c r="H306" s="82" t="s">
        <v>3808</v>
      </c>
      <c r="I306" s="79" t="s">
        <v>2663</v>
      </c>
      <c r="J306" s="83">
        <v>338.75</v>
      </c>
      <c r="K306" s="83">
        <v>258.09523809523807</v>
      </c>
      <c r="L306" s="83">
        <v>236.58730158730157</v>
      </c>
      <c r="M306" s="84">
        <v>206.4761904761904</v>
      </c>
      <c r="N306" s="59">
        <f t="shared" si="4"/>
        <v>0.3904761904761907</v>
      </c>
      <c r="O306" s="85" t="s">
        <v>768</v>
      </c>
      <c r="P306" s="86" t="s">
        <v>2734</v>
      </c>
      <c r="Q306" s="87" t="s">
        <v>3208</v>
      </c>
      <c r="R306" s="87">
        <v>15</v>
      </c>
      <c r="S306" s="88">
        <v>22.583333333333332</v>
      </c>
      <c r="T306" s="88">
        <v>15.77248677248677</v>
      </c>
      <c r="U306" s="88">
        <v>13.765079365079361</v>
      </c>
      <c r="V306" s="87" t="s">
        <v>3061</v>
      </c>
      <c r="W306" s="87" t="s">
        <v>3114</v>
      </c>
      <c r="X306" s="90" t="s">
        <v>3477</v>
      </c>
      <c r="Y306" s="89" t="s">
        <v>3455</v>
      </c>
      <c r="Z306" s="89">
        <v>4</v>
      </c>
      <c r="AA306" s="89" t="s">
        <v>3207</v>
      </c>
      <c r="AB306" s="89"/>
    </row>
    <row r="307" spans="1:28" s="31" customFormat="1" ht="60" customHeight="1" x14ac:dyDescent="0.2">
      <c r="A307" s="76">
        <v>306</v>
      </c>
      <c r="B307" s="77">
        <v>50004713</v>
      </c>
      <c r="C307" s="78" t="s">
        <v>873</v>
      </c>
      <c r="D307" s="79">
        <v>0.05</v>
      </c>
      <c r="E307" s="80">
        <v>30049099</v>
      </c>
      <c r="F307" s="81" t="s">
        <v>874</v>
      </c>
      <c r="G307" s="82" t="s">
        <v>875</v>
      </c>
      <c r="H307" s="82" t="s">
        <v>3833</v>
      </c>
      <c r="I307" s="79" t="s">
        <v>2663</v>
      </c>
      <c r="J307" s="83">
        <v>336.08</v>
      </c>
      <c r="K307" s="83">
        <v>256.06095238095241</v>
      </c>
      <c r="L307" s="83">
        <v>234.72253968253972</v>
      </c>
      <c r="M307" s="84">
        <v>204.84876190476189</v>
      </c>
      <c r="N307" s="59">
        <f t="shared" si="4"/>
        <v>0.39047619047619048</v>
      </c>
      <c r="O307" s="85" t="s">
        <v>768</v>
      </c>
      <c r="P307" s="86" t="s">
        <v>2734</v>
      </c>
      <c r="Q307" s="87" t="s">
        <v>3208</v>
      </c>
      <c r="R307" s="87">
        <v>15</v>
      </c>
      <c r="S307" s="88">
        <v>22.405333333333331</v>
      </c>
      <c r="T307" s="88">
        <v>15.648169312169314</v>
      </c>
      <c r="U307" s="88">
        <v>13.656584126984125</v>
      </c>
      <c r="V307" s="87" t="s">
        <v>3061</v>
      </c>
      <c r="W307" s="87" t="s">
        <v>3114</v>
      </c>
      <c r="X307" s="90" t="s">
        <v>3477</v>
      </c>
      <c r="Y307" s="89" t="s">
        <v>3455</v>
      </c>
      <c r="Z307" s="89">
        <v>4</v>
      </c>
      <c r="AA307" s="89" t="s">
        <v>3207</v>
      </c>
      <c r="AB307" s="89"/>
    </row>
    <row r="308" spans="1:28" s="31" customFormat="1" ht="60" customHeight="1" x14ac:dyDescent="0.2">
      <c r="A308" s="76">
        <v>307</v>
      </c>
      <c r="B308" s="77">
        <v>50005940</v>
      </c>
      <c r="C308" s="78" t="s">
        <v>4782</v>
      </c>
      <c r="D308" s="79">
        <v>0.05</v>
      </c>
      <c r="E308" s="80">
        <v>30049099</v>
      </c>
      <c r="F308" s="81" t="s">
        <v>4801</v>
      </c>
      <c r="G308" s="82" t="s">
        <v>4826</v>
      </c>
      <c r="H308" s="82" t="s">
        <v>4827</v>
      </c>
      <c r="I308" s="79" t="s">
        <v>2666</v>
      </c>
      <c r="J308" s="83">
        <v>110</v>
      </c>
      <c r="K308" s="83">
        <v>83.80952380952381</v>
      </c>
      <c r="L308" s="83">
        <v>83.80952380952381</v>
      </c>
      <c r="M308" s="84">
        <v>75.428571428571431</v>
      </c>
      <c r="N308" s="59">
        <f t="shared" si="4"/>
        <v>0.31428571428571428</v>
      </c>
      <c r="O308" s="85" t="s">
        <v>768</v>
      </c>
      <c r="P308" s="86" t="s">
        <v>2813</v>
      </c>
      <c r="Q308" s="87" t="s">
        <v>3208</v>
      </c>
      <c r="R308" s="87">
        <v>10</v>
      </c>
      <c r="S308" s="88">
        <v>11</v>
      </c>
      <c r="T308" s="88">
        <v>8.3809523809523814</v>
      </c>
      <c r="U308" s="88">
        <v>7.5428571428571427</v>
      </c>
      <c r="V308" s="87" t="s">
        <v>3061</v>
      </c>
      <c r="W308" s="87" t="s">
        <v>3114</v>
      </c>
      <c r="X308" s="90" t="s">
        <v>3477</v>
      </c>
      <c r="Y308" s="89"/>
      <c r="Z308" s="89"/>
      <c r="AA308" s="89"/>
      <c r="AB308" s="89" t="s">
        <v>3299</v>
      </c>
    </row>
    <row r="309" spans="1:28" s="31" customFormat="1" ht="60" customHeight="1" x14ac:dyDescent="0.2">
      <c r="A309" s="76">
        <v>308</v>
      </c>
      <c r="B309" s="77">
        <v>50005942</v>
      </c>
      <c r="C309" s="78" t="s">
        <v>4783</v>
      </c>
      <c r="D309" s="79">
        <v>0.05</v>
      </c>
      <c r="E309" s="80">
        <v>30049099</v>
      </c>
      <c r="F309" s="81" t="s">
        <v>4802</v>
      </c>
      <c r="G309" s="82" t="s">
        <v>4828</v>
      </c>
      <c r="H309" s="82" t="s">
        <v>4829</v>
      </c>
      <c r="I309" s="79" t="s">
        <v>2666</v>
      </c>
      <c r="J309" s="83">
        <v>125</v>
      </c>
      <c r="K309" s="83">
        <v>95.238095238095241</v>
      </c>
      <c r="L309" s="83">
        <v>95.238095238095241</v>
      </c>
      <c r="M309" s="84">
        <v>85.714285714285722</v>
      </c>
      <c r="N309" s="59">
        <f t="shared" si="4"/>
        <v>0.31428571428571422</v>
      </c>
      <c r="O309" s="85" t="s">
        <v>768</v>
      </c>
      <c r="P309" s="86" t="s">
        <v>2813</v>
      </c>
      <c r="Q309" s="87" t="s">
        <v>3208</v>
      </c>
      <c r="R309" s="87">
        <v>10</v>
      </c>
      <c r="S309" s="88">
        <v>12.5</v>
      </c>
      <c r="T309" s="88">
        <v>9.5238095238095237</v>
      </c>
      <c r="U309" s="88">
        <v>8.571428571428573</v>
      </c>
      <c r="V309" s="87" t="s">
        <v>3061</v>
      </c>
      <c r="W309" s="87" t="s">
        <v>3114</v>
      </c>
      <c r="X309" s="90" t="s">
        <v>3477</v>
      </c>
      <c r="Y309" s="89"/>
      <c r="Z309" s="89"/>
      <c r="AA309" s="89"/>
      <c r="AB309" s="89" t="s">
        <v>3299</v>
      </c>
    </row>
    <row r="310" spans="1:28" s="31" customFormat="1" ht="60" customHeight="1" x14ac:dyDescent="0.2">
      <c r="A310" s="76">
        <v>309</v>
      </c>
      <c r="B310" s="77">
        <v>50005943</v>
      </c>
      <c r="C310" s="78" t="s">
        <v>4784</v>
      </c>
      <c r="D310" s="79">
        <v>0.05</v>
      </c>
      <c r="E310" s="80">
        <v>30049099</v>
      </c>
      <c r="F310" s="81" t="s">
        <v>4803</v>
      </c>
      <c r="G310" s="82" t="s">
        <v>4830</v>
      </c>
      <c r="H310" s="82" t="s">
        <v>4831</v>
      </c>
      <c r="I310" s="79" t="s">
        <v>2666</v>
      </c>
      <c r="J310" s="83">
        <v>120</v>
      </c>
      <c r="K310" s="83">
        <v>91.428571428571431</v>
      </c>
      <c r="L310" s="83">
        <v>91.428571428571431</v>
      </c>
      <c r="M310" s="84">
        <v>82.285714285714292</v>
      </c>
      <c r="N310" s="59">
        <f t="shared" si="4"/>
        <v>0.31428571428571422</v>
      </c>
      <c r="O310" s="85" t="s">
        <v>768</v>
      </c>
      <c r="P310" s="86" t="s">
        <v>2813</v>
      </c>
      <c r="Q310" s="87" t="s">
        <v>3208</v>
      </c>
      <c r="R310" s="87">
        <v>10</v>
      </c>
      <c r="S310" s="88">
        <v>12</v>
      </c>
      <c r="T310" s="88">
        <v>9.1428571428571423</v>
      </c>
      <c r="U310" s="88">
        <v>8.2285714285714295</v>
      </c>
      <c r="V310" s="87" t="s">
        <v>3061</v>
      </c>
      <c r="W310" s="87" t="s">
        <v>3114</v>
      </c>
      <c r="X310" s="90" t="s">
        <v>3477</v>
      </c>
      <c r="Y310" s="89"/>
      <c r="Z310" s="89"/>
      <c r="AA310" s="89"/>
      <c r="AB310" s="89" t="s">
        <v>3299</v>
      </c>
    </row>
    <row r="311" spans="1:28" s="31" customFormat="1" ht="60" customHeight="1" x14ac:dyDescent="0.2">
      <c r="A311" s="76">
        <v>310</v>
      </c>
      <c r="B311" s="77">
        <v>50005941</v>
      </c>
      <c r="C311" s="78" t="s">
        <v>4785</v>
      </c>
      <c r="D311" s="79">
        <v>0.05</v>
      </c>
      <c r="E311" s="80">
        <v>30049099</v>
      </c>
      <c r="F311" s="81" t="s">
        <v>4804</v>
      </c>
      <c r="G311" s="82" t="s">
        <v>4832</v>
      </c>
      <c r="H311" s="82" t="s">
        <v>4833</v>
      </c>
      <c r="I311" s="79" t="s">
        <v>2666</v>
      </c>
      <c r="J311" s="83">
        <v>135</v>
      </c>
      <c r="K311" s="83">
        <v>102.85714285714286</v>
      </c>
      <c r="L311" s="83">
        <v>102.85714285714286</v>
      </c>
      <c r="M311" s="84">
        <v>92.571428571428584</v>
      </c>
      <c r="N311" s="59">
        <f t="shared" si="4"/>
        <v>0.31428571428571417</v>
      </c>
      <c r="O311" s="85" t="s">
        <v>768</v>
      </c>
      <c r="P311" s="86" t="s">
        <v>2813</v>
      </c>
      <c r="Q311" s="87" t="s">
        <v>3208</v>
      </c>
      <c r="R311" s="87">
        <v>10</v>
      </c>
      <c r="S311" s="88">
        <v>13.5</v>
      </c>
      <c r="T311" s="88">
        <v>10.285714285714286</v>
      </c>
      <c r="U311" s="88">
        <v>9.257142857142858</v>
      </c>
      <c r="V311" s="87" t="s">
        <v>3061</v>
      </c>
      <c r="W311" s="87" t="s">
        <v>3114</v>
      </c>
      <c r="X311" s="90" t="s">
        <v>3477</v>
      </c>
      <c r="Y311" s="89"/>
      <c r="Z311" s="89"/>
      <c r="AA311" s="89"/>
      <c r="AB311" s="89" t="s">
        <v>3299</v>
      </c>
    </row>
    <row r="312" spans="1:28" s="31" customFormat="1" ht="60" customHeight="1" x14ac:dyDescent="0.2">
      <c r="A312" s="76">
        <v>311</v>
      </c>
      <c r="B312" s="77">
        <v>50004163</v>
      </c>
      <c r="C312" s="78" t="s">
        <v>876</v>
      </c>
      <c r="D312" s="79">
        <v>0.05</v>
      </c>
      <c r="E312" s="80">
        <v>30049099</v>
      </c>
      <c r="F312" s="81" t="s">
        <v>877</v>
      </c>
      <c r="G312" s="82" t="s">
        <v>3205</v>
      </c>
      <c r="H312" s="82" t="s">
        <v>3672</v>
      </c>
      <c r="I312" s="79" t="s">
        <v>2663</v>
      </c>
      <c r="J312" s="83">
        <v>177.88</v>
      </c>
      <c r="K312" s="83">
        <v>135.52761904761905</v>
      </c>
      <c r="L312" s="83">
        <v>124.2336507936508</v>
      </c>
      <c r="M312" s="84">
        <v>108.42209523809524</v>
      </c>
      <c r="N312" s="59">
        <f t="shared" si="4"/>
        <v>0.39047619047619048</v>
      </c>
      <c r="O312" s="85" t="s">
        <v>768</v>
      </c>
      <c r="P312" s="86" t="s">
        <v>37</v>
      </c>
      <c r="Q312" s="87" t="s">
        <v>3208</v>
      </c>
      <c r="R312" s="87">
        <v>15</v>
      </c>
      <c r="S312" s="88">
        <v>11.858666666666666</v>
      </c>
      <c r="T312" s="88">
        <v>8.2822433862433869</v>
      </c>
      <c r="U312" s="88">
        <v>7.2281396825396822</v>
      </c>
      <c r="V312" s="87" t="s">
        <v>3061</v>
      </c>
      <c r="W312" s="87" t="s">
        <v>3114</v>
      </c>
      <c r="X312" s="90" t="s">
        <v>3477</v>
      </c>
      <c r="Y312" s="89" t="s">
        <v>3455</v>
      </c>
      <c r="Z312" s="89">
        <v>4</v>
      </c>
      <c r="AA312" s="89" t="s">
        <v>3207</v>
      </c>
      <c r="AB312" s="89"/>
    </row>
    <row r="313" spans="1:28" s="31" customFormat="1" ht="60" customHeight="1" x14ac:dyDescent="0.2">
      <c r="A313" s="76">
        <v>312</v>
      </c>
      <c r="B313" s="77">
        <v>50004162</v>
      </c>
      <c r="C313" s="78" t="s">
        <v>878</v>
      </c>
      <c r="D313" s="79">
        <v>0.05</v>
      </c>
      <c r="E313" s="80">
        <v>30049099</v>
      </c>
      <c r="F313" s="81" t="s">
        <v>879</v>
      </c>
      <c r="G313" s="82" t="s">
        <v>880</v>
      </c>
      <c r="H313" s="82" t="s">
        <v>3834</v>
      </c>
      <c r="I313" s="79" t="s">
        <v>2663</v>
      </c>
      <c r="J313" s="83">
        <v>190.71</v>
      </c>
      <c r="K313" s="83">
        <v>145.30285714285714</v>
      </c>
      <c r="L313" s="83">
        <v>133.19428571428571</v>
      </c>
      <c r="M313" s="84">
        <v>116.24228571428569</v>
      </c>
      <c r="N313" s="59">
        <f t="shared" si="4"/>
        <v>0.39047619047619064</v>
      </c>
      <c r="O313" s="85" t="s">
        <v>768</v>
      </c>
      <c r="P313" s="86" t="s">
        <v>37</v>
      </c>
      <c r="Q313" s="87" t="s">
        <v>3208</v>
      </c>
      <c r="R313" s="87">
        <v>15</v>
      </c>
      <c r="S313" s="88">
        <v>12.714</v>
      </c>
      <c r="T313" s="88">
        <v>8.8796190476190482</v>
      </c>
      <c r="U313" s="88">
        <v>7.7494857142857123</v>
      </c>
      <c r="V313" s="87" t="s">
        <v>3061</v>
      </c>
      <c r="W313" s="87" t="s">
        <v>3114</v>
      </c>
      <c r="X313" s="90" t="s">
        <v>3477</v>
      </c>
      <c r="Y313" s="89" t="s">
        <v>3455</v>
      </c>
      <c r="Z313" s="89">
        <v>4</v>
      </c>
      <c r="AA313" s="89" t="s">
        <v>3207</v>
      </c>
      <c r="AB313" s="89" t="s">
        <v>4613</v>
      </c>
    </row>
    <row r="314" spans="1:28" s="31" customFormat="1" ht="60" customHeight="1" x14ac:dyDescent="0.2">
      <c r="A314" s="76">
        <v>313</v>
      </c>
      <c r="B314" s="77">
        <v>50004714</v>
      </c>
      <c r="C314" s="78" t="s">
        <v>3226</v>
      </c>
      <c r="D314" s="79">
        <v>0.05</v>
      </c>
      <c r="E314" s="80">
        <v>30049099</v>
      </c>
      <c r="F314" s="81" t="s">
        <v>3227</v>
      </c>
      <c r="G314" s="82" t="s">
        <v>3269</v>
      </c>
      <c r="H314" s="82" t="s">
        <v>3281</v>
      </c>
      <c r="I314" s="79" t="s">
        <v>2663</v>
      </c>
      <c r="J314" s="83">
        <v>208.68</v>
      </c>
      <c r="K314" s="83">
        <v>158.9942857142857</v>
      </c>
      <c r="L314" s="83">
        <v>145.74476190476187</v>
      </c>
      <c r="M314" s="84">
        <v>127.19542857142854</v>
      </c>
      <c r="N314" s="59">
        <f t="shared" si="4"/>
        <v>0.39047619047619064</v>
      </c>
      <c r="O314" s="85" t="s">
        <v>768</v>
      </c>
      <c r="P314" s="86" t="s">
        <v>2776</v>
      </c>
      <c r="Q314" s="87" t="s">
        <v>3208</v>
      </c>
      <c r="R314" s="87">
        <v>15</v>
      </c>
      <c r="S314" s="88">
        <v>13.912000000000001</v>
      </c>
      <c r="T314" s="88">
        <v>9.7163174603174589</v>
      </c>
      <c r="U314" s="88">
        <v>8.4796952380952355</v>
      </c>
      <c r="V314" s="87" t="s">
        <v>3061</v>
      </c>
      <c r="W314" s="87" t="s">
        <v>3114</v>
      </c>
      <c r="X314" s="90" t="s">
        <v>3477</v>
      </c>
      <c r="Y314" s="89" t="s">
        <v>3455</v>
      </c>
      <c r="Z314" s="89">
        <v>4</v>
      </c>
      <c r="AA314" s="89" t="s">
        <v>3207</v>
      </c>
      <c r="AB314" s="89"/>
    </row>
    <row r="315" spans="1:28" s="31" customFormat="1" ht="60" customHeight="1" x14ac:dyDescent="0.2">
      <c r="A315" s="76">
        <v>314</v>
      </c>
      <c r="B315" s="77">
        <v>50005048</v>
      </c>
      <c r="C315" s="78" t="s">
        <v>3167</v>
      </c>
      <c r="D315" s="79">
        <v>0.05</v>
      </c>
      <c r="E315" s="80">
        <v>30049099</v>
      </c>
      <c r="F315" s="81" t="s">
        <v>3168</v>
      </c>
      <c r="G315" s="82" t="s">
        <v>3186</v>
      </c>
      <c r="H315" s="82" t="s">
        <v>3835</v>
      </c>
      <c r="I315" s="79" t="s">
        <v>2663</v>
      </c>
      <c r="J315" s="83">
        <v>236.25</v>
      </c>
      <c r="K315" s="83">
        <v>180</v>
      </c>
      <c r="L315" s="83">
        <v>180</v>
      </c>
      <c r="M315" s="84">
        <v>144</v>
      </c>
      <c r="N315" s="59">
        <f t="shared" si="4"/>
        <v>0.39047619047619048</v>
      </c>
      <c r="O315" s="85" t="s">
        <v>768</v>
      </c>
      <c r="P315" s="86" t="s">
        <v>2791</v>
      </c>
      <c r="Q315" s="87" t="s">
        <v>3208</v>
      </c>
      <c r="R315" s="87">
        <v>15</v>
      </c>
      <c r="S315" s="88">
        <v>15.75</v>
      </c>
      <c r="T315" s="88">
        <v>12</v>
      </c>
      <c r="U315" s="88">
        <v>9.6</v>
      </c>
      <c r="V315" s="87" t="s">
        <v>3061</v>
      </c>
      <c r="W315" s="87" t="s">
        <v>3114</v>
      </c>
      <c r="X315" s="90" t="s">
        <v>3477</v>
      </c>
      <c r="Y315" s="89"/>
      <c r="Z315" s="89">
        <v>4</v>
      </c>
      <c r="AA315" s="89" t="s">
        <v>3207</v>
      </c>
      <c r="AB315" s="89"/>
    </row>
    <row r="316" spans="1:28" s="31" customFormat="1" ht="60" customHeight="1" x14ac:dyDescent="0.2">
      <c r="A316" s="76">
        <v>315</v>
      </c>
      <c r="B316" s="77">
        <v>50005049</v>
      </c>
      <c r="C316" s="78" t="s">
        <v>3169</v>
      </c>
      <c r="D316" s="79">
        <v>0.05</v>
      </c>
      <c r="E316" s="80">
        <v>30049099</v>
      </c>
      <c r="F316" s="81" t="s">
        <v>3170</v>
      </c>
      <c r="G316" s="82" t="s">
        <v>3187</v>
      </c>
      <c r="H316" s="82" t="s">
        <v>3836</v>
      </c>
      <c r="I316" s="79" t="s">
        <v>2663</v>
      </c>
      <c r="J316" s="83">
        <v>240.93</v>
      </c>
      <c r="K316" s="83">
        <v>183.56571428571428</v>
      </c>
      <c r="L316" s="83">
        <v>183.56571428571428</v>
      </c>
      <c r="M316" s="84">
        <v>146.85257142857142</v>
      </c>
      <c r="N316" s="59">
        <f t="shared" si="4"/>
        <v>0.39047619047619053</v>
      </c>
      <c r="O316" s="85" t="s">
        <v>768</v>
      </c>
      <c r="P316" s="86" t="s">
        <v>2791</v>
      </c>
      <c r="Q316" s="87" t="s">
        <v>3208</v>
      </c>
      <c r="R316" s="87">
        <v>15</v>
      </c>
      <c r="S316" s="88">
        <v>16.062000000000001</v>
      </c>
      <c r="T316" s="88">
        <v>12.237714285714285</v>
      </c>
      <c r="U316" s="88">
        <v>9.7901714285714281</v>
      </c>
      <c r="V316" s="87" t="s">
        <v>3061</v>
      </c>
      <c r="W316" s="87" t="s">
        <v>3114</v>
      </c>
      <c r="X316" s="90" t="s">
        <v>3477</v>
      </c>
      <c r="Y316" s="89"/>
      <c r="Z316" s="89">
        <v>4</v>
      </c>
      <c r="AA316" s="89" t="s">
        <v>3207</v>
      </c>
      <c r="AB316" s="89"/>
    </row>
    <row r="317" spans="1:28" s="31" customFormat="1" ht="60" customHeight="1" x14ac:dyDescent="0.2">
      <c r="A317" s="76">
        <v>316</v>
      </c>
      <c r="B317" s="77">
        <v>50002392</v>
      </c>
      <c r="C317" s="78" t="s">
        <v>881</v>
      </c>
      <c r="D317" s="79">
        <v>0.05</v>
      </c>
      <c r="E317" s="80">
        <v>30049079</v>
      </c>
      <c r="F317" s="81" t="s">
        <v>882</v>
      </c>
      <c r="G317" s="82" t="s">
        <v>883</v>
      </c>
      <c r="H317" s="82" t="s">
        <v>3740</v>
      </c>
      <c r="I317" s="79" t="s">
        <v>2666</v>
      </c>
      <c r="J317" s="83">
        <v>104.05</v>
      </c>
      <c r="K317" s="83">
        <v>79.276190476190479</v>
      </c>
      <c r="L317" s="83">
        <v>79.276190476190479</v>
      </c>
      <c r="M317" s="84">
        <v>72.069264069264065</v>
      </c>
      <c r="N317" s="59">
        <f t="shared" si="4"/>
        <v>0.30735930735930739</v>
      </c>
      <c r="O317" s="85" t="s">
        <v>768</v>
      </c>
      <c r="P317" s="86" t="s">
        <v>2731</v>
      </c>
      <c r="Q317" s="87" t="s">
        <v>3208</v>
      </c>
      <c r="R317" s="87">
        <v>10</v>
      </c>
      <c r="S317" s="88">
        <v>10.404999999999999</v>
      </c>
      <c r="T317" s="88">
        <v>7.9276190476190482</v>
      </c>
      <c r="U317" s="88">
        <v>7.2069264069264065</v>
      </c>
      <c r="V317" s="87" t="s">
        <v>3061</v>
      </c>
      <c r="W317" s="87" t="s">
        <v>3100</v>
      </c>
      <c r="X317" s="90" t="s">
        <v>3477</v>
      </c>
      <c r="Y317" s="89" t="s">
        <v>3455</v>
      </c>
      <c r="Z317" s="89">
        <v>6</v>
      </c>
      <c r="AA317" s="89" t="s">
        <v>3207</v>
      </c>
      <c r="AB317" s="89"/>
    </row>
    <row r="318" spans="1:28" s="31" customFormat="1" ht="60" customHeight="1" x14ac:dyDescent="0.2">
      <c r="A318" s="76">
        <v>317</v>
      </c>
      <c r="B318" s="77">
        <v>50003095</v>
      </c>
      <c r="C318" s="78" t="s">
        <v>884</v>
      </c>
      <c r="D318" s="79">
        <v>0.05</v>
      </c>
      <c r="E318" s="80">
        <v>30049079</v>
      </c>
      <c r="F318" s="81" t="s">
        <v>885</v>
      </c>
      <c r="G318" s="82" t="s">
        <v>886</v>
      </c>
      <c r="H318" s="82" t="s">
        <v>3837</v>
      </c>
      <c r="I318" s="79" t="s">
        <v>2666</v>
      </c>
      <c r="J318" s="83">
        <v>71.239999999999995</v>
      </c>
      <c r="K318" s="83">
        <v>54.278095238095226</v>
      </c>
      <c r="L318" s="83">
        <v>54.278095238095226</v>
      </c>
      <c r="M318" s="84">
        <v>49.343722943722923</v>
      </c>
      <c r="N318" s="59">
        <f t="shared" si="4"/>
        <v>0.30735930735930761</v>
      </c>
      <c r="O318" s="85" t="s">
        <v>768</v>
      </c>
      <c r="P318" s="86" t="s">
        <v>2791</v>
      </c>
      <c r="Q318" s="87" t="s">
        <v>3208</v>
      </c>
      <c r="R318" s="87">
        <v>10</v>
      </c>
      <c r="S318" s="88">
        <v>7.1239999999999997</v>
      </c>
      <c r="T318" s="88">
        <v>5.4278095238095228</v>
      </c>
      <c r="U318" s="88">
        <v>4.9343722943722925</v>
      </c>
      <c r="V318" s="87" t="s">
        <v>3061</v>
      </c>
      <c r="W318" s="87" t="s">
        <v>3100</v>
      </c>
      <c r="X318" s="90" t="s">
        <v>3477</v>
      </c>
      <c r="Y318" s="89" t="s">
        <v>3455</v>
      </c>
      <c r="Z318" s="89">
        <v>3</v>
      </c>
      <c r="AA318" s="89" t="s">
        <v>3207</v>
      </c>
      <c r="AB318" s="89"/>
    </row>
    <row r="319" spans="1:28" s="31" customFormat="1" ht="60" customHeight="1" x14ac:dyDescent="0.2">
      <c r="A319" s="76">
        <v>318</v>
      </c>
      <c r="B319" s="77">
        <v>50003301</v>
      </c>
      <c r="C319" s="78" t="s">
        <v>887</v>
      </c>
      <c r="D319" s="79">
        <v>0.05</v>
      </c>
      <c r="E319" s="80">
        <v>30049079</v>
      </c>
      <c r="F319" s="81" t="s">
        <v>888</v>
      </c>
      <c r="G319" s="82" t="s">
        <v>889</v>
      </c>
      <c r="H319" s="82" t="s">
        <v>3741</v>
      </c>
      <c r="I319" s="79" t="s">
        <v>2666</v>
      </c>
      <c r="J319" s="83">
        <v>141.56</v>
      </c>
      <c r="K319" s="83">
        <v>107.85523809523809</v>
      </c>
      <c r="L319" s="83">
        <v>107.85523809523809</v>
      </c>
      <c r="M319" s="84">
        <v>98.050216450216439</v>
      </c>
      <c r="N319" s="59">
        <f t="shared" si="4"/>
        <v>0.30735930735930744</v>
      </c>
      <c r="O319" s="85" t="s">
        <v>768</v>
      </c>
      <c r="P319" s="86" t="s">
        <v>123</v>
      </c>
      <c r="Q319" s="87" t="s">
        <v>3208</v>
      </c>
      <c r="R319" s="87">
        <v>10</v>
      </c>
      <c r="S319" s="88">
        <v>14.156000000000001</v>
      </c>
      <c r="T319" s="88">
        <v>10.785523809523809</v>
      </c>
      <c r="U319" s="88">
        <v>9.8050216450216432</v>
      </c>
      <c r="V319" s="87" t="s">
        <v>3061</v>
      </c>
      <c r="W319" s="87" t="s">
        <v>3100</v>
      </c>
      <c r="X319" s="90" t="s">
        <v>3477</v>
      </c>
      <c r="Y319" s="89" t="s">
        <v>3455</v>
      </c>
      <c r="Z319" s="89">
        <v>3</v>
      </c>
      <c r="AA319" s="89" t="s">
        <v>3207</v>
      </c>
      <c r="AB319" s="89"/>
    </row>
    <row r="320" spans="1:28" s="31" customFormat="1" ht="60" customHeight="1" x14ac:dyDescent="0.2">
      <c r="A320" s="76">
        <v>319</v>
      </c>
      <c r="B320" s="77">
        <v>50004491</v>
      </c>
      <c r="C320" s="78" t="s">
        <v>890</v>
      </c>
      <c r="D320" s="79">
        <v>0.05</v>
      </c>
      <c r="E320" s="80">
        <v>30049079</v>
      </c>
      <c r="F320" s="81" t="s">
        <v>891</v>
      </c>
      <c r="G320" s="82" t="s">
        <v>892</v>
      </c>
      <c r="H320" s="82" t="s">
        <v>3838</v>
      </c>
      <c r="I320" s="79" t="s">
        <v>2666</v>
      </c>
      <c r="J320" s="83">
        <v>133.66999999999999</v>
      </c>
      <c r="K320" s="83">
        <v>101.84380952380951</v>
      </c>
      <c r="L320" s="83">
        <v>101.84380952380951</v>
      </c>
      <c r="M320" s="84">
        <v>92.585281385281377</v>
      </c>
      <c r="N320" s="59">
        <f t="shared" si="4"/>
        <v>0.30735930735930733</v>
      </c>
      <c r="O320" s="85" t="s">
        <v>768</v>
      </c>
      <c r="P320" s="86" t="s">
        <v>2691</v>
      </c>
      <c r="Q320" s="87" t="s">
        <v>3208</v>
      </c>
      <c r="R320" s="87">
        <v>10</v>
      </c>
      <c r="S320" s="88">
        <v>13.366999999999999</v>
      </c>
      <c r="T320" s="88">
        <v>10.184380952380952</v>
      </c>
      <c r="U320" s="88">
        <v>9.2585281385281384</v>
      </c>
      <c r="V320" s="87" t="s">
        <v>3061</v>
      </c>
      <c r="W320" s="87" t="s">
        <v>3100</v>
      </c>
      <c r="X320" s="90" t="s">
        <v>3477</v>
      </c>
      <c r="Y320" s="89"/>
      <c r="Z320" s="89">
        <v>3</v>
      </c>
      <c r="AA320" s="89" t="s">
        <v>3207</v>
      </c>
      <c r="AB320" s="89"/>
    </row>
    <row r="321" spans="1:28" s="31" customFormat="1" ht="60" customHeight="1" x14ac:dyDescent="0.2">
      <c r="A321" s="76">
        <v>320</v>
      </c>
      <c r="B321" s="77">
        <v>50005175</v>
      </c>
      <c r="C321" s="78" t="s">
        <v>3356</v>
      </c>
      <c r="D321" s="79">
        <v>0.05</v>
      </c>
      <c r="E321" s="80">
        <v>30049079</v>
      </c>
      <c r="F321" s="81" t="s">
        <v>3373</v>
      </c>
      <c r="G321" s="82" t="s">
        <v>3417</v>
      </c>
      <c r="H321" s="82" t="s">
        <v>3400</v>
      </c>
      <c r="I321" s="79" t="s">
        <v>2666</v>
      </c>
      <c r="J321" s="83">
        <v>148.57</v>
      </c>
      <c r="K321" s="83">
        <v>113.19619047619048</v>
      </c>
      <c r="L321" s="83">
        <v>103.7631746031746</v>
      </c>
      <c r="M321" s="84">
        <v>94.330158730158729</v>
      </c>
      <c r="N321" s="59">
        <f t="shared" si="4"/>
        <v>0.36507936507936506</v>
      </c>
      <c r="O321" s="85" t="s">
        <v>768</v>
      </c>
      <c r="P321" s="86" t="s">
        <v>2876</v>
      </c>
      <c r="Q321" s="87" t="s">
        <v>3208</v>
      </c>
      <c r="R321" s="87">
        <v>10</v>
      </c>
      <c r="S321" s="88">
        <v>14.856999999999999</v>
      </c>
      <c r="T321" s="88">
        <v>10.376317460317461</v>
      </c>
      <c r="U321" s="88">
        <v>9.4330158730158722</v>
      </c>
      <c r="V321" s="87" t="s">
        <v>3061</v>
      </c>
      <c r="W321" s="87" t="s">
        <v>3100</v>
      </c>
      <c r="X321" s="90" t="s">
        <v>3477</v>
      </c>
      <c r="Y321" s="89"/>
      <c r="Z321" s="89">
        <v>3</v>
      </c>
      <c r="AA321" s="89" t="s">
        <v>3207</v>
      </c>
      <c r="AB321" s="89"/>
    </row>
    <row r="322" spans="1:28" s="31" customFormat="1" ht="60" customHeight="1" x14ac:dyDescent="0.2">
      <c r="A322" s="76">
        <v>321</v>
      </c>
      <c r="B322" s="77">
        <v>50005177</v>
      </c>
      <c r="C322" s="78" t="s">
        <v>3406</v>
      </c>
      <c r="D322" s="79">
        <v>0.05</v>
      </c>
      <c r="E322" s="80">
        <v>30049079</v>
      </c>
      <c r="F322" s="81" t="s">
        <v>3409</v>
      </c>
      <c r="G322" s="82" t="s">
        <v>3418</v>
      </c>
      <c r="H322" s="82" t="s">
        <v>3419</v>
      </c>
      <c r="I322" s="79" t="s">
        <v>2666</v>
      </c>
      <c r="J322" s="83">
        <v>110.61</v>
      </c>
      <c r="K322" s="83">
        <v>84.27428571428571</v>
      </c>
      <c r="L322" s="83">
        <v>77.251428571428576</v>
      </c>
      <c r="M322" s="84">
        <v>70.228571428571442</v>
      </c>
      <c r="N322" s="59">
        <f t="shared" ref="N322:N385" si="5">(J322-M322)/J322</f>
        <v>0.36507936507936495</v>
      </c>
      <c r="O322" s="85" t="s">
        <v>768</v>
      </c>
      <c r="P322" s="86" t="s">
        <v>48</v>
      </c>
      <c r="Q322" s="87" t="s">
        <v>3208</v>
      </c>
      <c r="R322" s="87">
        <v>10</v>
      </c>
      <c r="S322" s="88">
        <v>11.061</v>
      </c>
      <c r="T322" s="88">
        <v>7.725142857142858</v>
      </c>
      <c r="U322" s="88">
        <v>7.022857142857144</v>
      </c>
      <c r="V322" s="87" t="s">
        <v>3061</v>
      </c>
      <c r="W322" s="87" t="s">
        <v>3100</v>
      </c>
      <c r="X322" s="90" t="s">
        <v>3477</v>
      </c>
      <c r="Y322" s="89"/>
      <c r="Z322" s="89">
        <v>3</v>
      </c>
      <c r="AA322" s="89" t="s">
        <v>3207</v>
      </c>
      <c r="AB322" s="89"/>
    </row>
    <row r="323" spans="1:28" s="31" customFormat="1" ht="60" customHeight="1" x14ac:dyDescent="0.2">
      <c r="A323" s="76">
        <v>322</v>
      </c>
      <c r="B323" s="77">
        <v>50004276</v>
      </c>
      <c r="C323" s="78" t="s">
        <v>893</v>
      </c>
      <c r="D323" s="79">
        <v>0.05</v>
      </c>
      <c r="E323" s="80">
        <v>30049079</v>
      </c>
      <c r="F323" s="81" t="s">
        <v>894</v>
      </c>
      <c r="G323" s="82" t="s">
        <v>895</v>
      </c>
      <c r="H323" s="82" t="s">
        <v>3839</v>
      </c>
      <c r="I323" s="79" t="s">
        <v>2666</v>
      </c>
      <c r="J323" s="83">
        <v>117.18</v>
      </c>
      <c r="K323" s="83">
        <v>89.28</v>
      </c>
      <c r="L323" s="83">
        <v>89.28</v>
      </c>
      <c r="M323" s="84">
        <v>81.163636363636357</v>
      </c>
      <c r="N323" s="59">
        <f t="shared" si="5"/>
        <v>0.30735930735930744</v>
      </c>
      <c r="O323" s="85" t="s">
        <v>768</v>
      </c>
      <c r="P323" s="86" t="s">
        <v>305</v>
      </c>
      <c r="Q323" s="87" t="s">
        <v>3208</v>
      </c>
      <c r="R323" s="87">
        <v>10</v>
      </c>
      <c r="S323" s="88">
        <v>11.718</v>
      </c>
      <c r="T323" s="88">
        <v>8.9280000000000008</v>
      </c>
      <c r="U323" s="88">
        <v>8.1163636363636353</v>
      </c>
      <c r="V323" s="87" t="s">
        <v>3061</v>
      </c>
      <c r="W323" s="87" t="s">
        <v>3100</v>
      </c>
      <c r="X323" s="90" t="s">
        <v>3477</v>
      </c>
      <c r="Y323" s="89"/>
      <c r="Z323" s="89">
        <v>3</v>
      </c>
      <c r="AA323" s="89" t="s">
        <v>3207</v>
      </c>
      <c r="AB323" s="89"/>
    </row>
    <row r="324" spans="1:28" s="31" customFormat="1" ht="60" customHeight="1" x14ac:dyDescent="0.2">
      <c r="A324" s="76">
        <v>323</v>
      </c>
      <c r="B324" s="77">
        <v>50004275</v>
      </c>
      <c r="C324" s="78" t="s">
        <v>896</v>
      </c>
      <c r="D324" s="79">
        <v>0.05</v>
      </c>
      <c r="E324" s="80">
        <v>30049079</v>
      </c>
      <c r="F324" s="81" t="s">
        <v>897</v>
      </c>
      <c r="G324" s="82" t="s">
        <v>898</v>
      </c>
      <c r="H324" s="82" t="s">
        <v>3840</v>
      </c>
      <c r="I324" s="79" t="s">
        <v>2666</v>
      </c>
      <c r="J324" s="83">
        <v>151.88999999999999</v>
      </c>
      <c r="K324" s="83">
        <v>115.72571428571428</v>
      </c>
      <c r="L324" s="83">
        <v>115.72571428571428</v>
      </c>
      <c r="M324" s="84">
        <v>105.20519480519484</v>
      </c>
      <c r="N324" s="59">
        <f t="shared" si="5"/>
        <v>0.30735930735930711</v>
      </c>
      <c r="O324" s="85" t="s">
        <v>768</v>
      </c>
      <c r="P324" s="86" t="s">
        <v>305</v>
      </c>
      <c r="Q324" s="87" t="s">
        <v>3208</v>
      </c>
      <c r="R324" s="87">
        <v>10</v>
      </c>
      <c r="S324" s="88">
        <v>15.188999999999998</v>
      </c>
      <c r="T324" s="88">
        <v>11.572571428571427</v>
      </c>
      <c r="U324" s="88">
        <v>10.520519480519484</v>
      </c>
      <c r="V324" s="87" t="s">
        <v>3061</v>
      </c>
      <c r="W324" s="87" t="s">
        <v>3100</v>
      </c>
      <c r="X324" s="90" t="s">
        <v>3477</v>
      </c>
      <c r="Y324" s="89"/>
      <c r="Z324" s="89">
        <v>3</v>
      </c>
      <c r="AA324" s="89" t="s">
        <v>3207</v>
      </c>
      <c r="AB324" s="89"/>
    </row>
    <row r="325" spans="1:28" s="31" customFormat="1" ht="60" customHeight="1" x14ac:dyDescent="0.2">
      <c r="A325" s="76">
        <v>324</v>
      </c>
      <c r="B325" s="77">
        <v>50004918</v>
      </c>
      <c r="C325" s="78" t="s">
        <v>4221</v>
      </c>
      <c r="D325" s="79">
        <v>0.05</v>
      </c>
      <c r="E325" s="80">
        <v>30049099</v>
      </c>
      <c r="F325" s="81" t="s">
        <v>4233</v>
      </c>
      <c r="G325" s="82" t="s">
        <v>909</v>
      </c>
      <c r="H325" s="82" t="s">
        <v>910</v>
      </c>
      <c r="I325" s="79" t="s">
        <v>2670</v>
      </c>
      <c r="J325" s="83">
        <v>98.43</v>
      </c>
      <c r="K325" s="83">
        <v>74.994285714285724</v>
      </c>
      <c r="L325" s="83">
        <v>74.994285714285724</v>
      </c>
      <c r="M325" s="84">
        <v>67.494857142857157</v>
      </c>
      <c r="N325" s="59">
        <f t="shared" si="5"/>
        <v>0.31428571428571417</v>
      </c>
      <c r="O325" s="85" t="s">
        <v>768</v>
      </c>
      <c r="P325" s="86" t="s">
        <v>4246</v>
      </c>
      <c r="Q325" s="87" t="s">
        <v>3208</v>
      </c>
      <c r="R325" s="87">
        <v>7</v>
      </c>
      <c r="S325" s="88">
        <v>14.061428571428573</v>
      </c>
      <c r="T325" s="88">
        <v>10.713469387755103</v>
      </c>
      <c r="U325" s="88">
        <v>9.6421224489795936</v>
      </c>
      <c r="V325" s="87" t="s">
        <v>3061</v>
      </c>
      <c r="W325" s="87" t="s">
        <v>3107</v>
      </c>
      <c r="X325" s="90" t="s">
        <v>3477</v>
      </c>
      <c r="Y325" s="89"/>
      <c r="Z325" s="89"/>
      <c r="AA325" s="89"/>
      <c r="AB325" s="89"/>
    </row>
    <row r="326" spans="1:28" s="31" customFormat="1" ht="60" customHeight="1" x14ac:dyDescent="0.2">
      <c r="A326" s="76">
        <v>325</v>
      </c>
      <c r="B326" s="77">
        <v>50005321</v>
      </c>
      <c r="C326" s="78" t="s">
        <v>4222</v>
      </c>
      <c r="D326" s="79">
        <v>0.05</v>
      </c>
      <c r="E326" s="80">
        <v>30049099</v>
      </c>
      <c r="F326" s="81" t="s">
        <v>4234</v>
      </c>
      <c r="G326" s="82" t="s">
        <v>4249</v>
      </c>
      <c r="H326" s="82" t="s">
        <v>4256</v>
      </c>
      <c r="I326" s="79" t="s">
        <v>2670</v>
      </c>
      <c r="J326" s="83">
        <v>157.5</v>
      </c>
      <c r="K326" s="83">
        <v>120</v>
      </c>
      <c r="L326" s="83">
        <v>120</v>
      </c>
      <c r="M326" s="84">
        <v>108</v>
      </c>
      <c r="N326" s="59">
        <f t="shared" si="5"/>
        <v>0.31428571428571428</v>
      </c>
      <c r="O326" s="85" t="s">
        <v>768</v>
      </c>
      <c r="P326" s="86" t="s">
        <v>4246</v>
      </c>
      <c r="Q326" s="87" t="s">
        <v>3208</v>
      </c>
      <c r="R326" s="87">
        <v>7</v>
      </c>
      <c r="S326" s="88">
        <v>22.5</v>
      </c>
      <c r="T326" s="88">
        <v>17.142857142857142</v>
      </c>
      <c r="U326" s="88">
        <v>15.428571428571429</v>
      </c>
      <c r="V326" s="87" t="s">
        <v>3061</v>
      </c>
      <c r="W326" s="87" t="s">
        <v>3107</v>
      </c>
      <c r="X326" s="90" t="s">
        <v>3477</v>
      </c>
      <c r="Y326" s="89"/>
      <c r="Z326" s="89"/>
      <c r="AA326" s="89"/>
      <c r="AB326" s="89"/>
    </row>
    <row r="327" spans="1:28" s="31" customFormat="1" ht="60" customHeight="1" x14ac:dyDescent="0.2">
      <c r="A327" s="76">
        <v>326</v>
      </c>
      <c r="B327" s="77">
        <v>50000568</v>
      </c>
      <c r="C327" s="78" t="s">
        <v>899</v>
      </c>
      <c r="D327" s="79">
        <v>0.05</v>
      </c>
      <c r="E327" s="80">
        <v>30049099</v>
      </c>
      <c r="F327" s="81" t="s">
        <v>900</v>
      </c>
      <c r="G327" s="82" t="s">
        <v>901</v>
      </c>
      <c r="H327" s="82" t="s">
        <v>902</v>
      </c>
      <c r="I327" s="79" t="s">
        <v>2666</v>
      </c>
      <c r="J327" s="83">
        <v>67.709999999999994</v>
      </c>
      <c r="K327" s="83">
        <v>51.588571428571427</v>
      </c>
      <c r="L327" s="83">
        <v>51.588571428571427</v>
      </c>
      <c r="M327" s="84">
        <v>46.429714285714283</v>
      </c>
      <c r="N327" s="59">
        <f t="shared" si="5"/>
        <v>0.31428571428571428</v>
      </c>
      <c r="O327" s="85" t="s">
        <v>768</v>
      </c>
      <c r="P327" s="86" t="s">
        <v>37</v>
      </c>
      <c r="Q327" s="87" t="s">
        <v>3208</v>
      </c>
      <c r="R327" s="87">
        <v>10</v>
      </c>
      <c r="S327" s="88">
        <v>6.770999999999999</v>
      </c>
      <c r="T327" s="88">
        <v>5.1588571428571424</v>
      </c>
      <c r="U327" s="88">
        <v>4.6429714285714283</v>
      </c>
      <c r="V327" s="87" t="s">
        <v>3061</v>
      </c>
      <c r="W327" s="87" t="s">
        <v>3107</v>
      </c>
      <c r="X327" s="90" t="s">
        <v>3477</v>
      </c>
      <c r="Y327" s="89" t="s">
        <v>3455</v>
      </c>
      <c r="Z327" s="89">
        <v>6</v>
      </c>
      <c r="AA327" s="89" t="s">
        <v>3207</v>
      </c>
      <c r="AB327" s="89"/>
    </row>
    <row r="328" spans="1:28" s="31" customFormat="1" ht="60" customHeight="1" x14ac:dyDescent="0.2">
      <c r="A328" s="76">
        <v>327</v>
      </c>
      <c r="B328" s="77">
        <v>50000325</v>
      </c>
      <c r="C328" s="78" t="s">
        <v>903</v>
      </c>
      <c r="D328" s="79">
        <v>0.05</v>
      </c>
      <c r="E328" s="80">
        <v>30049099</v>
      </c>
      <c r="F328" s="81" t="s">
        <v>904</v>
      </c>
      <c r="G328" s="82" t="s">
        <v>905</v>
      </c>
      <c r="H328" s="82" t="s">
        <v>906</v>
      </c>
      <c r="I328" s="79" t="s">
        <v>2666</v>
      </c>
      <c r="J328" s="83">
        <v>122</v>
      </c>
      <c r="K328" s="83">
        <v>92.952380952380949</v>
      </c>
      <c r="L328" s="83">
        <v>92.952380952380949</v>
      </c>
      <c r="M328" s="84">
        <v>83.657142857142858</v>
      </c>
      <c r="N328" s="59">
        <f t="shared" si="5"/>
        <v>0.31428571428571428</v>
      </c>
      <c r="O328" s="85" t="s">
        <v>768</v>
      </c>
      <c r="P328" s="86" t="s">
        <v>37</v>
      </c>
      <c r="Q328" s="87" t="s">
        <v>3208</v>
      </c>
      <c r="R328" s="87">
        <v>10</v>
      </c>
      <c r="S328" s="88">
        <v>12.2</v>
      </c>
      <c r="T328" s="88">
        <v>9.2952380952380942</v>
      </c>
      <c r="U328" s="88">
        <v>8.3657142857142865</v>
      </c>
      <c r="V328" s="87" t="s">
        <v>3061</v>
      </c>
      <c r="W328" s="87" t="s">
        <v>3107</v>
      </c>
      <c r="X328" s="90" t="s">
        <v>3477</v>
      </c>
      <c r="Y328" s="89" t="s">
        <v>3455</v>
      </c>
      <c r="Z328" s="89">
        <v>6</v>
      </c>
      <c r="AA328" s="89" t="s">
        <v>3207</v>
      </c>
      <c r="AB328" s="89"/>
    </row>
    <row r="329" spans="1:28" s="31" customFormat="1" ht="60" customHeight="1" x14ac:dyDescent="0.2">
      <c r="A329" s="76">
        <v>328</v>
      </c>
      <c r="B329" s="77">
        <v>50000090</v>
      </c>
      <c r="C329" s="78" t="s">
        <v>907</v>
      </c>
      <c r="D329" s="79">
        <v>0.05</v>
      </c>
      <c r="E329" s="80">
        <v>30049099</v>
      </c>
      <c r="F329" s="81" t="s">
        <v>908</v>
      </c>
      <c r="G329" s="82" t="s">
        <v>909</v>
      </c>
      <c r="H329" s="82" t="s">
        <v>910</v>
      </c>
      <c r="I329" s="79" t="s">
        <v>2666</v>
      </c>
      <c r="J329" s="83">
        <v>150.93</v>
      </c>
      <c r="K329" s="83">
        <v>114.99428571428571</v>
      </c>
      <c r="L329" s="83">
        <v>114.99428571428571</v>
      </c>
      <c r="M329" s="84">
        <v>103.49485714285714</v>
      </c>
      <c r="N329" s="59">
        <f t="shared" si="5"/>
        <v>0.31428571428571433</v>
      </c>
      <c r="O329" s="85" t="s">
        <v>768</v>
      </c>
      <c r="P329" s="86" t="s">
        <v>3152</v>
      </c>
      <c r="Q329" s="87" t="s">
        <v>3208</v>
      </c>
      <c r="R329" s="87">
        <v>10</v>
      </c>
      <c r="S329" s="88">
        <v>15.093</v>
      </c>
      <c r="T329" s="88">
        <v>11.49942857142857</v>
      </c>
      <c r="U329" s="88">
        <v>10.349485714285715</v>
      </c>
      <c r="V329" s="87" t="s">
        <v>3061</v>
      </c>
      <c r="W329" s="87" t="s">
        <v>3107</v>
      </c>
      <c r="X329" s="90" t="s">
        <v>3477</v>
      </c>
      <c r="Y329" s="89" t="s">
        <v>3455</v>
      </c>
      <c r="Z329" s="89">
        <v>6</v>
      </c>
      <c r="AA329" s="89" t="s">
        <v>3207</v>
      </c>
      <c r="AB329" s="89"/>
    </row>
    <row r="330" spans="1:28" s="31" customFormat="1" ht="60" customHeight="1" x14ac:dyDescent="0.2">
      <c r="A330" s="76">
        <v>329</v>
      </c>
      <c r="B330" s="77">
        <v>50004946</v>
      </c>
      <c r="C330" s="78" t="s">
        <v>911</v>
      </c>
      <c r="D330" s="79">
        <v>0.05</v>
      </c>
      <c r="E330" s="80">
        <v>30049084</v>
      </c>
      <c r="F330" s="81" t="s">
        <v>912</v>
      </c>
      <c r="G330" s="82" t="s">
        <v>913</v>
      </c>
      <c r="H330" s="82" t="s">
        <v>3841</v>
      </c>
      <c r="I330" s="79" t="s">
        <v>2693</v>
      </c>
      <c r="J330" s="83">
        <v>252.64</v>
      </c>
      <c r="K330" s="83">
        <v>192.48761904761903</v>
      </c>
      <c r="L330" s="83">
        <v>192.48761904761903</v>
      </c>
      <c r="M330" s="84">
        <v>174.98874458874457</v>
      </c>
      <c r="N330" s="59">
        <f t="shared" si="5"/>
        <v>0.30735930735930739</v>
      </c>
      <c r="O330" s="85" t="s">
        <v>768</v>
      </c>
      <c r="P330" s="86" t="s">
        <v>123</v>
      </c>
      <c r="Q330" s="87" t="s">
        <v>3208</v>
      </c>
      <c r="R330" s="87">
        <v>10</v>
      </c>
      <c r="S330" s="88">
        <v>25.263999999999999</v>
      </c>
      <c r="T330" s="88">
        <v>19.248761904761903</v>
      </c>
      <c r="U330" s="88">
        <v>17.498874458874457</v>
      </c>
      <c r="V330" s="87" t="s">
        <v>3061</v>
      </c>
      <c r="W330" s="87" t="s">
        <v>3105</v>
      </c>
      <c r="X330" s="90" t="s">
        <v>3478</v>
      </c>
      <c r="Y330" s="89"/>
      <c r="Z330" s="89">
        <v>3</v>
      </c>
      <c r="AA330" s="89"/>
      <c r="AB330" s="89" t="s">
        <v>4613</v>
      </c>
    </row>
    <row r="331" spans="1:28" s="31" customFormat="1" ht="60" customHeight="1" x14ac:dyDescent="0.2">
      <c r="A331" s="76">
        <v>330</v>
      </c>
      <c r="B331" s="77">
        <v>50004937</v>
      </c>
      <c r="C331" s="78" t="s">
        <v>914</v>
      </c>
      <c r="D331" s="79">
        <v>0.05</v>
      </c>
      <c r="E331" s="80">
        <v>30049084</v>
      </c>
      <c r="F331" s="81" t="s">
        <v>915</v>
      </c>
      <c r="G331" s="82" t="s">
        <v>916</v>
      </c>
      <c r="H331" s="82" t="s">
        <v>3842</v>
      </c>
      <c r="I331" s="79" t="s">
        <v>2693</v>
      </c>
      <c r="J331" s="83">
        <v>482.81</v>
      </c>
      <c r="K331" s="83">
        <v>367.85523809523812</v>
      </c>
      <c r="L331" s="83">
        <v>367.85523809523812</v>
      </c>
      <c r="M331" s="84">
        <v>334.41385281385288</v>
      </c>
      <c r="N331" s="59">
        <f t="shared" si="5"/>
        <v>0.30735930735930722</v>
      </c>
      <c r="O331" s="85" t="s">
        <v>768</v>
      </c>
      <c r="P331" s="86" t="s">
        <v>123</v>
      </c>
      <c r="Q331" s="87" t="s">
        <v>3208</v>
      </c>
      <c r="R331" s="87">
        <v>10</v>
      </c>
      <c r="S331" s="88">
        <v>48.280999999999999</v>
      </c>
      <c r="T331" s="88">
        <v>36.785523809523809</v>
      </c>
      <c r="U331" s="88">
        <v>33.441385281385287</v>
      </c>
      <c r="V331" s="87" t="s">
        <v>3061</v>
      </c>
      <c r="W331" s="87" t="s">
        <v>3105</v>
      </c>
      <c r="X331" s="90" t="s">
        <v>3478</v>
      </c>
      <c r="Y331" s="89"/>
      <c r="Z331" s="89">
        <v>3</v>
      </c>
      <c r="AA331" s="89"/>
      <c r="AB331" s="89"/>
    </row>
    <row r="332" spans="1:28" s="31" customFormat="1" ht="60" customHeight="1" x14ac:dyDescent="0.2">
      <c r="A332" s="76">
        <v>331</v>
      </c>
      <c r="B332" s="77">
        <v>50002991</v>
      </c>
      <c r="C332" s="78" t="s">
        <v>917</v>
      </c>
      <c r="D332" s="79">
        <v>0.05</v>
      </c>
      <c r="E332" s="80">
        <v>21069099</v>
      </c>
      <c r="F332" s="81" t="s">
        <v>918</v>
      </c>
      <c r="G332" s="82" t="s">
        <v>919</v>
      </c>
      <c r="H332" s="82" t="s">
        <v>3843</v>
      </c>
      <c r="I332" s="79" t="s">
        <v>2687</v>
      </c>
      <c r="J332" s="83">
        <v>139</v>
      </c>
      <c r="K332" s="83">
        <v>105.9047619047619</v>
      </c>
      <c r="L332" s="83">
        <v>97.079365079365076</v>
      </c>
      <c r="M332" s="84">
        <v>88.253968253968239</v>
      </c>
      <c r="N332" s="59">
        <f t="shared" si="5"/>
        <v>0.36507936507936517</v>
      </c>
      <c r="O332" s="85" t="s">
        <v>768</v>
      </c>
      <c r="P332" s="86" t="s">
        <v>2781</v>
      </c>
      <c r="Q332" s="87" t="s">
        <v>3208</v>
      </c>
      <c r="R332" s="87">
        <v>1</v>
      </c>
      <c r="S332" s="88">
        <v>139</v>
      </c>
      <c r="T332" s="88">
        <v>97.079365079365076</v>
      </c>
      <c r="U332" s="88">
        <v>88.253968253968239</v>
      </c>
      <c r="V332" s="87" t="s">
        <v>3062</v>
      </c>
      <c r="W332" s="87" t="s">
        <v>3105</v>
      </c>
      <c r="X332" s="90" t="s">
        <v>3480</v>
      </c>
      <c r="Y332" s="89"/>
      <c r="Z332" s="89">
        <v>1</v>
      </c>
      <c r="AA332" s="89"/>
      <c r="AB332" s="89"/>
    </row>
    <row r="333" spans="1:28" s="31" customFormat="1" ht="60" customHeight="1" x14ac:dyDescent="0.2">
      <c r="A333" s="76">
        <v>332</v>
      </c>
      <c r="B333" s="77">
        <v>50005429</v>
      </c>
      <c r="C333" s="78" t="s">
        <v>920</v>
      </c>
      <c r="D333" s="79">
        <v>0.05</v>
      </c>
      <c r="E333" s="80">
        <v>30049099</v>
      </c>
      <c r="F333" s="81" t="s">
        <v>921</v>
      </c>
      <c r="G333" s="82" t="s">
        <v>922</v>
      </c>
      <c r="H333" s="82" t="s">
        <v>323</v>
      </c>
      <c r="I333" s="79" t="s">
        <v>2696</v>
      </c>
      <c r="J333" s="83">
        <v>177.72</v>
      </c>
      <c r="K333" s="83">
        <v>135.40571428571428</v>
      </c>
      <c r="L333" s="83">
        <v>135.40571428571428</v>
      </c>
      <c r="M333" s="84">
        <v>108.32457142857142</v>
      </c>
      <c r="N333" s="59">
        <f t="shared" si="5"/>
        <v>0.39047619047619053</v>
      </c>
      <c r="O333" s="85" t="s">
        <v>923</v>
      </c>
      <c r="P333" s="86" t="s">
        <v>4739</v>
      </c>
      <c r="Q333" s="87" t="s">
        <v>3208</v>
      </c>
      <c r="R333" s="87">
        <v>15</v>
      </c>
      <c r="S333" s="88">
        <v>11.848000000000001</v>
      </c>
      <c r="T333" s="88">
        <v>9.0270476190476181</v>
      </c>
      <c r="U333" s="88">
        <v>7.2216380952380943</v>
      </c>
      <c r="V333" s="87" t="s">
        <v>3061</v>
      </c>
      <c r="W333" s="87" t="s">
        <v>3103</v>
      </c>
      <c r="X333" s="90" t="s">
        <v>3478</v>
      </c>
      <c r="Y333" s="89"/>
      <c r="Z333" s="89">
        <v>3</v>
      </c>
      <c r="AA333" s="89"/>
      <c r="AB333" s="89"/>
    </row>
    <row r="334" spans="1:28" s="31" customFormat="1" ht="60" customHeight="1" x14ac:dyDescent="0.2">
      <c r="A334" s="76">
        <v>333</v>
      </c>
      <c r="B334" s="77">
        <v>50003832</v>
      </c>
      <c r="C334" s="78" t="s">
        <v>924</v>
      </c>
      <c r="D334" s="79">
        <v>0.05</v>
      </c>
      <c r="E334" s="80">
        <v>30049099</v>
      </c>
      <c r="F334" s="81" t="s">
        <v>925</v>
      </c>
      <c r="G334" s="82" t="s">
        <v>926</v>
      </c>
      <c r="H334" s="82" t="s">
        <v>246</v>
      </c>
      <c r="I334" s="79" t="s">
        <v>2666</v>
      </c>
      <c r="J334" s="83">
        <v>224.59</v>
      </c>
      <c r="K334" s="83">
        <v>171.11619047619047</v>
      </c>
      <c r="L334" s="83">
        <v>171.11619047619047</v>
      </c>
      <c r="M334" s="84">
        <v>136.88610773333329</v>
      </c>
      <c r="N334" s="59">
        <f t="shared" si="5"/>
        <v>0.39050666666666689</v>
      </c>
      <c r="O334" s="85" t="s">
        <v>923</v>
      </c>
      <c r="P334" s="86" t="s">
        <v>48</v>
      </c>
      <c r="Q334" s="87" t="s">
        <v>3208</v>
      </c>
      <c r="R334" s="87">
        <v>10</v>
      </c>
      <c r="S334" s="88">
        <v>22.459</v>
      </c>
      <c r="T334" s="88">
        <v>17.111619047619048</v>
      </c>
      <c r="U334" s="88">
        <v>13.688610773333329</v>
      </c>
      <c r="V334" s="87" t="s">
        <v>3061</v>
      </c>
      <c r="W334" s="87" t="s">
        <v>3103</v>
      </c>
      <c r="X334" s="90" t="s">
        <v>3477</v>
      </c>
      <c r="Y334" s="89"/>
      <c r="Z334" s="89">
        <v>3</v>
      </c>
      <c r="AA334" s="89"/>
      <c r="AB334" s="89"/>
    </row>
    <row r="335" spans="1:28" s="31" customFormat="1" ht="60" customHeight="1" x14ac:dyDescent="0.2">
      <c r="A335" s="76">
        <v>334</v>
      </c>
      <c r="B335" s="77">
        <v>50006245</v>
      </c>
      <c r="C335" s="78" t="s">
        <v>4786</v>
      </c>
      <c r="D335" s="79">
        <v>0.05</v>
      </c>
      <c r="E335" s="80">
        <v>30049099</v>
      </c>
      <c r="F335" s="81" t="s">
        <v>4805</v>
      </c>
      <c r="G335" s="82" t="s">
        <v>4834</v>
      </c>
      <c r="H335" s="82" t="s">
        <v>4835</v>
      </c>
      <c r="I335" s="79" t="s">
        <v>2666</v>
      </c>
      <c r="J335" s="83">
        <v>400</v>
      </c>
      <c r="K335" s="83">
        <v>304.76190476190476</v>
      </c>
      <c r="L335" s="83">
        <v>304.76190476190476</v>
      </c>
      <c r="M335" s="84">
        <v>243.80952380952382</v>
      </c>
      <c r="N335" s="59">
        <f t="shared" si="5"/>
        <v>0.39047619047619042</v>
      </c>
      <c r="O335" s="85" t="s">
        <v>923</v>
      </c>
      <c r="P335" s="86" t="s">
        <v>3258</v>
      </c>
      <c r="Q335" s="87" t="s">
        <v>3208</v>
      </c>
      <c r="R335" s="87">
        <v>10</v>
      </c>
      <c r="S335" s="88">
        <v>40</v>
      </c>
      <c r="T335" s="88">
        <v>30.476190476190474</v>
      </c>
      <c r="U335" s="88">
        <v>24.380952380952383</v>
      </c>
      <c r="V335" s="87" t="s">
        <v>3061</v>
      </c>
      <c r="W335" s="87" t="s">
        <v>3103</v>
      </c>
      <c r="X335" s="90" t="s">
        <v>3477</v>
      </c>
      <c r="Y335" s="89"/>
      <c r="Z335" s="89"/>
      <c r="AA335" s="89"/>
      <c r="AB335" s="89" t="s">
        <v>3299</v>
      </c>
    </row>
    <row r="336" spans="1:28" s="31" customFormat="1" ht="60" customHeight="1" x14ac:dyDescent="0.2">
      <c r="A336" s="76">
        <v>335</v>
      </c>
      <c r="B336" s="77">
        <v>50005428</v>
      </c>
      <c r="C336" s="78" t="s">
        <v>927</v>
      </c>
      <c r="D336" s="79">
        <v>0.05</v>
      </c>
      <c r="E336" s="80">
        <v>30049099</v>
      </c>
      <c r="F336" s="81" t="s">
        <v>928</v>
      </c>
      <c r="G336" s="82" t="s">
        <v>929</v>
      </c>
      <c r="H336" s="82" t="s">
        <v>3844</v>
      </c>
      <c r="I336" s="79" t="s">
        <v>2663</v>
      </c>
      <c r="J336" s="83">
        <v>284.92</v>
      </c>
      <c r="K336" s="83">
        <v>217.08190476190475</v>
      </c>
      <c r="L336" s="83">
        <v>217.08190476190475</v>
      </c>
      <c r="M336" s="84">
        <v>173.66552380952379</v>
      </c>
      <c r="N336" s="59">
        <f t="shared" si="5"/>
        <v>0.39047619047619059</v>
      </c>
      <c r="O336" s="85" t="s">
        <v>923</v>
      </c>
      <c r="P336" s="86" t="s">
        <v>2792</v>
      </c>
      <c r="Q336" s="87" t="s">
        <v>3208</v>
      </c>
      <c r="R336" s="87">
        <v>15</v>
      </c>
      <c r="S336" s="88">
        <v>18.994666666666667</v>
      </c>
      <c r="T336" s="88">
        <v>14.472126984126984</v>
      </c>
      <c r="U336" s="88">
        <v>11.577701587301586</v>
      </c>
      <c r="V336" s="87" t="s">
        <v>3061</v>
      </c>
      <c r="W336" s="87" t="s">
        <v>3103</v>
      </c>
      <c r="X336" s="90" t="s">
        <v>3477</v>
      </c>
      <c r="Y336" s="89"/>
      <c r="Z336" s="89">
        <v>3</v>
      </c>
      <c r="AA336" s="89"/>
      <c r="AB336" s="89"/>
    </row>
    <row r="337" spans="1:28" s="31" customFormat="1" ht="60" customHeight="1" x14ac:dyDescent="0.2">
      <c r="A337" s="76">
        <v>336</v>
      </c>
      <c r="B337" s="77">
        <v>50005703</v>
      </c>
      <c r="C337" s="78" t="s">
        <v>3625</v>
      </c>
      <c r="D337" s="79">
        <v>0.05</v>
      </c>
      <c r="E337" s="80">
        <v>30043200</v>
      </c>
      <c r="F337" s="81" t="s">
        <v>3640</v>
      </c>
      <c r="G337" s="82" t="s">
        <v>3661</v>
      </c>
      <c r="H337" s="82" t="s">
        <v>3668</v>
      </c>
      <c r="I337" s="79" t="s">
        <v>2717</v>
      </c>
      <c r="J337" s="83">
        <v>47.71</v>
      </c>
      <c r="K337" s="83">
        <v>36.350476190476186</v>
      </c>
      <c r="L337" s="83">
        <v>29.080380952380949</v>
      </c>
      <c r="M337" s="84">
        <v>29.080380952380949</v>
      </c>
      <c r="N337" s="59">
        <f t="shared" si="5"/>
        <v>0.39047619047619053</v>
      </c>
      <c r="O337" s="85" t="s">
        <v>923</v>
      </c>
      <c r="P337" s="86" t="s">
        <v>2882</v>
      </c>
      <c r="Q337" s="87" t="s">
        <v>3208</v>
      </c>
      <c r="R337" s="87">
        <v>1</v>
      </c>
      <c r="S337" s="88">
        <v>47.71</v>
      </c>
      <c r="T337" s="88">
        <v>29.080380952380949</v>
      </c>
      <c r="U337" s="88">
        <v>29.080380952380949</v>
      </c>
      <c r="V337" s="87" t="s">
        <v>3067</v>
      </c>
      <c r="W337" s="87" t="s">
        <v>3103</v>
      </c>
      <c r="X337" s="90" t="s">
        <v>3495</v>
      </c>
      <c r="Y337" s="89"/>
      <c r="Z337" s="89"/>
      <c r="AA337" s="89"/>
      <c r="AB337" s="89"/>
    </row>
    <row r="338" spans="1:28" s="31" customFormat="1" ht="60" customHeight="1" x14ac:dyDescent="0.2">
      <c r="A338" s="76">
        <v>337</v>
      </c>
      <c r="B338" s="77">
        <v>50005704</v>
      </c>
      <c r="C338" s="78" t="s">
        <v>4094</v>
      </c>
      <c r="D338" s="79">
        <v>0.05</v>
      </c>
      <c r="E338" s="80">
        <v>30043200</v>
      </c>
      <c r="F338" s="81" t="s">
        <v>4142</v>
      </c>
      <c r="G338" s="82" t="s">
        <v>4143</v>
      </c>
      <c r="H338" s="82" t="s">
        <v>4144</v>
      </c>
      <c r="I338" s="79" t="s">
        <v>2717</v>
      </c>
      <c r="J338" s="83">
        <v>67.459999999999994</v>
      </c>
      <c r="K338" s="83">
        <v>51.39809523809523</v>
      </c>
      <c r="L338" s="83">
        <v>41.118476190476187</v>
      </c>
      <c r="M338" s="84">
        <v>41.118476190476194</v>
      </c>
      <c r="N338" s="59">
        <f t="shared" si="5"/>
        <v>0.39047619047619037</v>
      </c>
      <c r="O338" s="85" t="s">
        <v>923</v>
      </c>
      <c r="P338" s="86" t="s">
        <v>2882</v>
      </c>
      <c r="Q338" s="87" t="s">
        <v>3208</v>
      </c>
      <c r="R338" s="87">
        <v>1</v>
      </c>
      <c r="S338" s="88">
        <v>67.459999999999994</v>
      </c>
      <c r="T338" s="88">
        <v>41.118476190476187</v>
      </c>
      <c r="U338" s="88">
        <v>41.118476190476194</v>
      </c>
      <c r="V338" s="87" t="s">
        <v>3067</v>
      </c>
      <c r="W338" s="87" t="s">
        <v>3103</v>
      </c>
      <c r="X338" s="90" t="s">
        <v>3495</v>
      </c>
      <c r="Y338" s="89"/>
      <c r="Z338" s="89"/>
      <c r="AA338" s="89"/>
      <c r="AB338" s="89"/>
    </row>
    <row r="339" spans="1:28" s="31" customFormat="1" ht="60" customHeight="1" x14ac:dyDescent="0.2">
      <c r="A339" s="76">
        <v>338</v>
      </c>
      <c r="B339" s="77">
        <v>50003838</v>
      </c>
      <c r="C339" s="78" t="s">
        <v>930</v>
      </c>
      <c r="D339" s="79">
        <v>0.05</v>
      </c>
      <c r="E339" s="80">
        <v>30049099</v>
      </c>
      <c r="F339" s="81" t="s">
        <v>931</v>
      </c>
      <c r="G339" s="82" t="s">
        <v>932</v>
      </c>
      <c r="H339" s="82" t="s">
        <v>3845</v>
      </c>
      <c r="I339" s="79" t="s">
        <v>2793</v>
      </c>
      <c r="J339" s="83">
        <v>134.91</v>
      </c>
      <c r="K339" s="83">
        <v>102.78857142857143</v>
      </c>
      <c r="L339" s="83">
        <v>102.78857142857143</v>
      </c>
      <c r="M339" s="84">
        <v>82.230857142857147</v>
      </c>
      <c r="N339" s="59">
        <f t="shared" si="5"/>
        <v>0.39047619047619042</v>
      </c>
      <c r="O339" s="85" t="s">
        <v>923</v>
      </c>
      <c r="P339" s="86" t="s">
        <v>2794</v>
      </c>
      <c r="Q339" s="87" t="s">
        <v>3207</v>
      </c>
      <c r="R339" s="87">
        <v>30</v>
      </c>
      <c r="S339" s="88">
        <v>4.4969999999999999</v>
      </c>
      <c r="T339" s="88">
        <v>3.4262857142857142</v>
      </c>
      <c r="U339" s="88">
        <v>2.7410285714285716</v>
      </c>
      <c r="V339" s="87" t="s">
        <v>3062</v>
      </c>
      <c r="W339" s="87" t="s">
        <v>3103</v>
      </c>
      <c r="X339" s="90" t="s">
        <v>3478</v>
      </c>
      <c r="Y339" s="89"/>
      <c r="Z339" s="89">
        <v>1</v>
      </c>
      <c r="AA339" s="89"/>
      <c r="AB339" s="89"/>
    </row>
    <row r="340" spans="1:28" s="31" customFormat="1" ht="60" customHeight="1" x14ac:dyDescent="0.2">
      <c r="A340" s="76">
        <v>339</v>
      </c>
      <c r="B340" s="77">
        <v>50003839</v>
      </c>
      <c r="C340" s="78" t="s">
        <v>933</v>
      </c>
      <c r="D340" s="79">
        <v>0.05</v>
      </c>
      <c r="E340" s="80">
        <v>30049094</v>
      </c>
      <c r="F340" s="81" t="s">
        <v>934</v>
      </c>
      <c r="G340" s="82" t="s">
        <v>935</v>
      </c>
      <c r="H340" s="82" t="s">
        <v>3846</v>
      </c>
      <c r="I340" s="79" t="s">
        <v>2793</v>
      </c>
      <c r="J340" s="83">
        <v>178.81</v>
      </c>
      <c r="K340" s="83">
        <v>136.23619047619047</v>
      </c>
      <c r="L340" s="83">
        <v>136.23619047619047</v>
      </c>
      <c r="M340" s="84">
        <v>108.98895238095238</v>
      </c>
      <c r="N340" s="59">
        <f t="shared" si="5"/>
        <v>0.39047619047619048</v>
      </c>
      <c r="O340" s="85" t="s">
        <v>923</v>
      </c>
      <c r="P340" s="86" t="s">
        <v>2794</v>
      </c>
      <c r="Q340" s="87" t="s">
        <v>3207</v>
      </c>
      <c r="R340" s="87">
        <v>30</v>
      </c>
      <c r="S340" s="88">
        <v>5.9603333333333337</v>
      </c>
      <c r="T340" s="88">
        <v>4.541206349206349</v>
      </c>
      <c r="U340" s="88">
        <v>3.6329650793650794</v>
      </c>
      <c r="V340" s="87" t="s">
        <v>3062</v>
      </c>
      <c r="W340" s="87" t="s">
        <v>3103</v>
      </c>
      <c r="X340" s="90" t="s">
        <v>3478</v>
      </c>
      <c r="Y340" s="89"/>
      <c r="Z340" s="89">
        <v>1</v>
      </c>
      <c r="AA340" s="89"/>
      <c r="AB340" s="89"/>
    </row>
    <row r="341" spans="1:28" s="31" customFormat="1" ht="60" customHeight="1" x14ac:dyDescent="0.2">
      <c r="A341" s="76">
        <v>340</v>
      </c>
      <c r="B341" s="77">
        <v>50003844</v>
      </c>
      <c r="C341" s="78" t="s">
        <v>936</v>
      </c>
      <c r="D341" s="79">
        <v>0.05</v>
      </c>
      <c r="E341" s="80">
        <v>30049094</v>
      </c>
      <c r="F341" s="81" t="s">
        <v>937</v>
      </c>
      <c r="G341" s="82" t="s">
        <v>935</v>
      </c>
      <c r="H341" s="82" t="s">
        <v>3846</v>
      </c>
      <c r="I341" s="79" t="s">
        <v>2795</v>
      </c>
      <c r="J341" s="83">
        <v>379.24</v>
      </c>
      <c r="K341" s="83">
        <v>288.94476190476189</v>
      </c>
      <c r="L341" s="83">
        <v>288.94476190476189</v>
      </c>
      <c r="M341" s="84">
        <v>231.15580952380949</v>
      </c>
      <c r="N341" s="59">
        <f t="shared" si="5"/>
        <v>0.39047619047619059</v>
      </c>
      <c r="O341" s="85" t="s">
        <v>923</v>
      </c>
      <c r="P341" s="86" t="s">
        <v>4188</v>
      </c>
      <c r="Q341" s="87" t="s">
        <v>3207</v>
      </c>
      <c r="R341" s="87">
        <v>1</v>
      </c>
      <c r="S341" s="88">
        <v>379.24</v>
      </c>
      <c r="T341" s="88">
        <v>288.94476190476189</v>
      </c>
      <c r="U341" s="88">
        <v>231.15580952380949</v>
      </c>
      <c r="V341" s="87" t="s">
        <v>3068</v>
      </c>
      <c r="W341" s="87" t="s">
        <v>3103</v>
      </c>
      <c r="X341" s="90" t="s">
        <v>3496</v>
      </c>
      <c r="Y341" s="89"/>
      <c r="Z341" s="89">
        <v>1</v>
      </c>
      <c r="AA341" s="89"/>
      <c r="AB341" s="89"/>
    </row>
    <row r="342" spans="1:28" s="31" customFormat="1" ht="60" customHeight="1" x14ac:dyDescent="0.2">
      <c r="A342" s="76">
        <v>341</v>
      </c>
      <c r="B342" s="77">
        <v>50003840</v>
      </c>
      <c r="C342" s="78" t="s">
        <v>938</v>
      </c>
      <c r="D342" s="79">
        <v>0.05</v>
      </c>
      <c r="E342" s="80">
        <v>30049094</v>
      </c>
      <c r="F342" s="81" t="s">
        <v>939</v>
      </c>
      <c r="G342" s="82" t="s">
        <v>940</v>
      </c>
      <c r="H342" s="82" t="s">
        <v>3847</v>
      </c>
      <c r="I342" s="79" t="s">
        <v>2795</v>
      </c>
      <c r="J342" s="83">
        <v>412.49</v>
      </c>
      <c r="K342" s="83">
        <v>314.27809523809526</v>
      </c>
      <c r="L342" s="83">
        <v>314.27809523809526</v>
      </c>
      <c r="M342" s="84">
        <v>251.42247619047623</v>
      </c>
      <c r="N342" s="59">
        <f t="shared" si="5"/>
        <v>0.39047619047619037</v>
      </c>
      <c r="O342" s="85" t="s">
        <v>923</v>
      </c>
      <c r="P342" s="86" t="s">
        <v>4188</v>
      </c>
      <c r="Q342" s="87" t="s">
        <v>3207</v>
      </c>
      <c r="R342" s="87">
        <v>1</v>
      </c>
      <c r="S342" s="88">
        <v>412.49</v>
      </c>
      <c r="T342" s="88">
        <v>314.27809523809526</v>
      </c>
      <c r="U342" s="88">
        <v>251.42247619047623</v>
      </c>
      <c r="V342" s="87" t="s">
        <v>3068</v>
      </c>
      <c r="W342" s="87" t="s">
        <v>3103</v>
      </c>
      <c r="X342" s="90" t="s">
        <v>3496</v>
      </c>
      <c r="Y342" s="89"/>
      <c r="Z342" s="89">
        <v>1</v>
      </c>
      <c r="AA342" s="89"/>
      <c r="AB342" s="89"/>
    </row>
    <row r="343" spans="1:28" s="31" customFormat="1" ht="60" customHeight="1" x14ac:dyDescent="0.2">
      <c r="A343" s="76">
        <v>342</v>
      </c>
      <c r="B343" s="77">
        <v>50003842</v>
      </c>
      <c r="C343" s="78" t="s">
        <v>941</v>
      </c>
      <c r="D343" s="79">
        <v>0.05</v>
      </c>
      <c r="E343" s="80">
        <v>30049094</v>
      </c>
      <c r="F343" s="81" t="s">
        <v>942</v>
      </c>
      <c r="G343" s="82" t="s">
        <v>940</v>
      </c>
      <c r="H343" s="82" t="s">
        <v>3847</v>
      </c>
      <c r="I343" s="79" t="s">
        <v>2793</v>
      </c>
      <c r="J343" s="83">
        <v>222.69</v>
      </c>
      <c r="K343" s="83">
        <v>169.66857142857143</v>
      </c>
      <c r="L343" s="83">
        <v>169.66857142857143</v>
      </c>
      <c r="M343" s="84">
        <v>135.73485714285715</v>
      </c>
      <c r="N343" s="59">
        <f t="shared" si="5"/>
        <v>0.39047619047619042</v>
      </c>
      <c r="O343" s="85" t="s">
        <v>923</v>
      </c>
      <c r="P343" s="86" t="s">
        <v>2794</v>
      </c>
      <c r="Q343" s="87" t="s">
        <v>3207</v>
      </c>
      <c r="R343" s="87">
        <v>30</v>
      </c>
      <c r="S343" s="88">
        <v>7.423</v>
      </c>
      <c r="T343" s="88">
        <v>5.6556190476190471</v>
      </c>
      <c r="U343" s="88">
        <v>4.5244952380952386</v>
      </c>
      <c r="V343" s="87" t="s">
        <v>3062</v>
      </c>
      <c r="W343" s="87" t="s">
        <v>3103</v>
      </c>
      <c r="X343" s="90" t="s">
        <v>3478</v>
      </c>
      <c r="Y343" s="89"/>
      <c r="Z343" s="89">
        <v>1</v>
      </c>
      <c r="AA343" s="89"/>
      <c r="AB343" s="89"/>
    </row>
    <row r="344" spans="1:28" s="31" customFormat="1" ht="60" customHeight="1" x14ac:dyDescent="0.2">
      <c r="A344" s="76">
        <v>343</v>
      </c>
      <c r="B344" s="77">
        <v>50003843</v>
      </c>
      <c r="C344" s="78" t="s">
        <v>943</v>
      </c>
      <c r="D344" s="79">
        <v>0.05</v>
      </c>
      <c r="E344" s="80">
        <v>30049099</v>
      </c>
      <c r="F344" s="81" t="s">
        <v>944</v>
      </c>
      <c r="G344" s="82" t="s">
        <v>945</v>
      </c>
      <c r="H344" s="82" t="s">
        <v>3848</v>
      </c>
      <c r="I344" s="79" t="s">
        <v>2793</v>
      </c>
      <c r="J344" s="83">
        <v>323.95999999999998</v>
      </c>
      <c r="K344" s="83">
        <v>246.82666666666665</v>
      </c>
      <c r="L344" s="83">
        <v>246.82666666666665</v>
      </c>
      <c r="M344" s="84">
        <v>197.46133333333341</v>
      </c>
      <c r="N344" s="59">
        <f t="shared" si="5"/>
        <v>0.3904761904761902</v>
      </c>
      <c r="O344" s="85" t="s">
        <v>923</v>
      </c>
      <c r="P344" s="86" t="s">
        <v>2794</v>
      </c>
      <c r="Q344" s="87" t="s">
        <v>3208</v>
      </c>
      <c r="R344" s="87">
        <v>30</v>
      </c>
      <c r="S344" s="88">
        <v>10.798666666666666</v>
      </c>
      <c r="T344" s="88">
        <v>8.227555555555556</v>
      </c>
      <c r="U344" s="88">
        <v>6.5820444444444473</v>
      </c>
      <c r="V344" s="87" t="s">
        <v>3062</v>
      </c>
      <c r="W344" s="87" t="s">
        <v>3103</v>
      </c>
      <c r="X344" s="90" t="s">
        <v>3478</v>
      </c>
      <c r="Y344" s="89"/>
      <c r="Z344" s="89">
        <v>1</v>
      </c>
      <c r="AA344" s="89"/>
      <c r="AB344" s="89"/>
    </row>
    <row r="345" spans="1:28" s="31" customFormat="1" ht="60" customHeight="1" x14ac:dyDescent="0.2">
      <c r="A345" s="76">
        <v>344</v>
      </c>
      <c r="B345" s="77">
        <v>50004108</v>
      </c>
      <c r="C345" s="78" t="s">
        <v>946</v>
      </c>
      <c r="D345" s="79">
        <v>0.05</v>
      </c>
      <c r="E345" s="80">
        <v>30049094</v>
      </c>
      <c r="F345" s="81" t="s">
        <v>947</v>
      </c>
      <c r="G345" s="82" t="s">
        <v>948</v>
      </c>
      <c r="H345" s="82" t="s">
        <v>3845</v>
      </c>
      <c r="I345" s="79" t="s">
        <v>2793</v>
      </c>
      <c r="J345" s="83">
        <v>261.93</v>
      </c>
      <c r="K345" s="83">
        <v>199.56571428571428</v>
      </c>
      <c r="L345" s="83">
        <v>199.56571428571428</v>
      </c>
      <c r="M345" s="84">
        <v>159.65257142857143</v>
      </c>
      <c r="N345" s="59">
        <f t="shared" si="5"/>
        <v>0.39047619047619048</v>
      </c>
      <c r="O345" s="85" t="s">
        <v>923</v>
      </c>
      <c r="P345" s="86" t="s">
        <v>2794</v>
      </c>
      <c r="Q345" s="87" t="s">
        <v>3208</v>
      </c>
      <c r="R345" s="87">
        <v>30</v>
      </c>
      <c r="S345" s="88">
        <v>8.7309999999999999</v>
      </c>
      <c r="T345" s="88">
        <v>6.6521904761904755</v>
      </c>
      <c r="U345" s="88">
        <v>5.3217523809523808</v>
      </c>
      <c r="V345" s="87" t="s">
        <v>3062</v>
      </c>
      <c r="W345" s="87" t="s">
        <v>3103</v>
      </c>
      <c r="X345" s="90" t="s">
        <v>3478</v>
      </c>
      <c r="Y345" s="89"/>
      <c r="Z345" s="89">
        <v>1</v>
      </c>
      <c r="AA345" s="89"/>
      <c r="AB345" s="89"/>
    </row>
    <row r="346" spans="1:28" s="31" customFormat="1" ht="60" customHeight="1" x14ac:dyDescent="0.2">
      <c r="A346" s="76">
        <v>345</v>
      </c>
      <c r="B346" s="77">
        <v>50004109</v>
      </c>
      <c r="C346" s="78" t="s">
        <v>949</v>
      </c>
      <c r="D346" s="79">
        <v>0.05</v>
      </c>
      <c r="E346" s="80">
        <v>30049094</v>
      </c>
      <c r="F346" s="81" t="s">
        <v>950</v>
      </c>
      <c r="G346" s="82" t="s">
        <v>959</v>
      </c>
      <c r="H346" s="82" t="s">
        <v>3849</v>
      </c>
      <c r="I346" s="79" t="s">
        <v>2793</v>
      </c>
      <c r="J346" s="83">
        <v>478.05</v>
      </c>
      <c r="K346" s="83">
        <v>364.2285714285714</v>
      </c>
      <c r="L346" s="83">
        <v>364.2285714285714</v>
      </c>
      <c r="M346" s="84">
        <v>291.38285714285718</v>
      </c>
      <c r="N346" s="59">
        <f t="shared" si="5"/>
        <v>0.39047619047619042</v>
      </c>
      <c r="O346" s="85" t="s">
        <v>923</v>
      </c>
      <c r="P346" s="86" t="s">
        <v>2794</v>
      </c>
      <c r="Q346" s="87" t="s">
        <v>3208</v>
      </c>
      <c r="R346" s="87">
        <v>30</v>
      </c>
      <c r="S346" s="88">
        <v>15.935</v>
      </c>
      <c r="T346" s="88">
        <v>12.140952380952379</v>
      </c>
      <c r="U346" s="88">
        <v>9.7127619047619067</v>
      </c>
      <c r="V346" s="87" t="s">
        <v>3062</v>
      </c>
      <c r="W346" s="87" t="s">
        <v>3103</v>
      </c>
      <c r="X346" s="90" t="s">
        <v>3478</v>
      </c>
      <c r="Y346" s="89"/>
      <c r="Z346" s="89">
        <v>1</v>
      </c>
      <c r="AA346" s="89"/>
      <c r="AB346" s="89"/>
    </row>
    <row r="347" spans="1:28" s="31" customFormat="1" ht="60" customHeight="1" x14ac:dyDescent="0.2">
      <c r="A347" s="76">
        <v>346</v>
      </c>
      <c r="B347" s="77">
        <v>50004110</v>
      </c>
      <c r="C347" s="78" t="s">
        <v>951</v>
      </c>
      <c r="D347" s="79">
        <v>0.05</v>
      </c>
      <c r="E347" s="80">
        <v>30049094</v>
      </c>
      <c r="F347" s="81" t="s">
        <v>952</v>
      </c>
      <c r="G347" s="82" t="s">
        <v>953</v>
      </c>
      <c r="H347" s="82" t="s">
        <v>3850</v>
      </c>
      <c r="I347" s="79" t="s">
        <v>2793</v>
      </c>
      <c r="J347" s="83">
        <v>616.67999999999995</v>
      </c>
      <c r="K347" s="83">
        <v>469.85142857142853</v>
      </c>
      <c r="L347" s="83">
        <v>469.85142857142853</v>
      </c>
      <c r="M347" s="84">
        <v>375.88114285714278</v>
      </c>
      <c r="N347" s="59">
        <f t="shared" si="5"/>
        <v>0.39047619047619053</v>
      </c>
      <c r="O347" s="85" t="s">
        <v>923</v>
      </c>
      <c r="P347" s="86" t="s">
        <v>2794</v>
      </c>
      <c r="Q347" s="87" t="s">
        <v>3208</v>
      </c>
      <c r="R347" s="87">
        <v>30</v>
      </c>
      <c r="S347" s="88">
        <v>20.555999999999997</v>
      </c>
      <c r="T347" s="88">
        <v>15.661714285714284</v>
      </c>
      <c r="U347" s="88">
        <v>12.529371428571427</v>
      </c>
      <c r="V347" s="87" t="s">
        <v>3062</v>
      </c>
      <c r="W347" s="87" t="s">
        <v>3103</v>
      </c>
      <c r="X347" s="90" t="s">
        <v>3478</v>
      </c>
      <c r="Y347" s="89"/>
      <c r="Z347" s="89">
        <v>1</v>
      </c>
      <c r="AA347" s="89"/>
      <c r="AB347" s="89"/>
    </row>
    <row r="348" spans="1:28" s="31" customFormat="1" ht="60" customHeight="1" x14ac:dyDescent="0.2">
      <c r="A348" s="76">
        <v>347</v>
      </c>
      <c r="B348" s="77">
        <v>50004105</v>
      </c>
      <c r="C348" s="78" t="s">
        <v>954</v>
      </c>
      <c r="D348" s="79">
        <v>0.05</v>
      </c>
      <c r="E348" s="80">
        <v>30049094</v>
      </c>
      <c r="F348" s="81" t="s">
        <v>955</v>
      </c>
      <c r="G348" s="82" t="s">
        <v>956</v>
      </c>
      <c r="H348" s="82" t="s">
        <v>3851</v>
      </c>
      <c r="I348" s="79" t="s">
        <v>2796</v>
      </c>
      <c r="J348" s="83">
        <v>578.52</v>
      </c>
      <c r="K348" s="83">
        <v>440.77714285714285</v>
      </c>
      <c r="L348" s="83">
        <v>440.77714285714285</v>
      </c>
      <c r="M348" s="84">
        <v>352.62171428571429</v>
      </c>
      <c r="N348" s="59">
        <f t="shared" si="5"/>
        <v>0.39047619047619048</v>
      </c>
      <c r="O348" s="85" t="s">
        <v>923</v>
      </c>
      <c r="P348" s="86" t="s">
        <v>4188</v>
      </c>
      <c r="Q348" s="87" t="s">
        <v>3208</v>
      </c>
      <c r="R348" s="87">
        <v>1</v>
      </c>
      <c r="S348" s="88">
        <v>578.52</v>
      </c>
      <c r="T348" s="88">
        <v>440.77714285714285</v>
      </c>
      <c r="U348" s="88">
        <v>352.62171428571429</v>
      </c>
      <c r="V348" s="87" t="s">
        <v>3068</v>
      </c>
      <c r="W348" s="87" t="s">
        <v>3103</v>
      </c>
      <c r="X348" s="90" t="s">
        <v>3496</v>
      </c>
      <c r="Y348" s="89"/>
      <c r="Z348" s="89">
        <v>1</v>
      </c>
      <c r="AA348" s="89"/>
      <c r="AB348" s="89"/>
    </row>
    <row r="349" spans="1:28" s="31" customFormat="1" ht="60" customHeight="1" x14ac:dyDescent="0.2">
      <c r="A349" s="76">
        <v>348</v>
      </c>
      <c r="B349" s="77">
        <v>50004106</v>
      </c>
      <c r="C349" s="78" t="s">
        <v>957</v>
      </c>
      <c r="D349" s="79">
        <v>0.05</v>
      </c>
      <c r="E349" s="80">
        <v>30049094</v>
      </c>
      <c r="F349" s="81" t="s">
        <v>958</v>
      </c>
      <c r="G349" s="82" t="s">
        <v>959</v>
      </c>
      <c r="H349" s="82" t="s">
        <v>3849</v>
      </c>
      <c r="I349" s="79" t="s">
        <v>2795</v>
      </c>
      <c r="J349" s="83">
        <v>890.85</v>
      </c>
      <c r="K349" s="83">
        <v>678.74285714285713</v>
      </c>
      <c r="L349" s="83">
        <v>678.74285714285713</v>
      </c>
      <c r="M349" s="84">
        <v>542.99428571428575</v>
      </c>
      <c r="N349" s="59">
        <f t="shared" si="5"/>
        <v>0.39047619047619048</v>
      </c>
      <c r="O349" s="85" t="s">
        <v>923</v>
      </c>
      <c r="P349" s="86" t="s">
        <v>4188</v>
      </c>
      <c r="Q349" s="87" t="s">
        <v>3208</v>
      </c>
      <c r="R349" s="87">
        <v>1</v>
      </c>
      <c r="S349" s="88">
        <v>890.85</v>
      </c>
      <c r="T349" s="88">
        <v>678.74285714285713</v>
      </c>
      <c r="U349" s="88">
        <v>542.99428571428575</v>
      </c>
      <c r="V349" s="87" t="s">
        <v>3068</v>
      </c>
      <c r="W349" s="87" t="s">
        <v>3103</v>
      </c>
      <c r="X349" s="90" t="s">
        <v>3496</v>
      </c>
      <c r="Y349" s="89"/>
      <c r="Z349" s="89">
        <v>1</v>
      </c>
      <c r="AA349" s="89"/>
      <c r="AB349" s="89" t="s">
        <v>4613</v>
      </c>
    </row>
    <row r="350" spans="1:28" s="31" customFormat="1" ht="60" customHeight="1" x14ac:dyDescent="0.2">
      <c r="A350" s="76">
        <v>349</v>
      </c>
      <c r="B350" s="77">
        <v>50004919</v>
      </c>
      <c r="C350" s="78" t="s">
        <v>960</v>
      </c>
      <c r="D350" s="79">
        <v>0.05</v>
      </c>
      <c r="E350" s="80">
        <v>30049099</v>
      </c>
      <c r="F350" s="81" t="s">
        <v>961</v>
      </c>
      <c r="G350" s="82" t="s">
        <v>962</v>
      </c>
      <c r="H350" s="82" t="s">
        <v>3852</v>
      </c>
      <c r="I350" s="79" t="s">
        <v>2793</v>
      </c>
      <c r="J350" s="83">
        <v>479.83</v>
      </c>
      <c r="K350" s="83">
        <v>365.58476190476188</v>
      </c>
      <c r="L350" s="83">
        <v>365.58476190476188</v>
      </c>
      <c r="M350" s="84">
        <v>292.46780952380954</v>
      </c>
      <c r="N350" s="59">
        <f t="shared" si="5"/>
        <v>0.39047619047619042</v>
      </c>
      <c r="O350" s="85" t="s">
        <v>923</v>
      </c>
      <c r="P350" s="86" t="s">
        <v>53</v>
      </c>
      <c r="Q350" s="87" t="s">
        <v>3208</v>
      </c>
      <c r="R350" s="87">
        <v>30</v>
      </c>
      <c r="S350" s="88">
        <v>15.994333333333334</v>
      </c>
      <c r="T350" s="88">
        <v>12.186158730158729</v>
      </c>
      <c r="U350" s="88">
        <v>9.7489269841269852</v>
      </c>
      <c r="V350" s="87" t="s">
        <v>3063</v>
      </c>
      <c r="W350" s="87" t="s">
        <v>3103</v>
      </c>
      <c r="X350" s="90" t="s">
        <v>3478</v>
      </c>
      <c r="Y350" s="89"/>
      <c r="Z350" s="89">
        <v>1</v>
      </c>
      <c r="AA350" s="89"/>
      <c r="AB350" s="89"/>
    </row>
    <row r="351" spans="1:28" s="31" customFormat="1" ht="60" customHeight="1" x14ac:dyDescent="0.2">
      <c r="A351" s="76">
        <v>350</v>
      </c>
      <c r="B351" s="77">
        <v>50003833</v>
      </c>
      <c r="C351" s="78" t="s">
        <v>963</v>
      </c>
      <c r="D351" s="79">
        <v>0.05</v>
      </c>
      <c r="E351" s="80">
        <v>30043200</v>
      </c>
      <c r="F351" s="81" t="s">
        <v>964</v>
      </c>
      <c r="G351" s="82" t="s">
        <v>965</v>
      </c>
      <c r="H351" s="82" t="s">
        <v>4083</v>
      </c>
      <c r="I351" s="79" t="s">
        <v>2797</v>
      </c>
      <c r="J351" s="83">
        <v>534.28</v>
      </c>
      <c r="K351" s="83">
        <v>407.0704761904762</v>
      </c>
      <c r="L351" s="83">
        <v>407.0704761904762</v>
      </c>
      <c r="M351" s="84">
        <v>325.65638095238091</v>
      </c>
      <c r="N351" s="59">
        <f t="shared" si="5"/>
        <v>0.39047619047619053</v>
      </c>
      <c r="O351" s="85" t="s">
        <v>923</v>
      </c>
      <c r="P351" s="86" t="s">
        <v>2798</v>
      </c>
      <c r="Q351" s="87" t="s">
        <v>3208</v>
      </c>
      <c r="R351" s="87">
        <v>1</v>
      </c>
      <c r="S351" s="88">
        <v>534.28</v>
      </c>
      <c r="T351" s="88">
        <v>407.0704761904762</v>
      </c>
      <c r="U351" s="88">
        <v>325.65638095238091</v>
      </c>
      <c r="V351" s="87" t="s">
        <v>3062</v>
      </c>
      <c r="W351" s="87" t="s">
        <v>3103</v>
      </c>
      <c r="X351" s="90" t="s">
        <v>3485</v>
      </c>
      <c r="Y351" s="89"/>
      <c r="Z351" s="89">
        <v>1</v>
      </c>
      <c r="AA351" s="89"/>
      <c r="AB351" s="89"/>
    </row>
    <row r="352" spans="1:28" s="31" customFormat="1" ht="60" customHeight="1" x14ac:dyDescent="0.2">
      <c r="A352" s="76">
        <v>351</v>
      </c>
      <c r="B352" s="77">
        <v>50003830</v>
      </c>
      <c r="C352" s="78" t="s">
        <v>966</v>
      </c>
      <c r="D352" s="79">
        <v>0.05</v>
      </c>
      <c r="E352" s="80">
        <v>30043200</v>
      </c>
      <c r="F352" s="81" t="s">
        <v>967</v>
      </c>
      <c r="G352" s="82" t="s">
        <v>968</v>
      </c>
      <c r="H352" s="82" t="s">
        <v>3853</v>
      </c>
      <c r="I352" s="79" t="s">
        <v>2799</v>
      </c>
      <c r="J352" s="83">
        <v>499.11</v>
      </c>
      <c r="K352" s="83">
        <v>380.27428571428572</v>
      </c>
      <c r="L352" s="83">
        <v>380.27428571428572</v>
      </c>
      <c r="M352" s="84">
        <v>304.21942857142858</v>
      </c>
      <c r="N352" s="59">
        <f t="shared" si="5"/>
        <v>0.39047619047619048</v>
      </c>
      <c r="O352" s="85" t="s">
        <v>923</v>
      </c>
      <c r="P352" s="86" t="s">
        <v>2798</v>
      </c>
      <c r="Q352" s="87" t="s">
        <v>3208</v>
      </c>
      <c r="R352" s="87">
        <v>1</v>
      </c>
      <c r="S352" s="88">
        <v>499.11</v>
      </c>
      <c r="T352" s="88">
        <v>380.27428571428572</v>
      </c>
      <c r="U352" s="88">
        <v>304.21942857142858</v>
      </c>
      <c r="V352" s="87" t="s">
        <v>3062</v>
      </c>
      <c r="W352" s="87" t="s">
        <v>3103</v>
      </c>
      <c r="X352" s="90" t="s">
        <v>3485</v>
      </c>
      <c r="Y352" s="89"/>
      <c r="Z352" s="89">
        <v>1</v>
      </c>
      <c r="AA352" s="89"/>
      <c r="AB352" s="89"/>
    </row>
    <row r="353" spans="1:28" s="31" customFormat="1" ht="60" customHeight="1" x14ac:dyDescent="0.2">
      <c r="A353" s="76">
        <v>352</v>
      </c>
      <c r="B353" s="77">
        <v>50004273</v>
      </c>
      <c r="C353" s="78" t="s">
        <v>969</v>
      </c>
      <c r="D353" s="79">
        <v>0.05</v>
      </c>
      <c r="E353" s="80">
        <v>30049099</v>
      </c>
      <c r="F353" s="81" t="s">
        <v>970</v>
      </c>
      <c r="G353" s="82" t="s">
        <v>971</v>
      </c>
      <c r="H353" s="82" t="s">
        <v>3854</v>
      </c>
      <c r="I353" s="79" t="s">
        <v>2793</v>
      </c>
      <c r="J353" s="83">
        <v>391.34</v>
      </c>
      <c r="K353" s="83">
        <v>298.1638095238095</v>
      </c>
      <c r="L353" s="83">
        <v>298.1638095238095</v>
      </c>
      <c r="M353" s="84">
        <v>238.53104761904763</v>
      </c>
      <c r="N353" s="59">
        <f t="shared" si="5"/>
        <v>0.39047619047619042</v>
      </c>
      <c r="O353" s="85" t="s">
        <v>923</v>
      </c>
      <c r="P353" s="86" t="s">
        <v>53</v>
      </c>
      <c r="Q353" s="87" t="s">
        <v>3208</v>
      </c>
      <c r="R353" s="87">
        <v>30</v>
      </c>
      <c r="S353" s="88">
        <v>13.044666666666666</v>
      </c>
      <c r="T353" s="88">
        <v>9.9387936507936505</v>
      </c>
      <c r="U353" s="88">
        <v>7.9510349206349211</v>
      </c>
      <c r="V353" s="87" t="s">
        <v>3063</v>
      </c>
      <c r="W353" s="87" t="s">
        <v>3103</v>
      </c>
      <c r="X353" s="90" t="s">
        <v>3478</v>
      </c>
      <c r="Y353" s="89"/>
      <c r="Z353" s="89">
        <v>1</v>
      </c>
      <c r="AA353" s="89"/>
      <c r="AB353" s="89"/>
    </row>
    <row r="354" spans="1:28" s="31" customFormat="1" ht="60" customHeight="1" x14ac:dyDescent="0.2">
      <c r="A354" s="76">
        <v>353</v>
      </c>
      <c r="B354" s="77">
        <v>50004272</v>
      </c>
      <c r="C354" s="78" t="s">
        <v>4618</v>
      </c>
      <c r="D354" s="79">
        <v>0.05</v>
      </c>
      <c r="E354" s="80">
        <v>30049099</v>
      </c>
      <c r="F354" s="81" t="s">
        <v>4619</v>
      </c>
      <c r="G354" s="82" t="s">
        <v>4620</v>
      </c>
      <c r="H354" s="82" t="s">
        <v>4621</v>
      </c>
      <c r="I354" s="79" t="s">
        <v>2693</v>
      </c>
      <c r="J354" s="83">
        <v>300</v>
      </c>
      <c r="K354" s="83">
        <v>228.57142857142858</v>
      </c>
      <c r="L354" s="83">
        <v>228.57142857142858</v>
      </c>
      <c r="M354" s="84">
        <v>182.85714285714289</v>
      </c>
      <c r="N354" s="59">
        <f t="shared" si="5"/>
        <v>0.39047619047619037</v>
      </c>
      <c r="O354" s="85" t="s">
        <v>923</v>
      </c>
      <c r="P354" s="86" t="s">
        <v>4659</v>
      </c>
      <c r="Q354" s="87" t="s">
        <v>3208</v>
      </c>
      <c r="R354" s="87">
        <v>10</v>
      </c>
      <c r="S354" s="88">
        <v>30</v>
      </c>
      <c r="T354" s="88">
        <v>22.857142857142858</v>
      </c>
      <c r="U354" s="88">
        <v>18.285714285714288</v>
      </c>
      <c r="V354" s="87" t="s">
        <v>3061</v>
      </c>
      <c r="W354" s="87" t="s">
        <v>3103</v>
      </c>
      <c r="X354" s="90" t="s">
        <v>3478</v>
      </c>
      <c r="Y354" s="89"/>
      <c r="Z354" s="89"/>
      <c r="AA354" s="89"/>
      <c r="AB354" s="89"/>
    </row>
    <row r="355" spans="1:28" s="31" customFormat="1" ht="60" customHeight="1" x14ac:dyDescent="0.2">
      <c r="A355" s="76">
        <v>354</v>
      </c>
      <c r="B355" s="77">
        <v>50005705</v>
      </c>
      <c r="C355" s="78" t="s">
        <v>4095</v>
      </c>
      <c r="D355" s="79">
        <v>0.05</v>
      </c>
      <c r="E355" s="80">
        <v>30043200</v>
      </c>
      <c r="F355" s="81" t="s">
        <v>4107</v>
      </c>
      <c r="G355" s="82" t="s">
        <v>4133</v>
      </c>
      <c r="H355" s="82" t="s">
        <v>4134</v>
      </c>
      <c r="I355" s="79" t="s">
        <v>2717</v>
      </c>
      <c r="J355" s="83">
        <v>52.5</v>
      </c>
      <c r="K355" s="83">
        <v>40</v>
      </c>
      <c r="L355" s="83">
        <v>32</v>
      </c>
      <c r="M355" s="84">
        <v>32</v>
      </c>
      <c r="N355" s="59">
        <f t="shared" si="5"/>
        <v>0.39047619047619048</v>
      </c>
      <c r="O355" s="85" t="s">
        <v>923</v>
      </c>
      <c r="P355" s="86" t="s">
        <v>2882</v>
      </c>
      <c r="Q355" s="87" t="s">
        <v>3208</v>
      </c>
      <c r="R355" s="87">
        <v>1</v>
      </c>
      <c r="S355" s="88">
        <v>52.5</v>
      </c>
      <c r="T355" s="88">
        <v>32</v>
      </c>
      <c r="U355" s="88">
        <v>32</v>
      </c>
      <c r="V355" s="87" t="s">
        <v>3067</v>
      </c>
      <c r="W355" s="87" t="s">
        <v>3103</v>
      </c>
      <c r="X355" s="90" t="s">
        <v>3495</v>
      </c>
      <c r="Y355" s="89"/>
      <c r="Z355" s="89"/>
      <c r="AA355" s="89"/>
      <c r="AB355" s="89"/>
    </row>
    <row r="356" spans="1:28" s="31" customFormat="1" ht="60" customHeight="1" x14ac:dyDescent="0.2">
      <c r="A356" s="76">
        <v>355</v>
      </c>
      <c r="B356" s="77">
        <v>50004668</v>
      </c>
      <c r="C356" s="78" t="s">
        <v>974</v>
      </c>
      <c r="D356" s="79">
        <v>0.05</v>
      </c>
      <c r="E356" s="80">
        <v>30049039</v>
      </c>
      <c r="F356" s="81" t="s">
        <v>975</v>
      </c>
      <c r="G356" s="82" t="s">
        <v>976</v>
      </c>
      <c r="H356" s="82" t="s">
        <v>3663</v>
      </c>
      <c r="I356" s="79" t="s">
        <v>2663</v>
      </c>
      <c r="J356" s="83">
        <v>186.97</v>
      </c>
      <c r="K356" s="83">
        <v>142.45333333333332</v>
      </c>
      <c r="L356" s="83">
        <v>118.71111111111111</v>
      </c>
      <c r="M356" s="84">
        <v>94.968888888888898</v>
      </c>
      <c r="N356" s="59">
        <f t="shared" si="5"/>
        <v>0.49206349206349204</v>
      </c>
      <c r="O356" s="85" t="s">
        <v>923</v>
      </c>
      <c r="P356" s="86" t="s">
        <v>3653</v>
      </c>
      <c r="Q356" s="87" t="s">
        <v>3208</v>
      </c>
      <c r="R356" s="87">
        <v>15</v>
      </c>
      <c r="S356" s="88">
        <v>12.464666666666666</v>
      </c>
      <c r="T356" s="88">
        <v>7.9140740740740743</v>
      </c>
      <c r="U356" s="88">
        <v>6.3312592592592596</v>
      </c>
      <c r="V356" s="87" t="s">
        <v>3061</v>
      </c>
      <c r="W356" s="87" t="s">
        <v>3103</v>
      </c>
      <c r="X356" s="90" t="s">
        <v>3477</v>
      </c>
      <c r="Y356" s="89" t="s">
        <v>3455</v>
      </c>
      <c r="Z356" s="89">
        <v>6</v>
      </c>
      <c r="AA356" s="89"/>
      <c r="AB356" s="89"/>
    </row>
    <row r="357" spans="1:28" s="31" customFormat="1" ht="60" customHeight="1" x14ac:dyDescent="0.2">
      <c r="A357" s="76">
        <v>356</v>
      </c>
      <c r="B357" s="77">
        <v>50003982</v>
      </c>
      <c r="C357" s="78" t="s">
        <v>977</v>
      </c>
      <c r="D357" s="79">
        <v>0.05</v>
      </c>
      <c r="E357" s="80">
        <v>90192090</v>
      </c>
      <c r="F357" s="81" t="s">
        <v>978</v>
      </c>
      <c r="G357" s="82" t="s">
        <v>978</v>
      </c>
      <c r="H357" s="82" t="s">
        <v>85</v>
      </c>
      <c r="I357" s="79" t="s">
        <v>2800</v>
      </c>
      <c r="J357" s="83">
        <v>282.44</v>
      </c>
      <c r="K357" s="83">
        <v>215.19238095238097</v>
      </c>
      <c r="L357" s="83">
        <v>215.19238095238097</v>
      </c>
      <c r="M357" s="84">
        <v>172.15390476190481</v>
      </c>
      <c r="N357" s="59">
        <f t="shared" si="5"/>
        <v>0.39047619047619031</v>
      </c>
      <c r="O357" s="85" t="s">
        <v>923</v>
      </c>
      <c r="P357" s="86" t="s">
        <v>4862</v>
      </c>
      <c r="Q357" s="87" t="s">
        <v>3208</v>
      </c>
      <c r="R357" s="87">
        <v>1</v>
      </c>
      <c r="S357" s="88">
        <v>282.44</v>
      </c>
      <c r="T357" s="88">
        <v>215.19238095238097</v>
      </c>
      <c r="U357" s="88">
        <v>172.15390476190481</v>
      </c>
      <c r="V357" s="87" t="s">
        <v>3063</v>
      </c>
      <c r="W357" s="87" t="s">
        <v>3103</v>
      </c>
      <c r="X357" s="90" t="s">
        <v>2800</v>
      </c>
      <c r="Y357" s="89"/>
      <c r="Z357" s="89">
        <v>1</v>
      </c>
      <c r="AA357" s="89"/>
      <c r="AB357" s="89" t="s">
        <v>4613</v>
      </c>
    </row>
    <row r="358" spans="1:28" s="31" customFormat="1" ht="60" customHeight="1" x14ac:dyDescent="0.2">
      <c r="A358" s="76">
        <v>357</v>
      </c>
      <c r="B358" s="77">
        <v>50004265</v>
      </c>
      <c r="C358" s="78" t="s">
        <v>979</v>
      </c>
      <c r="D358" s="79">
        <v>0.05</v>
      </c>
      <c r="E358" s="80">
        <v>90192090</v>
      </c>
      <c r="F358" s="81" t="s">
        <v>980</v>
      </c>
      <c r="G358" s="82" t="s">
        <v>980</v>
      </c>
      <c r="H358" s="82" t="s">
        <v>85</v>
      </c>
      <c r="I358" s="79" t="s">
        <v>2800</v>
      </c>
      <c r="J358" s="83">
        <v>475</v>
      </c>
      <c r="K358" s="83">
        <v>361.90476190476193</v>
      </c>
      <c r="L358" s="83">
        <v>361.90476190476193</v>
      </c>
      <c r="M358" s="84">
        <v>289.52380952380952</v>
      </c>
      <c r="N358" s="59">
        <f t="shared" si="5"/>
        <v>0.39047619047619048</v>
      </c>
      <c r="O358" s="85" t="s">
        <v>923</v>
      </c>
      <c r="P358" s="86" t="s">
        <v>2801</v>
      </c>
      <c r="Q358" s="87" t="s">
        <v>3208</v>
      </c>
      <c r="R358" s="87">
        <v>1</v>
      </c>
      <c r="S358" s="88">
        <v>475</v>
      </c>
      <c r="T358" s="88">
        <v>361.90476190476193</v>
      </c>
      <c r="U358" s="88">
        <v>289.52380952380952</v>
      </c>
      <c r="V358" s="87" t="s">
        <v>3063</v>
      </c>
      <c r="W358" s="87" t="s">
        <v>3103</v>
      </c>
      <c r="X358" s="90" t="s">
        <v>2800</v>
      </c>
      <c r="Y358" s="89"/>
      <c r="Z358" s="89">
        <v>1</v>
      </c>
      <c r="AA358" s="89"/>
      <c r="AB358" s="89"/>
    </row>
    <row r="359" spans="1:28" s="31" customFormat="1" ht="60" customHeight="1" x14ac:dyDescent="0.2">
      <c r="A359" s="76">
        <v>358</v>
      </c>
      <c r="B359" s="77">
        <v>50003893</v>
      </c>
      <c r="C359" s="78" t="s">
        <v>981</v>
      </c>
      <c r="D359" s="79">
        <v>0.05</v>
      </c>
      <c r="E359" s="80">
        <v>30049049</v>
      </c>
      <c r="F359" s="81" t="s">
        <v>982</v>
      </c>
      <c r="G359" s="82" t="s">
        <v>983</v>
      </c>
      <c r="H359" s="82" t="s">
        <v>3855</v>
      </c>
      <c r="I359" s="79" t="s">
        <v>2693</v>
      </c>
      <c r="J359" s="83">
        <v>703.12</v>
      </c>
      <c r="K359" s="83">
        <v>535.71047619047624</v>
      </c>
      <c r="L359" s="83">
        <v>535.71047619047624</v>
      </c>
      <c r="M359" s="84">
        <v>428.56838095238101</v>
      </c>
      <c r="N359" s="59">
        <f t="shared" si="5"/>
        <v>0.39047619047619042</v>
      </c>
      <c r="O359" s="85" t="s">
        <v>923</v>
      </c>
      <c r="P359" s="86" t="s">
        <v>4660</v>
      </c>
      <c r="Q359" s="87" t="s">
        <v>3208</v>
      </c>
      <c r="R359" s="87">
        <v>10</v>
      </c>
      <c r="S359" s="88">
        <v>70.311999999999998</v>
      </c>
      <c r="T359" s="88">
        <v>53.571047619047626</v>
      </c>
      <c r="U359" s="88">
        <v>42.856838095238103</v>
      </c>
      <c r="V359" s="87" t="s">
        <v>3061</v>
      </c>
      <c r="W359" s="87" t="s">
        <v>3103</v>
      </c>
      <c r="X359" s="90" t="s">
        <v>3478</v>
      </c>
      <c r="Y359" s="89"/>
      <c r="Z359" s="89">
        <v>3</v>
      </c>
      <c r="AA359" s="89"/>
      <c r="AB359" s="89"/>
    </row>
    <row r="360" spans="1:28" s="31" customFormat="1" ht="60" customHeight="1" x14ac:dyDescent="0.2">
      <c r="A360" s="76">
        <v>359</v>
      </c>
      <c r="B360" s="77">
        <v>50003892</v>
      </c>
      <c r="C360" s="78" t="s">
        <v>984</v>
      </c>
      <c r="D360" s="79">
        <v>0.05</v>
      </c>
      <c r="E360" s="80">
        <v>30049049</v>
      </c>
      <c r="F360" s="81" t="s">
        <v>985</v>
      </c>
      <c r="G360" s="82" t="s">
        <v>986</v>
      </c>
      <c r="H360" s="82" t="s">
        <v>3856</v>
      </c>
      <c r="I360" s="79" t="s">
        <v>2693</v>
      </c>
      <c r="J360" s="83">
        <v>843.74</v>
      </c>
      <c r="K360" s="83">
        <v>642.84952380952382</v>
      </c>
      <c r="L360" s="83">
        <v>642.84952380952382</v>
      </c>
      <c r="M360" s="84">
        <v>514.27961904761912</v>
      </c>
      <c r="N360" s="59">
        <f t="shared" si="5"/>
        <v>0.39047619047619042</v>
      </c>
      <c r="O360" s="85" t="s">
        <v>923</v>
      </c>
      <c r="P360" s="86" t="s">
        <v>2802</v>
      </c>
      <c r="Q360" s="87" t="s">
        <v>3208</v>
      </c>
      <c r="R360" s="87">
        <v>10</v>
      </c>
      <c r="S360" s="88">
        <v>84.373999999999995</v>
      </c>
      <c r="T360" s="88">
        <v>64.284952380952376</v>
      </c>
      <c r="U360" s="88">
        <v>51.427961904761915</v>
      </c>
      <c r="V360" s="87" t="s">
        <v>3061</v>
      </c>
      <c r="W360" s="87" t="s">
        <v>3103</v>
      </c>
      <c r="X360" s="90" t="s">
        <v>3478</v>
      </c>
      <c r="Y360" s="89"/>
      <c r="Z360" s="89">
        <v>3</v>
      </c>
      <c r="AA360" s="89"/>
      <c r="AB360" s="89"/>
    </row>
    <row r="361" spans="1:28" s="31" customFormat="1" ht="60" customHeight="1" x14ac:dyDescent="0.2">
      <c r="A361" s="76">
        <v>360</v>
      </c>
      <c r="B361" s="77">
        <v>50003829</v>
      </c>
      <c r="C361" s="78" t="s">
        <v>987</v>
      </c>
      <c r="D361" s="79">
        <v>0.05</v>
      </c>
      <c r="E361" s="80">
        <v>30049039</v>
      </c>
      <c r="F361" s="81" t="s">
        <v>988</v>
      </c>
      <c r="G361" s="82" t="s">
        <v>989</v>
      </c>
      <c r="H361" s="82" t="s">
        <v>3343</v>
      </c>
      <c r="I361" s="79" t="s">
        <v>2666</v>
      </c>
      <c r="J361" s="83">
        <v>193.97</v>
      </c>
      <c r="K361" s="83">
        <v>147.78666666666666</v>
      </c>
      <c r="L361" s="83">
        <v>147.78666666666666</v>
      </c>
      <c r="M361" s="84">
        <v>118.22933333333336</v>
      </c>
      <c r="N361" s="59">
        <f t="shared" si="5"/>
        <v>0.39047619047619037</v>
      </c>
      <c r="O361" s="85" t="s">
        <v>923</v>
      </c>
      <c r="P361" s="86" t="s">
        <v>3337</v>
      </c>
      <c r="Q361" s="87" t="s">
        <v>3208</v>
      </c>
      <c r="R361" s="87">
        <v>10</v>
      </c>
      <c r="S361" s="88">
        <v>19.396999999999998</v>
      </c>
      <c r="T361" s="88">
        <v>14.778666666666666</v>
      </c>
      <c r="U361" s="88">
        <v>11.822933333333335</v>
      </c>
      <c r="V361" s="87" t="s">
        <v>3061</v>
      </c>
      <c r="W361" s="87" t="s">
        <v>3103</v>
      </c>
      <c r="X361" s="90" t="s">
        <v>3477</v>
      </c>
      <c r="Y361" s="89" t="s">
        <v>3455</v>
      </c>
      <c r="Z361" s="89">
        <v>3</v>
      </c>
      <c r="AA361" s="89"/>
      <c r="AB361" s="89"/>
    </row>
    <row r="362" spans="1:28" s="31" customFormat="1" ht="60" customHeight="1" x14ac:dyDescent="0.2">
      <c r="A362" s="76">
        <v>361</v>
      </c>
      <c r="B362" s="77">
        <v>50002238</v>
      </c>
      <c r="C362" s="78" t="s">
        <v>990</v>
      </c>
      <c r="D362" s="79">
        <v>0.05</v>
      </c>
      <c r="E362" s="80">
        <v>30049099</v>
      </c>
      <c r="F362" s="81" t="s">
        <v>991</v>
      </c>
      <c r="G362" s="82" t="s">
        <v>992</v>
      </c>
      <c r="H362" s="82" t="s">
        <v>3857</v>
      </c>
      <c r="I362" s="79" t="s">
        <v>2666</v>
      </c>
      <c r="J362" s="83">
        <v>176.8</v>
      </c>
      <c r="K362" s="83">
        <v>134.70476190476191</v>
      </c>
      <c r="L362" s="83">
        <v>134.70476190476191</v>
      </c>
      <c r="M362" s="84">
        <v>107.76380952380953</v>
      </c>
      <c r="N362" s="59">
        <f t="shared" si="5"/>
        <v>0.39047619047619048</v>
      </c>
      <c r="O362" s="85" t="s">
        <v>923</v>
      </c>
      <c r="P362" s="86" t="s">
        <v>2803</v>
      </c>
      <c r="Q362" s="87" t="s">
        <v>3208</v>
      </c>
      <c r="R362" s="87">
        <v>10</v>
      </c>
      <c r="S362" s="88">
        <v>17.68</v>
      </c>
      <c r="T362" s="88">
        <v>13.470476190476191</v>
      </c>
      <c r="U362" s="88">
        <v>10.776380952380952</v>
      </c>
      <c r="V362" s="87" t="s">
        <v>3061</v>
      </c>
      <c r="W362" s="87" t="s">
        <v>3108</v>
      </c>
      <c r="X362" s="90" t="s">
        <v>3477</v>
      </c>
      <c r="Y362" s="89"/>
      <c r="Z362" s="89">
        <v>6</v>
      </c>
      <c r="AA362" s="89" t="s">
        <v>3207</v>
      </c>
      <c r="AB362" s="89"/>
    </row>
    <row r="363" spans="1:28" s="31" customFormat="1" ht="60" customHeight="1" x14ac:dyDescent="0.2">
      <c r="A363" s="76">
        <v>362</v>
      </c>
      <c r="B363" s="77">
        <v>50005427</v>
      </c>
      <c r="C363" s="78" t="s">
        <v>990</v>
      </c>
      <c r="D363" s="79">
        <v>0.05</v>
      </c>
      <c r="E363" s="80">
        <v>30049099</v>
      </c>
      <c r="F363" s="81" t="s">
        <v>991</v>
      </c>
      <c r="G363" s="82" t="s">
        <v>992</v>
      </c>
      <c r="H363" s="82" t="s">
        <v>3857</v>
      </c>
      <c r="I363" s="79" t="s">
        <v>2663</v>
      </c>
      <c r="J363" s="83">
        <v>291.72000000000003</v>
      </c>
      <c r="K363" s="83">
        <v>222.26285714285717</v>
      </c>
      <c r="L363" s="83">
        <v>222.26285714285717</v>
      </c>
      <c r="M363" s="84">
        <v>177.81028571428578</v>
      </c>
      <c r="N363" s="59">
        <f t="shared" si="5"/>
        <v>0.39047619047619031</v>
      </c>
      <c r="O363" s="85" t="s">
        <v>923</v>
      </c>
      <c r="P363" s="86" t="s">
        <v>3605</v>
      </c>
      <c r="Q363" s="87" t="s">
        <v>3208</v>
      </c>
      <c r="R363" s="87">
        <v>15</v>
      </c>
      <c r="S363" s="88">
        <v>19.448</v>
      </c>
      <c r="T363" s="88">
        <v>14.817523809523811</v>
      </c>
      <c r="U363" s="88">
        <v>11.854019047619053</v>
      </c>
      <c r="V363" s="87" t="s">
        <v>3061</v>
      </c>
      <c r="W363" s="87" t="s">
        <v>3108</v>
      </c>
      <c r="X363" s="90" t="s">
        <v>3477</v>
      </c>
      <c r="Y363" s="89"/>
      <c r="Z363" s="89">
        <v>6</v>
      </c>
      <c r="AA363" s="89" t="s">
        <v>3207</v>
      </c>
      <c r="AB363" s="89"/>
    </row>
    <row r="364" spans="1:28" s="31" customFormat="1" ht="60" customHeight="1" x14ac:dyDescent="0.2">
      <c r="A364" s="76">
        <v>363</v>
      </c>
      <c r="B364" s="77">
        <v>50005170</v>
      </c>
      <c r="C364" s="78" t="s">
        <v>3071</v>
      </c>
      <c r="D364" s="79">
        <v>0.05</v>
      </c>
      <c r="E364" s="80">
        <v>30049099</v>
      </c>
      <c r="F364" s="81" t="s">
        <v>3072</v>
      </c>
      <c r="G364" s="82" t="s">
        <v>3123</v>
      </c>
      <c r="H364" s="82" t="s">
        <v>3858</v>
      </c>
      <c r="I364" s="79" t="s">
        <v>2728</v>
      </c>
      <c r="J364" s="83">
        <v>525</v>
      </c>
      <c r="K364" s="83">
        <v>400</v>
      </c>
      <c r="L364" s="83">
        <v>400</v>
      </c>
      <c r="M364" s="84">
        <v>400</v>
      </c>
      <c r="N364" s="59">
        <f t="shared" si="5"/>
        <v>0.23809523809523808</v>
      </c>
      <c r="O364" s="85" t="s">
        <v>923</v>
      </c>
      <c r="P364" s="86" t="s">
        <v>3077</v>
      </c>
      <c r="Q364" s="87" t="s">
        <v>3208</v>
      </c>
      <c r="R364" s="87">
        <v>1</v>
      </c>
      <c r="S364" s="88">
        <v>525</v>
      </c>
      <c r="T364" s="88">
        <v>400</v>
      </c>
      <c r="U364" s="88">
        <v>400</v>
      </c>
      <c r="V364" s="87" t="s">
        <v>3063</v>
      </c>
      <c r="W364" s="87" t="s">
        <v>3103</v>
      </c>
      <c r="X364" s="90" t="s">
        <v>2728</v>
      </c>
      <c r="Y364" s="89"/>
      <c r="Z364" s="89">
        <v>1</v>
      </c>
      <c r="AA364" s="89"/>
      <c r="AB364" s="89"/>
    </row>
    <row r="365" spans="1:28" s="31" customFormat="1" ht="60" customHeight="1" x14ac:dyDescent="0.2">
      <c r="A365" s="76">
        <v>364</v>
      </c>
      <c r="B365" s="77">
        <v>50005171</v>
      </c>
      <c r="C365" s="78" t="s">
        <v>3073</v>
      </c>
      <c r="D365" s="79">
        <v>0.05</v>
      </c>
      <c r="E365" s="80">
        <v>30049099</v>
      </c>
      <c r="F365" s="81" t="s">
        <v>3074</v>
      </c>
      <c r="G365" s="82" t="s">
        <v>3124</v>
      </c>
      <c r="H365" s="82" t="s">
        <v>3859</v>
      </c>
      <c r="I365" s="79" t="s">
        <v>2728</v>
      </c>
      <c r="J365" s="83">
        <v>675</v>
      </c>
      <c r="K365" s="83">
        <v>514.28571428571433</v>
      </c>
      <c r="L365" s="83">
        <v>514.28571428571433</v>
      </c>
      <c r="M365" s="84">
        <v>514.28571428571433</v>
      </c>
      <c r="N365" s="59">
        <f t="shared" si="5"/>
        <v>0.23809523809523803</v>
      </c>
      <c r="O365" s="85" t="s">
        <v>923</v>
      </c>
      <c r="P365" s="86" t="s">
        <v>3077</v>
      </c>
      <c r="Q365" s="87" t="s">
        <v>3208</v>
      </c>
      <c r="R365" s="87">
        <v>1</v>
      </c>
      <c r="S365" s="88">
        <v>675</v>
      </c>
      <c r="T365" s="88">
        <v>514.28571428571433</v>
      </c>
      <c r="U365" s="88">
        <v>514.28571428571433</v>
      </c>
      <c r="V365" s="87" t="s">
        <v>3063</v>
      </c>
      <c r="W365" s="87" t="s">
        <v>3103</v>
      </c>
      <c r="X365" s="90" t="s">
        <v>2728</v>
      </c>
      <c r="Y365" s="89"/>
      <c r="Z365" s="89">
        <v>1</v>
      </c>
      <c r="AA365" s="89"/>
      <c r="AB365" s="89"/>
    </row>
    <row r="366" spans="1:28" s="31" customFormat="1" ht="60" customHeight="1" x14ac:dyDescent="0.2">
      <c r="A366" s="76">
        <v>365</v>
      </c>
      <c r="B366" s="77">
        <v>50005172</v>
      </c>
      <c r="C366" s="78" t="s">
        <v>3075</v>
      </c>
      <c r="D366" s="79">
        <v>0.05</v>
      </c>
      <c r="E366" s="80">
        <v>30049099</v>
      </c>
      <c r="F366" s="81" t="s">
        <v>3076</v>
      </c>
      <c r="G366" s="82" t="s">
        <v>3125</v>
      </c>
      <c r="H366" s="82" t="s">
        <v>3860</v>
      </c>
      <c r="I366" s="79" t="s">
        <v>2728</v>
      </c>
      <c r="J366" s="83">
        <v>783</v>
      </c>
      <c r="K366" s="83">
        <v>596.57142857142856</v>
      </c>
      <c r="L366" s="83">
        <v>596.57142857142856</v>
      </c>
      <c r="M366" s="84">
        <v>596.57142857142856</v>
      </c>
      <c r="N366" s="59">
        <f t="shared" si="5"/>
        <v>0.23809523809523811</v>
      </c>
      <c r="O366" s="85" t="s">
        <v>923</v>
      </c>
      <c r="P366" s="86" t="s">
        <v>3077</v>
      </c>
      <c r="Q366" s="87" t="s">
        <v>3208</v>
      </c>
      <c r="R366" s="87">
        <v>1</v>
      </c>
      <c r="S366" s="88">
        <v>783</v>
      </c>
      <c r="T366" s="88">
        <v>596.57142857142856</v>
      </c>
      <c r="U366" s="88">
        <v>596.57142857142856</v>
      </c>
      <c r="V366" s="87" t="s">
        <v>3063</v>
      </c>
      <c r="W366" s="87" t="s">
        <v>3103</v>
      </c>
      <c r="X366" s="90" t="s">
        <v>2728</v>
      </c>
      <c r="Y366" s="89"/>
      <c r="Z366" s="89">
        <v>1</v>
      </c>
      <c r="AA366" s="89"/>
      <c r="AB366" s="89"/>
    </row>
    <row r="367" spans="1:28" s="31" customFormat="1" ht="60" customHeight="1" x14ac:dyDescent="0.2">
      <c r="A367" s="76">
        <v>366</v>
      </c>
      <c r="B367" s="77">
        <v>50004879</v>
      </c>
      <c r="C367" s="78" t="s">
        <v>3082</v>
      </c>
      <c r="D367" s="79">
        <v>0.05</v>
      </c>
      <c r="E367" s="80">
        <v>30024119</v>
      </c>
      <c r="F367" s="81" t="s">
        <v>3083</v>
      </c>
      <c r="G367" s="82" t="s">
        <v>3084</v>
      </c>
      <c r="H367" s="82" t="s">
        <v>3861</v>
      </c>
      <c r="I367" s="79" t="s">
        <v>3085</v>
      </c>
      <c r="J367" s="83">
        <v>2135</v>
      </c>
      <c r="K367" s="83">
        <v>1626.6666666666665</v>
      </c>
      <c r="L367" s="83">
        <v>1355.5555555555554</v>
      </c>
      <c r="M367" s="84">
        <v>1355.5555555555554</v>
      </c>
      <c r="N367" s="59">
        <f t="shared" si="5"/>
        <v>0.36507936507936511</v>
      </c>
      <c r="O367" s="85" t="s">
        <v>923</v>
      </c>
      <c r="P367" s="86" t="s">
        <v>3095</v>
      </c>
      <c r="Q367" s="87" t="s">
        <v>3207</v>
      </c>
      <c r="R367" s="87">
        <v>1</v>
      </c>
      <c r="S367" s="88">
        <v>2135</v>
      </c>
      <c r="T367" s="88">
        <v>1355.5555555555554</v>
      </c>
      <c r="U367" s="88">
        <v>1355.5555555555554</v>
      </c>
      <c r="V367" s="87" t="s">
        <v>3061</v>
      </c>
      <c r="W367" s="87" t="s">
        <v>3118</v>
      </c>
      <c r="X367" s="90" t="s">
        <v>3479</v>
      </c>
      <c r="Y367" s="89"/>
      <c r="Z367" s="89">
        <v>1</v>
      </c>
      <c r="AA367" s="89"/>
      <c r="AB367" s="89"/>
    </row>
    <row r="368" spans="1:28" s="31" customFormat="1" ht="60" customHeight="1" x14ac:dyDescent="0.2">
      <c r="A368" s="76">
        <v>367</v>
      </c>
      <c r="B368" s="77">
        <v>50004484</v>
      </c>
      <c r="C368" s="78" t="s">
        <v>994</v>
      </c>
      <c r="D368" s="79">
        <v>0.05</v>
      </c>
      <c r="E368" s="80">
        <v>30049099</v>
      </c>
      <c r="F368" s="81" t="s">
        <v>995</v>
      </c>
      <c r="G368" s="82" t="s">
        <v>996</v>
      </c>
      <c r="H368" s="82" t="s">
        <v>3862</v>
      </c>
      <c r="I368" s="79" t="s">
        <v>2793</v>
      </c>
      <c r="J368" s="83">
        <v>381.55</v>
      </c>
      <c r="K368" s="83">
        <v>290.70476190476194</v>
      </c>
      <c r="L368" s="83">
        <v>290.70476190476194</v>
      </c>
      <c r="M368" s="84">
        <v>232.56380952380954</v>
      </c>
      <c r="N368" s="59">
        <f t="shared" si="5"/>
        <v>0.39047619047619048</v>
      </c>
      <c r="O368" s="85" t="s">
        <v>923</v>
      </c>
      <c r="P368" s="86" t="s">
        <v>67</v>
      </c>
      <c r="Q368" s="87" t="s">
        <v>3208</v>
      </c>
      <c r="R368" s="87">
        <v>30</v>
      </c>
      <c r="S368" s="88">
        <v>12.718333333333334</v>
      </c>
      <c r="T368" s="88">
        <v>9.690158730158732</v>
      </c>
      <c r="U368" s="88">
        <v>7.7521269841269849</v>
      </c>
      <c r="V368" s="87" t="s">
        <v>3062</v>
      </c>
      <c r="W368" s="87" t="s">
        <v>3103</v>
      </c>
      <c r="X368" s="90" t="s">
        <v>3478</v>
      </c>
      <c r="Y368" s="89"/>
      <c r="Z368" s="89">
        <v>1</v>
      </c>
      <c r="AA368" s="89"/>
      <c r="AB368" s="89"/>
    </row>
    <row r="369" spans="1:28" s="31" customFormat="1" ht="60" customHeight="1" x14ac:dyDescent="0.2">
      <c r="A369" s="76">
        <v>368</v>
      </c>
      <c r="B369" s="77">
        <v>50004616</v>
      </c>
      <c r="C369" s="78" t="s">
        <v>997</v>
      </c>
      <c r="D369" s="79">
        <v>0.05</v>
      </c>
      <c r="E369" s="80">
        <v>30049099</v>
      </c>
      <c r="F369" s="81" t="s">
        <v>998</v>
      </c>
      <c r="G369" s="82" t="s">
        <v>999</v>
      </c>
      <c r="H369" s="82" t="s">
        <v>3863</v>
      </c>
      <c r="I369" s="79" t="s">
        <v>2793</v>
      </c>
      <c r="J369" s="83">
        <v>492.18</v>
      </c>
      <c r="K369" s="83">
        <v>374.9942857142857</v>
      </c>
      <c r="L369" s="83">
        <v>374.9942857142857</v>
      </c>
      <c r="M369" s="84">
        <v>299.99542857142859</v>
      </c>
      <c r="N369" s="59">
        <f t="shared" si="5"/>
        <v>0.39047619047619042</v>
      </c>
      <c r="O369" s="85" t="s">
        <v>923</v>
      </c>
      <c r="P369" s="86" t="s">
        <v>53</v>
      </c>
      <c r="Q369" s="87" t="s">
        <v>3208</v>
      </c>
      <c r="R369" s="87">
        <v>30</v>
      </c>
      <c r="S369" s="88">
        <v>16.405999999999999</v>
      </c>
      <c r="T369" s="88">
        <v>12.499809523809523</v>
      </c>
      <c r="U369" s="88">
        <v>9.9998476190476193</v>
      </c>
      <c r="V369" s="87" t="s">
        <v>3063</v>
      </c>
      <c r="W369" s="87" t="s">
        <v>3103</v>
      </c>
      <c r="X369" s="90" t="s">
        <v>3478</v>
      </c>
      <c r="Y369" s="89"/>
      <c r="Z369" s="89">
        <v>1</v>
      </c>
      <c r="AA369" s="89"/>
      <c r="AB369" s="89"/>
    </row>
    <row r="370" spans="1:28" s="31" customFormat="1" ht="60" customHeight="1" x14ac:dyDescent="0.2">
      <c r="A370" s="76">
        <v>369</v>
      </c>
      <c r="B370" s="77">
        <v>50005949</v>
      </c>
      <c r="C370" s="78" t="s">
        <v>997</v>
      </c>
      <c r="D370" s="79">
        <v>0.05</v>
      </c>
      <c r="E370" s="80">
        <v>30049099</v>
      </c>
      <c r="F370" s="81" t="s">
        <v>4273</v>
      </c>
      <c r="G370" s="82" t="s">
        <v>4277</v>
      </c>
      <c r="H370" s="82" t="s">
        <v>4278</v>
      </c>
      <c r="I370" s="79" t="s">
        <v>2793</v>
      </c>
      <c r="J370" s="83">
        <v>541.4</v>
      </c>
      <c r="K370" s="83">
        <v>412.49523809523805</v>
      </c>
      <c r="L370" s="83">
        <v>412.49523809523805</v>
      </c>
      <c r="M370" s="84">
        <v>329.99619047619046</v>
      </c>
      <c r="N370" s="59">
        <f t="shared" si="5"/>
        <v>0.39047619047619048</v>
      </c>
      <c r="O370" s="85" t="s">
        <v>923</v>
      </c>
      <c r="P370" s="86" t="s">
        <v>67</v>
      </c>
      <c r="Q370" s="87" t="s">
        <v>3208</v>
      </c>
      <c r="R370" s="87">
        <v>30</v>
      </c>
      <c r="S370" s="88">
        <v>18.046666666666667</v>
      </c>
      <c r="T370" s="88">
        <v>13.749841269841268</v>
      </c>
      <c r="U370" s="88">
        <v>10.999873015873016</v>
      </c>
      <c r="V370" s="87" t="s">
        <v>3062</v>
      </c>
      <c r="W370" s="87" t="s">
        <v>3103</v>
      </c>
      <c r="X370" s="90" t="s">
        <v>3478</v>
      </c>
      <c r="Y370" s="89"/>
      <c r="Z370" s="89"/>
      <c r="AA370" s="89"/>
      <c r="AB370" s="89"/>
    </row>
    <row r="371" spans="1:28" s="31" customFormat="1" ht="60" customHeight="1" x14ac:dyDescent="0.2">
      <c r="A371" s="76">
        <v>370</v>
      </c>
      <c r="B371" s="77">
        <v>50005725</v>
      </c>
      <c r="C371" s="78" t="s">
        <v>4153</v>
      </c>
      <c r="D371" s="79">
        <v>0.05</v>
      </c>
      <c r="E371" s="80">
        <v>21069099</v>
      </c>
      <c r="F371" s="81" t="s">
        <v>4154</v>
      </c>
      <c r="G371" s="82" t="s">
        <v>4155</v>
      </c>
      <c r="H371" s="82" t="s">
        <v>4156</v>
      </c>
      <c r="I371" s="79" t="s">
        <v>2666</v>
      </c>
      <c r="J371" s="83">
        <v>310</v>
      </c>
      <c r="K371" s="83">
        <v>236.1904761904762</v>
      </c>
      <c r="L371" s="83">
        <v>236.1904761904762</v>
      </c>
      <c r="M371" s="84">
        <v>199.0748299319728</v>
      </c>
      <c r="N371" s="59">
        <f t="shared" si="5"/>
        <v>0.35782312925170062</v>
      </c>
      <c r="O371" s="85" t="s">
        <v>1004</v>
      </c>
      <c r="P371" s="86" t="s">
        <v>4185</v>
      </c>
      <c r="Q371" s="87" t="s">
        <v>3208</v>
      </c>
      <c r="R371" s="87">
        <v>10</v>
      </c>
      <c r="S371" s="88">
        <v>31</v>
      </c>
      <c r="T371" s="88">
        <v>23.61904761904762</v>
      </c>
      <c r="U371" s="88">
        <v>19.907482993197281</v>
      </c>
      <c r="V371" s="87" t="s">
        <v>3061</v>
      </c>
      <c r="W371" s="87" t="s">
        <v>3103</v>
      </c>
      <c r="X371" s="90" t="s">
        <v>3477</v>
      </c>
      <c r="Y371" s="89"/>
      <c r="Z371" s="89"/>
      <c r="AA371" s="89"/>
      <c r="AB371" s="89"/>
    </row>
    <row r="372" spans="1:28" s="31" customFormat="1" ht="60" customHeight="1" x14ac:dyDescent="0.2">
      <c r="A372" s="76">
        <v>371</v>
      </c>
      <c r="B372" s="77">
        <v>50005997</v>
      </c>
      <c r="C372" s="78" t="s">
        <v>4223</v>
      </c>
      <c r="D372" s="79">
        <v>0.05</v>
      </c>
      <c r="E372" s="80">
        <v>30049099</v>
      </c>
      <c r="F372" s="81" t="s">
        <v>4235</v>
      </c>
      <c r="G372" s="82" t="s">
        <v>4250</v>
      </c>
      <c r="H372" s="82" t="s">
        <v>4257</v>
      </c>
      <c r="I372" s="79" t="s">
        <v>489</v>
      </c>
      <c r="J372" s="83">
        <v>1537.49</v>
      </c>
      <c r="K372" s="83">
        <v>1171.4209523809525</v>
      </c>
      <c r="L372" s="83">
        <v>1171.4209523809525</v>
      </c>
      <c r="M372" s="84">
        <v>937.13676190476201</v>
      </c>
      <c r="N372" s="59">
        <f t="shared" si="5"/>
        <v>0.39047619047619042</v>
      </c>
      <c r="O372" s="85" t="s">
        <v>1004</v>
      </c>
      <c r="P372" s="86" t="s">
        <v>4247</v>
      </c>
      <c r="Q372" s="87" t="s">
        <v>3208</v>
      </c>
      <c r="R372" s="87">
        <v>1</v>
      </c>
      <c r="S372" s="88">
        <v>1537.49</v>
      </c>
      <c r="T372" s="88">
        <v>1171.4209523809525</v>
      </c>
      <c r="U372" s="88">
        <v>937.13676190476201</v>
      </c>
      <c r="V372" s="87" t="s">
        <v>3067</v>
      </c>
      <c r="W372" s="87" t="s">
        <v>3112</v>
      </c>
      <c r="X372" s="90" t="s">
        <v>3610</v>
      </c>
      <c r="Y372" s="89"/>
      <c r="Z372" s="89"/>
      <c r="AA372" s="89"/>
      <c r="AB372" s="89"/>
    </row>
    <row r="373" spans="1:28" s="31" customFormat="1" ht="60" customHeight="1" x14ac:dyDescent="0.2">
      <c r="A373" s="76">
        <v>372</v>
      </c>
      <c r="B373" s="77">
        <v>50003884</v>
      </c>
      <c r="C373" s="78" t="s">
        <v>1000</v>
      </c>
      <c r="D373" s="79">
        <v>0.05</v>
      </c>
      <c r="E373" s="80">
        <v>30049089</v>
      </c>
      <c r="F373" s="81" t="s">
        <v>1001</v>
      </c>
      <c r="G373" s="82" t="s">
        <v>1002</v>
      </c>
      <c r="H373" s="82" t="s">
        <v>1003</v>
      </c>
      <c r="I373" s="79" t="s">
        <v>2666</v>
      </c>
      <c r="J373" s="83">
        <v>14.3</v>
      </c>
      <c r="K373" s="83">
        <v>10.895238095238096</v>
      </c>
      <c r="L373" s="83">
        <v>10.895238095238096</v>
      </c>
      <c r="M373" s="84">
        <v>8.7161904761904747</v>
      </c>
      <c r="N373" s="59">
        <f t="shared" si="5"/>
        <v>0.39047619047619059</v>
      </c>
      <c r="O373" s="85" t="s">
        <v>1004</v>
      </c>
      <c r="P373" s="86" t="s">
        <v>22</v>
      </c>
      <c r="Q373" s="87" t="s">
        <v>3207</v>
      </c>
      <c r="R373" s="87">
        <v>10</v>
      </c>
      <c r="S373" s="88">
        <v>1.4300000000000002</v>
      </c>
      <c r="T373" s="88">
        <v>1.0895238095238096</v>
      </c>
      <c r="U373" s="88">
        <v>0.87161904761904752</v>
      </c>
      <c r="V373" s="87" t="s">
        <v>3061</v>
      </c>
      <c r="W373" s="87" t="s">
        <v>3107</v>
      </c>
      <c r="X373" s="90" t="s">
        <v>3477</v>
      </c>
      <c r="Y373" s="89" t="s">
        <v>3455</v>
      </c>
      <c r="Z373" s="89">
        <v>3</v>
      </c>
      <c r="AA373" s="89"/>
      <c r="AB373" s="89"/>
    </row>
    <row r="374" spans="1:28" s="31" customFormat="1" ht="60" customHeight="1" x14ac:dyDescent="0.2">
      <c r="A374" s="76">
        <v>373</v>
      </c>
      <c r="B374" s="77">
        <v>50003881</v>
      </c>
      <c r="C374" s="78" t="s">
        <v>1005</v>
      </c>
      <c r="D374" s="79">
        <v>0.05</v>
      </c>
      <c r="E374" s="80">
        <v>30049089</v>
      </c>
      <c r="F374" s="81" t="s">
        <v>1006</v>
      </c>
      <c r="G374" s="82" t="s">
        <v>1007</v>
      </c>
      <c r="H374" s="82" t="s">
        <v>1008</v>
      </c>
      <c r="I374" s="79" t="s">
        <v>2666</v>
      </c>
      <c r="J374" s="83">
        <v>32.42</v>
      </c>
      <c r="K374" s="83">
        <v>24.70095238095238</v>
      </c>
      <c r="L374" s="83">
        <v>24.70095238095238</v>
      </c>
      <c r="M374" s="84">
        <v>19.7607619047619</v>
      </c>
      <c r="N374" s="59">
        <f t="shared" si="5"/>
        <v>0.39047619047619064</v>
      </c>
      <c r="O374" s="85" t="s">
        <v>1004</v>
      </c>
      <c r="P374" s="86" t="s">
        <v>22</v>
      </c>
      <c r="Q374" s="87" t="s">
        <v>3207</v>
      </c>
      <c r="R374" s="87">
        <v>10</v>
      </c>
      <c r="S374" s="88">
        <v>3.242</v>
      </c>
      <c r="T374" s="88">
        <v>2.4700952380952379</v>
      </c>
      <c r="U374" s="88">
        <v>1.9760761904761899</v>
      </c>
      <c r="V374" s="87" t="s">
        <v>3061</v>
      </c>
      <c r="W374" s="87" t="s">
        <v>3107</v>
      </c>
      <c r="X374" s="90" t="s">
        <v>3477</v>
      </c>
      <c r="Y374" s="89" t="s">
        <v>3455</v>
      </c>
      <c r="Z374" s="89">
        <v>3</v>
      </c>
      <c r="AA374" s="89"/>
      <c r="AB374" s="89"/>
    </row>
    <row r="375" spans="1:28" s="31" customFormat="1" ht="60" customHeight="1" x14ac:dyDescent="0.2">
      <c r="A375" s="76">
        <v>374</v>
      </c>
      <c r="B375" s="77">
        <v>50003872</v>
      </c>
      <c r="C375" s="78" t="s">
        <v>1009</v>
      </c>
      <c r="D375" s="79">
        <v>0.05</v>
      </c>
      <c r="E375" s="80">
        <v>30049089</v>
      </c>
      <c r="F375" s="81" t="s">
        <v>1010</v>
      </c>
      <c r="G375" s="82" t="s">
        <v>1011</v>
      </c>
      <c r="H375" s="82" t="s">
        <v>343</v>
      </c>
      <c r="I375" s="79" t="s">
        <v>2666</v>
      </c>
      <c r="J375" s="83">
        <v>99.31</v>
      </c>
      <c r="K375" s="83">
        <v>75.664761904761903</v>
      </c>
      <c r="L375" s="83">
        <v>75.664761904761903</v>
      </c>
      <c r="M375" s="84">
        <v>60.531809523809528</v>
      </c>
      <c r="N375" s="59">
        <f t="shared" si="5"/>
        <v>0.39047619047619042</v>
      </c>
      <c r="O375" s="85" t="s">
        <v>1004</v>
      </c>
      <c r="P375" s="86" t="s">
        <v>48</v>
      </c>
      <c r="Q375" s="87" t="s">
        <v>3208</v>
      </c>
      <c r="R375" s="87">
        <v>10</v>
      </c>
      <c r="S375" s="88">
        <v>9.9310000000000009</v>
      </c>
      <c r="T375" s="88">
        <v>7.5664761904761901</v>
      </c>
      <c r="U375" s="88">
        <v>6.053180952380953</v>
      </c>
      <c r="V375" s="87" t="s">
        <v>3061</v>
      </c>
      <c r="W375" s="87" t="s">
        <v>3107</v>
      </c>
      <c r="X375" s="90" t="s">
        <v>3477</v>
      </c>
      <c r="Y375" s="89" t="s">
        <v>3455</v>
      </c>
      <c r="Z375" s="89">
        <v>3</v>
      </c>
      <c r="AA375" s="89"/>
      <c r="AB375" s="89"/>
    </row>
    <row r="376" spans="1:28" s="31" customFormat="1" ht="60" customHeight="1" x14ac:dyDescent="0.2">
      <c r="A376" s="76">
        <v>375</v>
      </c>
      <c r="B376" s="77">
        <v>50003869</v>
      </c>
      <c r="C376" s="78" t="s">
        <v>1012</v>
      </c>
      <c r="D376" s="79">
        <v>0.05</v>
      </c>
      <c r="E376" s="80">
        <v>30049099</v>
      </c>
      <c r="F376" s="81" t="s">
        <v>1013</v>
      </c>
      <c r="G376" s="82" t="s">
        <v>1014</v>
      </c>
      <c r="H376" s="82" t="s">
        <v>294</v>
      </c>
      <c r="I376" s="79" t="s">
        <v>2666</v>
      </c>
      <c r="J376" s="83">
        <v>96.93</v>
      </c>
      <c r="K376" s="83">
        <v>73.851428571428571</v>
      </c>
      <c r="L376" s="83">
        <v>73.851428571428571</v>
      </c>
      <c r="M376" s="84">
        <v>59.081142857142858</v>
      </c>
      <c r="N376" s="59">
        <f t="shared" si="5"/>
        <v>0.39047619047619053</v>
      </c>
      <c r="O376" s="85" t="s">
        <v>1004</v>
      </c>
      <c r="P376" s="86" t="s">
        <v>123</v>
      </c>
      <c r="Q376" s="87" t="s">
        <v>3208</v>
      </c>
      <c r="R376" s="87">
        <v>10</v>
      </c>
      <c r="S376" s="88">
        <v>9.6930000000000014</v>
      </c>
      <c r="T376" s="88">
        <v>7.3851428571428572</v>
      </c>
      <c r="U376" s="88">
        <v>5.9081142857142854</v>
      </c>
      <c r="V376" s="87" t="s">
        <v>3061</v>
      </c>
      <c r="W376" s="87" t="s">
        <v>3107</v>
      </c>
      <c r="X376" s="90" t="s">
        <v>3477</v>
      </c>
      <c r="Y376" s="89"/>
      <c r="Z376" s="89">
        <v>3</v>
      </c>
      <c r="AA376" s="89"/>
      <c r="AB376" s="89"/>
    </row>
    <row r="377" spans="1:28" s="31" customFormat="1" ht="60" customHeight="1" x14ac:dyDescent="0.2">
      <c r="A377" s="76">
        <v>376</v>
      </c>
      <c r="B377" s="77">
        <v>50003878</v>
      </c>
      <c r="C377" s="78" t="s">
        <v>1015</v>
      </c>
      <c r="D377" s="79">
        <v>0.05</v>
      </c>
      <c r="E377" s="80">
        <v>30049099</v>
      </c>
      <c r="F377" s="81" t="s">
        <v>1016</v>
      </c>
      <c r="G377" s="82" t="s">
        <v>1017</v>
      </c>
      <c r="H377" s="82" t="s">
        <v>677</v>
      </c>
      <c r="I377" s="79" t="s">
        <v>2666</v>
      </c>
      <c r="J377" s="83">
        <v>141.27000000000001</v>
      </c>
      <c r="K377" s="83">
        <v>107.63428571428574</v>
      </c>
      <c r="L377" s="83">
        <v>107.63428571428574</v>
      </c>
      <c r="M377" s="84">
        <v>86.107428571428585</v>
      </c>
      <c r="N377" s="59">
        <f t="shared" si="5"/>
        <v>0.39047619047619042</v>
      </c>
      <c r="O377" s="85" t="s">
        <v>1004</v>
      </c>
      <c r="P377" s="86" t="s">
        <v>123</v>
      </c>
      <c r="Q377" s="87" t="s">
        <v>3208</v>
      </c>
      <c r="R377" s="87">
        <v>10</v>
      </c>
      <c r="S377" s="88">
        <v>14.127000000000001</v>
      </c>
      <c r="T377" s="88">
        <v>10.763428571428573</v>
      </c>
      <c r="U377" s="88">
        <v>8.6107428571428581</v>
      </c>
      <c r="V377" s="87" t="s">
        <v>3061</v>
      </c>
      <c r="W377" s="87" t="s">
        <v>3107</v>
      </c>
      <c r="X377" s="90" t="s">
        <v>3477</v>
      </c>
      <c r="Y377" s="89"/>
      <c r="Z377" s="89">
        <v>3</v>
      </c>
      <c r="AA377" s="89"/>
      <c r="AB377" s="89"/>
    </row>
    <row r="378" spans="1:28" s="31" customFormat="1" ht="60" customHeight="1" x14ac:dyDescent="0.2">
      <c r="A378" s="76">
        <v>377</v>
      </c>
      <c r="B378" s="77">
        <v>50003874</v>
      </c>
      <c r="C378" s="78" t="s">
        <v>1018</v>
      </c>
      <c r="D378" s="79">
        <v>0.05</v>
      </c>
      <c r="E378" s="80">
        <v>30049099</v>
      </c>
      <c r="F378" s="81" t="s">
        <v>1019</v>
      </c>
      <c r="G378" s="82" t="s">
        <v>1020</v>
      </c>
      <c r="H378" s="82" t="s">
        <v>26</v>
      </c>
      <c r="I378" s="79" t="s">
        <v>2666</v>
      </c>
      <c r="J378" s="83">
        <v>47.84</v>
      </c>
      <c r="K378" s="83">
        <v>36.449523809523811</v>
      </c>
      <c r="L378" s="83">
        <v>36.449523809523811</v>
      </c>
      <c r="M378" s="84">
        <v>29.159619047619049</v>
      </c>
      <c r="N378" s="59">
        <f t="shared" si="5"/>
        <v>0.39047619047619048</v>
      </c>
      <c r="O378" s="85" t="s">
        <v>1004</v>
      </c>
      <c r="P378" s="86" t="s">
        <v>123</v>
      </c>
      <c r="Q378" s="87" t="s">
        <v>3207</v>
      </c>
      <c r="R378" s="87">
        <v>10</v>
      </c>
      <c r="S378" s="88">
        <v>4.7840000000000007</v>
      </c>
      <c r="T378" s="88">
        <v>3.6449523809523812</v>
      </c>
      <c r="U378" s="88">
        <v>2.9159619047619048</v>
      </c>
      <c r="V378" s="87" t="s">
        <v>3061</v>
      </c>
      <c r="W378" s="87" t="s">
        <v>3107</v>
      </c>
      <c r="X378" s="90" t="s">
        <v>3477</v>
      </c>
      <c r="Y378" s="89" t="s">
        <v>3455</v>
      </c>
      <c r="Z378" s="89">
        <v>3</v>
      </c>
      <c r="AA378" s="89"/>
      <c r="AB378" s="89"/>
    </row>
    <row r="379" spans="1:28" s="31" customFormat="1" ht="60" customHeight="1" x14ac:dyDescent="0.2">
      <c r="A379" s="76">
        <v>378</v>
      </c>
      <c r="B379" s="77">
        <v>50003883</v>
      </c>
      <c r="C379" s="78" t="s">
        <v>1021</v>
      </c>
      <c r="D379" s="79">
        <v>0.05</v>
      </c>
      <c r="E379" s="80">
        <v>30049099</v>
      </c>
      <c r="F379" s="81" t="s">
        <v>1022</v>
      </c>
      <c r="G379" s="82" t="s">
        <v>1023</v>
      </c>
      <c r="H379" s="82" t="s">
        <v>30</v>
      </c>
      <c r="I379" s="79" t="s">
        <v>2666</v>
      </c>
      <c r="J379" s="83">
        <v>84.87</v>
      </c>
      <c r="K379" s="83">
        <v>64.662857142857135</v>
      </c>
      <c r="L379" s="83">
        <v>64.662857142857135</v>
      </c>
      <c r="M379" s="84">
        <v>51.730285714285714</v>
      </c>
      <c r="N379" s="59">
        <f t="shared" si="5"/>
        <v>0.39047619047619053</v>
      </c>
      <c r="O379" s="85" t="s">
        <v>1004</v>
      </c>
      <c r="P379" s="86" t="s">
        <v>123</v>
      </c>
      <c r="Q379" s="87" t="s">
        <v>3207</v>
      </c>
      <c r="R379" s="87">
        <v>10</v>
      </c>
      <c r="S379" s="88">
        <v>8.4870000000000001</v>
      </c>
      <c r="T379" s="88">
        <v>6.4662857142857133</v>
      </c>
      <c r="U379" s="88">
        <v>5.1730285714285715</v>
      </c>
      <c r="V379" s="87" t="s">
        <v>3061</v>
      </c>
      <c r="W379" s="87" t="s">
        <v>3107</v>
      </c>
      <c r="X379" s="90" t="s">
        <v>3477</v>
      </c>
      <c r="Y379" s="89" t="s">
        <v>3455</v>
      </c>
      <c r="Z379" s="89">
        <v>3</v>
      </c>
      <c r="AA379" s="89"/>
      <c r="AB379" s="89"/>
    </row>
    <row r="380" spans="1:28" s="31" customFormat="1" ht="60" customHeight="1" x14ac:dyDescent="0.2">
      <c r="A380" s="76">
        <v>379</v>
      </c>
      <c r="B380" s="77">
        <v>50003870</v>
      </c>
      <c r="C380" s="78" t="s">
        <v>1024</v>
      </c>
      <c r="D380" s="79">
        <v>0.05</v>
      </c>
      <c r="E380" s="80">
        <v>30049099</v>
      </c>
      <c r="F380" s="81" t="s">
        <v>1025</v>
      </c>
      <c r="G380" s="82" t="s">
        <v>1026</v>
      </c>
      <c r="H380" s="82" t="s">
        <v>294</v>
      </c>
      <c r="I380" s="79" t="s">
        <v>2666</v>
      </c>
      <c r="J380" s="83">
        <v>135.43</v>
      </c>
      <c r="K380" s="83">
        <v>103.1847619047619</v>
      </c>
      <c r="L380" s="83">
        <v>103.1847619047619</v>
      </c>
      <c r="M380" s="84">
        <v>82.547809523809519</v>
      </c>
      <c r="N380" s="59">
        <f t="shared" si="5"/>
        <v>0.39047619047619053</v>
      </c>
      <c r="O380" s="85" t="s">
        <v>1004</v>
      </c>
      <c r="P380" s="86" t="s">
        <v>123</v>
      </c>
      <c r="Q380" s="87" t="s">
        <v>3207</v>
      </c>
      <c r="R380" s="87">
        <v>10</v>
      </c>
      <c r="S380" s="88">
        <v>13.543000000000001</v>
      </c>
      <c r="T380" s="88">
        <v>10.31847619047619</v>
      </c>
      <c r="U380" s="88">
        <v>8.2547809523809512</v>
      </c>
      <c r="V380" s="87" t="s">
        <v>3061</v>
      </c>
      <c r="W380" s="87" t="s">
        <v>3107</v>
      </c>
      <c r="X380" s="90" t="s">
        <v>3477</v>
      </c>
      <c r="Y380" s="89" t="s">
        <v>3455</v>
      </c>
      <c r="Z380" s="89">
        <v>3</v>
      </c>
      <c r="AA380" s="89"/>
      <c r="AB380" s="89"/>
    </row>
    <row r="381" spans="1:28" s="31" customFormat="1" ht="60" customHeight="1" x14ac:dyDescent="0.2">
      <c r="A381" s="76">
        <v>380</v>
      </c>
      <c r="B381" s="77">
        <v>50003876</v>
      </c>
      <c r="C381" s="78" t="s">
        <v>1027</v>
      </c>
      <c r="D381" s="79">
        <v>0.05</v>
      </c>
      <c r="E381" s="80">
        <v>30049089</v>
      </c>
      <c r="F381" s="81" t="s">
        <v>1028</v>
      </c>
      <c r="G381" s="82" t="s">
        <v>1029</v>
      </c>
      <c r="H381" s="82" t="s">
        <v>3864</v>
      </c>
      <c r="I381" s="79" t="s">
        <v>2666</v>
      </c>
      <c r="J381" s="83">
        <v>170.14</v>
      </c>
      <c r="K381" s="83">
        <v>129.6304761904762</v>
      </c>
      <c r="L381" s="83">
        <v>129.6304761904762</v>
      </c>
      <c r="M381" s="84">
        <v>103.70438095238097</v>
      </c>
      <c r="N381" s="59">
        <f t="shared" si="5"/>
        <v>0.39047619047619031</v>
      </c>
      <c r="O381" s="85" t="s">
        <v>1004</v>
      </c>
      <c r="P381" s="86" t="s">
        <v>22</v>
      </c>
      <c r="Q381" s="87" t="s">
        <v>3208</v>
      </c>
      <c r="R381" s="87">
        <v>10</v>
      </c>
      <c r="S381" s="88">
        <v>17.013999999999999</v>
      </c>
      <c r="T381" s="88">
        <v>12.96304761904762</v>
      </c>
      <c r="U381" s="88">
        <v>10.370438095238097</v>
      </c>
      <c r="V381" s="87" t="s">
        <v>3061</v>
      </c>
      <c r="W381" s="87" t="s">
        <v>3107</v>
      </c>
      <c r="X381" s="90" t="s">
        <v>3477</v>
      </c>
      <c r="Y381" s="89" t="s">
        <v>3455</v>
      </c>
      <c r="Z381" s="89">
        <v>3</v>
      </c>
      <c r="AA381" s="89"/>
      <c r="AB381" s="89" t="s">
        <v>4613</v>
      </c>
    </row>
    <row r="382" spans="1:28" s="31" customFormat="1" ht="60" customHeight="1" x14ac:dyDescent="0.2">
      <c r="A382" s="76">
        <v>381</v>
      </c>
      <c r="B382" s="77">
        <v>50003879</v>
      </c>
      <c r="C382" s="78" t="s">
        <v>1030</v>
      </c>
      <c r="D382" s="79">
        <v>0.05</v>
      </c>
      <c r="E382" s="80">
        <v>30049089</v>
      </c>
      <c r="F382" s="81" t="s">
        <v>1031</v>
      </c>
      <c r="G382" s="82" t="s">
        <v>1032</v>
      </c>
      <c r="H382" s="82" t="s">
        <v>3865</v>
      </c>
      <c r="I382" s="79" t="s">
        <v>2666</v>
      </c>
      <c r="J382" s="83">
        <v>121.4</v>
      </c>
      <c r="K382" s="83">
        <v>92.495238095238093</v>
      </c>
      <c r="L382" s="83">
        <v>92.495238095238093</v>
      </c>
      <c r="M382" s="84">
        <v>73.996190476190463</v>
      </c>
      <c r="N382" s="59">
        <f t="shared" si="5"/>
        <v>0.39047619047619059</v>
      </c>
      <c r="O382" s="85" t="s">
        <v>1004</v>
      </c>
      <c r="P382" s="86" t="s">
        <v>123</v>
      </c>
      <c r="Q382" s="87" t="s">
        <v>3208</v>
      </c>
      <c r="R382" s="87">
        <v>10</v>
      </c>
      <c r="S382" s="88">
        <v>12.14</v>
      </c>
      <c r="T382" s="88">
        <v>9.2495238095238097</v>
      </c>
      <c r="U382" s="88">
        <v>7.399619047619046</v>
      </c>
      <c r="V382" s="87" t="s">
        <v>3061</v>
      </c>
      <c r="W382" s="87" t="s">
        <v>3107</v>
      </c>
      <c r="X382" s="90" t="s">
        <v>3477</v>
      </c>
      <c r="Y382" s="89" t="s">
        <v>3455</v>
      </c>
      <c r="Z382" s="89">
        <v>3</v>
      </c>
      <c r="AA382" s="89"/>
      <c r="AB382" s="89" t="s">
        <v>4613</v>
      </c>
    </row>
    <row r="383" spans="1:28" s="31" customFormat="1" ht="60" customHeight="1" x14ac:dyDescent="0.2">
      <c r="A383" s="76">
        <v>382</v>
      </c>
      <c r="B383" s="77">
        <v>50003877</v>
      </c>
      <c r="C383" s="78" t="s">
        <v>1033</v>
      </c>
      <c r="D383" s="79">
        <v>0.05</v>
      </c>
      <c r="E383" s="80">
        <v>30049089</v>
      </c>
      <c r="F383" s="81" t="s">
        <v>1034</v>
      </c>
      <c r="G383" s="82" t="s">
        <v>1035</v>
      </c>
      <c r="H383" s="82" t="s">
        <v>3866</v>
      </c>
      <c r="I383" s="79" t="s">
        <v>2666</v>
      </c>
      <c r="J383" s="83">
        <v>90.19</v>
      </c>
      <c r="K383" s="83">
        <v>68.716190476190476</v>
      </c>
      <c r="L383" s="83">
        <v>68.716190476190476</v>
      </c>
      <c r="M383" s="84">
        <v>54.972952380952385</v>
      </c>
      <c r="N383" s="59">
        <f t="shared" si="5"/>
        <v>0.39047619047619042</v>
      </c>
      <c r="O383" s="85" t="s">
        <v>1004</v>
      </c>
      <c r="P383" s="86" t="s">
        <v>48</v>
      </c>
      <c r="Q383" s="87" t="s">
        <v>3208</v>
      </c>
      <c r="R383" s="87">
        <v>10</v>
      </c>
      <c r="S383" s="88">
        <v>9.0190000000000001</v>
      </c>
      <c r="T383" s="88">
        <v>6.8716190476190473</v>
      </c>
      <c r="U383" s="88">
        <v>5.4972952380952389</v>
      </c>
      <c r="V383" s="87" t="s">
        <v>3061</v>
      </c>
      <c r="W383" s="87" t="s">
        <v>3107</v>
      </c>
      <c r="X383" s="90" t="s">
        <v>3477</v>
      </c>
      <c r="Y383" s="89" t="s">
        <v>3455</v>
      </c>
      <c r="Z383" s="89">
        <v>3</v>
      </c>
      <c r="AA383" s="89"/>
      <c r="AB383" s="89"/>
    </row>
    <row r="384" spans="1:28" s="31" customFormat="1" ht="60" customHeight="1" x14ac:dyDescent="0.2">
      <c r="A384" s="76">
        <v>383</v>
      </c>
      <c r="B384" s="77">
        <v>50003863</v>
      </c>
      <c r="C384" s="78" t="s">
        <v>1036</v>
      </c>
      <c r="D384" s="79">
        <v>0.05</v>
      </c>
      <c r="E384" s="80">
        <v>30049099</v>
      </c>
      <c r="F384" s="81" t="s">
        <v>1037</v>
      </c>
      <c r="G384" s="82" t="s">
        <v>1038</v>
      </c>
      <c r="H384" s="82" t="s">
        <v>66</v>
      </c>
      <c r="I384" s="79" t="s">
        <v>2666</v>
      </c>
      <c r="J384" s="83">
        <v>60.01</v>
      </c>
      <c r="K384" s="83">
        <v>45.72190476190476</v>
      </c>
      <c r="L384" s="83">
        <v>45.72190476190476</v>
      </c>
      <c r="M384" s="84">
        <v>36.577523809523811</v>
      </c>
      <c r="N384" s="59">
        <f t="shared" si="5"/>
        <v>0.39047619047619042</v>
      </c>
      <c r="O384" s="85" t="s">
        <v>1004</v>
      </c>
      <c r="P384" s="86" t="s">
        <v>4261</v>
      </c>
      <c r="Q384" s="87" t="s">
        <v>3207</v>
      </c>
      <c r="R384" s="87">
        <v>10</v>
      </c>
      <c r="S384" s="88">
        <v>6.0009999999999994</v>
      </c>
      <c r="T384" s="88">
        <v>4.5721904761904764</v>
      </c>
      <c r="U384" s="88">
        <v>3.6577523809523811</v>
      </c>
      <c r="V384" s="87" t="s">
        <v>3061</v>
      </c>
      <c r="W384" s="87" t="s">
        <v>3107</v>
      </c>
      <c r="X384" s="90" t="s">
        <v>3477</v>
      </c>
      <c r="Y384" s="89" t="s">
        <v>3455</v>
      </c>
      <c r="Z384" s="89">
        <v>3</v>
      </c>
      <c r="AA384" s="89"/>
      <c r="AB384" s="89"/>
    </row>
    <row r="385" spans="1:28" s="31" customFormat="1" ht="60" customHeight="1" x14ac:dyDescent="0.2">
      <c r="A385" s="76">
        <v>384</v>
      </c>
      <c r="B385" s="77">
        <v>50002664</v>
      </c>
      <c r="C385" s="78" t="s">
        <v>1039</v>
      </c>
      <c r="D385" s="79">
        <v>0.05</v>
      </c>
      <c r="E385" s="80">
        <v>30049099</v>
      </c>
      <c r="F385" s="81" t="s">
        <v>1040</v>
      </c>
      <c r="G385" s="82" t="s">
        <v>1041</v>
      </c>
      <c r="H385" s="82" t="s">
        <v>72</v>
      </c>
      <c r="I385" s="79" t="s">
        <v>2666</v>
      </c>
      <c r="J385" s="83">
        <v>110.42</v>
      </c>
      <c r="K385" s="83">
        <v>84.129523809523818</v>
      </c>
      <c r="L385" s="83">
        <v>84.129523809523818</v>
      </c>
      <c r="M385" s="84">
        <v>67.303619047619051</v>
      </c>
      <c r="N385" s="59">
        <f t="shared" si="5"/>
        <v>0.39047619047619048</v>
      </c>
      <c r="O385" s="85" t="s">
        <v>1004</v>
      </c>
      <c r="P385" s="86" t="s">
        <v>2915</v>
      </c>
      <c r="Q385" s="87" t="s">
        <v>3207</v>
      </c>
      <c r="R385" s="87">
        <v>10</v>
      </c>
      <c r="S385" s="88">
        <v>11.042</v>
      </c>
      <c r="T385" s="88">
        <v>8.4129523809523814</v>
      </c>
      <c r="U385" s="88">
        <v>6.7303619047619048</v>
      </c>
      <c r="V385" s="87" t="s">
        <v>3061</v>
      </c>
      <c r="W385" s="87" t="s">
        <v>3107</v>
      </c>
      <c r="X385" s="90" t="s">
        <v>3477</v>
      </c>
      <c r="Y385" s="89" t="s">
        <v>3455</v>
      </c>
      <c r="Z385" s="89">
        <v>3</v>
      </c>
      <c r="AA385" s="89"/>
      <c r="AB385" s="89"/>
    </row>
    <row r="386" spans="1:28" s="31" customFormat="1" ht="60" customHeight="1" x14ac:dyDescent="0.2">
      <c r="A386" s="76">
        <v>385</v>
      </c>
      <c r="B386" s="77">
        <v>50003862</v>
      </c>
      <c r="C386" s="78" t="s">
        <v>1042</v>
      </c>
      <c r="D386" s="79">
        <v>0.05</v>
      </c>
      <c r="E386" s="80">
        <v>30049099</v>
      </c>
      <c r="F386" s="81" t="s">
        <v>1043</v>
      </c>
      <c r="G386" s="82" t="s">
        <v>1044</v>
      </c>
      <c r="H386" s="82" t="s">
        <v>1045</v>
      </c>
      <c r="I386" s="79" t="s">
        <v>2666</v>
      </c>
      <c r="J386" s="83">
        <v>184.27</v>
      </c>
      <c r="K386" s="83">
        <v>140.3961904761905</v>
      </c>
      <c r="L386" s="83">
        <v>140.3961904761905</v>
      </c>
      <c r="M386" s="84">
        <v>112.31695238095242</v>
      </c>
      <c r="N386" s="59">
        <f t="shared" ref="N386:N449" si="6">(J386-M386)/J386</f>
        <v>0.39047619047619031</v>
      </c>
      <c r="O386" s="85" t="s">
        <v>1004</v>
      </c>
      <c r="P386" s="86" t="s">
        <v>4261</v>
      </c>
      <c r="Q386" s="87" t="s">
        <v>3207</v>
      </c>
      <c r="R386" s="87">
        <v>10</v>
      </c>
      <c r="S386" s="88">
        <v>18.427</v>
      </c>
      <c r="T386" s="88">
        <v>14.03961904761905</v>
      </c>
      <c r="U386" s="88">
        <v>11.231695238095242</v>
      </c>
      <c r="V386" s="87" t="s">
        <v>3061</v>
      </c>
      <c r="W386" s="87" t="s">
        <v>3107</v>
      </c>
      <c r="X386" s="90" t="s">
        <v>3477</v>
      </c>
      <c r="Y386" s="89" t="s">
        <v>3455</v>
      </c>
      <c r="Z386" s="89">
        <v>3</v>
      </c>
      <c r="AA386" s="89"/>
      <c r="AB386" s="89"/>
    </row>
    <row r="387" spans="1:28" s="31" customFormat="1" ht="60" customHeight="1" x14ac:dyDescent="0.2">
      <c r="A387" s="76">
        <v>386</v>
      </c>
      <c r="B387" s="77">
        <v>50003861</v>
      </c>
      <c r="C387" s="78" t="s">
        <v>1046</v>
      </c>
      <c r="D387" s="79">
        <v>0.05</v>
      </c>
      <c r="E387" s="80">
        <v>30049099</v>
      </c>
      <c r="F387" s="81" t="s">
        <v>1047</v>
      </c>
      <c r="G387" s="82" t="s">
        <v>1048</v>
      </c>
      <c r="H387" s="82" t="s">
        <v>607</v>
      </c>
      <c r="I387" s="79" t="s">
        <v>2666</v>
      </c>
      <c r="J387" s="83">
        <v>338</v>
      </c>
      <c r="K387" s="83">
        <v>257.52380952380952</v>
      </c>
      <c r="L387" s="83">
        <v>257.52380952380952</v>
      </c>
      <c r="M387" s="84">
        <v>206.01904761904763</v>
      </c>
      <c r="N387" s="59">
        <f t="shared" si="6"/>
        <v>0.39047619047619048</v>
      </c>
      <c r="O387" s="85" t="s">
        <v>1004</v>
      </c>
      <c r="P387" s="86" t="s">
        <v>95</v>
      </c>
      <c r="Q387" s="87" t="s">
        <v>3208</v>
      </c>
      <c r="R387" s="87">
        <v>10</v>
      </c>
      <c r="S387" s="88">
        <v>33.799999999999997</v>
      </c>
      <c r="T387" s="88">
        <v>25.752380952380953</v>
      </c>
      <c r="U387" s="88">
        <v>20.601904761904763</v>
      </c>
      <c r="V387" s="87" t="s">
        <v>3061</v>
      </c>
      <c r="W387" s="87" t="s">
        <v>3107</v>
      </c>
      <c r="X387" s="90" t="s">
        <v>3477</v>
      </c>
      <c r="Y387" s="89" t="s">
        <v>3455</v>
      </c>
      <c r="Z387" s="89">
        <v>3</v>
      </c>
      <c r="AA387" s="89"/>
      <c r="AB387" s="89" t="s">
        <v>4613</v>
      </c>
    </row>
    <row r="388" spans="1:28" s="31" customFormat="1" ht="60" customHeight="1" x14ac:dyDescent="0.2">
      <c r="A388" s="76">
        <v>387</v>
      </c>
      <c r="B388" s="77">
        <v>50004724</v>
      </c>
      <c r="C388" s="78" t="s">
        <v>1049</v>
      </c>
      <c r="D388" s="79">
        <v>0.05</v>
      </c>
      <c r="E388" s="80">
        <v>30049099</v>
      </c>
      <c r="F388" s="81" t="s">
        <v>1050</v>
      </c>
      <c r="G388" s="82" t="s">
        <v>1051</v>
      </c>
      <c r="H388" s="82" t="s">
        <v>3867</v>
      </c>
      <c r="I388" s="79" t="s">
        <v>2682</v>
      </c>
      <c r="J388" s="83">
        <v>113.05</v>
      </c>
      <c r="K388" s="83">
        <v>86.13333333333334</v>
      </c>
      <c r="L388" s="83">
        <v>86.13333333333334</v>
      </c>
      <c r="M388" s="84">
        <v>68.906666666666666</v>
      </c>
      <c r="N388" s="59">
        <f t="shared" si="6"/>
        <v>0.39047619047619048</v>
      </c>
      <c r="O388" s="85" t="s">
        <v>1004</v>
      </c>
      <c r="P388" s="86" t="s">
        <v>2709</v>
      </c>
      <c r="Q388" s="87" t="s">
        <v>3208</v>
      </c>
      <c r="R388" s="87">
        <v>1</v>
      </c>
      <c r="S388" s="88">
        <v>113.05</v>
      </c>
      <c r="T388" s="88">
        <v>86.13333333333334</v>
      </c>
      <c r="U388" s="88">
        <v>68.906666666666666</v>
      </c>
      <c r="V388" s="87" t="s">
        <v>3062</v>
      </c>
      <c r="W388" s="87" t="s">
        <v>3107</v>
      </c>
      <c r="X388" s="90" t="s">
        <v>3479</v>
      </c>
      <c r="Y388" s="89" t="s">
        <v>3455</v>
      </c>
      <c r="Z388" s="89">
        <v>1</v>
      </c>
      <c r="AA388" s="89"/>
      <c r="AB388" s="89" t="s">
        <v>4613</v>
      </c>
    </row>
    <row r="389" spans="1:28" s="31" customFormat="1" ht="60" customHeight="1" x14ac:dyDescent="0.2">
      <c r="A389" s="76">
        <v>388</v>
      </c>
      <c r="B389" s="77">
        <v>50005174</v>
      </c>
      <c r="C389" s="78" t="s">
        <v>3302</v>
      </c>
      <c r="D389" s="79">
        <v>0.05</v>
      </c>
      <c r="E389" s="80">
        <v>30049082</v>
      </c>
      <c r="F389" s="81" t="s">
        <v>3303</v>
      </c>
      <c r="G389" s="82" t="s">
        <v>1041</v>
      </c>
      <c r="H389" s="82" t="s">
        <v>72</v>
      </c>
      <c r="I389" s="79" t="s">
        <v>2682</v>
      </c>
      <c r="J389" s="83">
        <v>419.66</v>
      </c>
      <c r="K389" s="83">
        <v>319.74095238095236</v>
      </c>
      <c r="L389" s="83">
        <v>319.74095238095236</v>
      </c>
      <c r="M389" s="84">
        <v>255.79276190476187</v>
      </c>
      <c r="N389" s="59">
        <f t="shared" si="6"/>
        <v>0.39047619047619059</v>
      </c>
      <c r="O389" s="85" t="s">
        <v>1004</v>
      </c>
      <c r="P389" s="86" t="s">
        <v>3304</v>
      </c>
      <c r="Q389" s="87" t="s">
        <v>3207</v>
      </c>
      <c r="R389" s="87">
        <v>1</v>
      </c>
      <c r="S389" s="88">
        <v>419.66</v>
      </c>
      <c r="T389" s="88">
        <v>319.74095238095236</v>
      </c>
      <c r="U389" s="88">
        <v>255.79276190476187</v>
      </c>
      <c r="V389" s="87" t="s">
        <v>3062</v>
      </c>
      <c r="W389" s="87" t="s">
        <v>3107</v>
      </c>
      <c r="X389" s="90" t="s">
        <v>3480</v>
      </c>
      <c r="Y389" s="89" t="s">
        <v>3455</v>
      </c>
      <c r="Z389" s="89">
        <v>1</v>
      </c>
      <c r="AA389" s="89"/>
      <c r="AB389" s="89"/>
    </row>
    <row r="390" spans="1:28" s="31" customFormat="1" ht="60" customHeight="1" x14ac:dyDescent="0.2">
      <c r="A390" s="76">
        <v>389</v>
      </c>
      <c r="B390" s="77">
        <v>50003871</v>
      </c>
      <c r="C390" s="78" t="s">
        <v>1052</v>
      </c>
      <c r="D390" s="79">
        <v>0.05</v>
      </c>
      <c r="E390" s="80">
        <v>30049082</v>
      </c>
      <c r="F390" s="81" t="s">
        <v>1053</v>
      </c>
      <c r="G390" s="82" t="s">
        <v>1054</v>
      </c>
      <c r="H390" s="82" t="s">
        <v>323</v>
      </c>
      <c r="I390" s="79" t="s">
        <v>2666</v>
      </c>
      <c r="J390" s="83">
        <v>154.26</v>
      </c>
      <c r="K390" s="83">
        <v>117.53142857142856</v>
      </c>
      <c r="L390" s="83">
        <v>117.53142857142856</v>
      </c>
      <c r="M390" s="84">
        <v>94.025142857142825</v>
      </c>
      <c r="N390" s="59">
        <f t="shared" si="6"/>
        <v>0.39047619047619064</v>
      </c>
      <c r="O390" s="85" t="s">
        <v>1004</v>
      </c>
      <c r="P390" s="86" t="s">
        <v>4775</v>
      </c>
      <c r="Q390" s="87" t="s">
        <v>3208</v>
      </c>
      <c r="R390" s="87">
        <v>10</v>
      </c>
      <c r="S390" s="88">
        <v>15.425999999999998</v>
      </c>
      <c r="T390" s="88">
        <v>11.753142857142857</v>
      </c>
      <c r="U390" s="88">
        <v>9.4025142857142825</v>
      </c>
      <c r="V390" s="87" t="s">
        <v>3061</v>
      </c>
      <c r="W390" s="87" t="s">
        <v>3107</v>
      </c>
      <c r="X390" s="90" t="s">
        <v>3477</v>
      </c>
      <c r="Y390" s="89"/>
      <c r="Z390" s="89">
        <v>3</v>
      </c>
      <c r="AA390" s="89"/>
      <c r="AB390" s="89"/>
    </row>
    <row r="391" spans="1:28" s="31" customFormat="1" ht="60" customHeight="1" x14ac:dyDescent="0.2">
      <c r="A391" s="76">
        <v>390</v>
      </c>
      <c r="B391" s="77">
        <v>50003885</v>
      </c>
      <c r="C391" s="78" t="s">
        <v>1055</v>
      </c>
      <c r="D391" s="79">
        <v>0.05</v>
      </c>
      <c r="E391" s="80">
        <v>30049082</v>
      </c>
      <c r="F391" s="81" t="s">
        <v>1056</v>
      </c>
      <c r="G391" s="82" t="s">
        <v>1057</v>
      </c>
      <c r="H391" s="82" t="s">
        <v>246</v>
      </c>
      <c r="I391" s="79" t="s">
        <v>2666</v>
      </c>
      <c r="J391" s="83">
        <v>269.97000000000003</v>
      </c>
      <c r="K391" s="83">
        <v>205.69142857142862</v>
      </c>
      <c r="L391" s="83">
        <v>205.69142857142862</v>
      </c>
      <c r="M391" s="84">
        <v>164.55314285714292</v>
      </c>
      <c r="N391" s="59">
        <f t="shared" si="6"/>
        <v>0.39047619047619031</v>
      </c>
      <c r="O391" s="85" t="s">
        <v>1004</v>
      </c>
      <c r="P391" s="86" t="s">
        <v>4775</v>
      </c>
      <c r="Q391" s="87" t="s">
        <v>3208</v>
      </c>
      <c r="R391" s="87">
        <v>10</v>
      </c>
      <c r="S391" s="88">
        <v>26.997000000000003</v>
      </c>
      <c r="T391" s="88">
        <v>20.569142857142861</v>
      </c>
      <c r="U391" s="88">
        <v>16.455314285714291</v>
      </c>
      <c r="V391" s="87" t="s">
        <v>3061</v>
      </c>
      <c r="W391" s="87" t="s">
        <v>3107</v>
      </c>
      <c r="X391" s="90" t="s">
        <v>3477</v>
      </c>
      <c r="Y391" s="89"/>
      <c r="Z391" s="89">
        <v>3</v>
      </c>
      <c r="AA391" s="89"/>
      <c r="AB391" s="89"/>
    </row>
    <row r="392" spans="1:28" s="31" customFormat="1" ht="60" customHeight="1" x14ac:dyDescent="0.2">
      <c r="A392" s="76">
        <v>391</v>
      </c>
      <c r="B392" s="77">
        <v>50003860</v>
      </c>
      <c r="C392" s="78" t="s">
        <v>1058</v>
      </c>
      <c r="D392" s="79">
        <v>0.05</v>
      </c>
      <c r="E392" s="80">
        <v>30049099</v>
      </c>
      <c r="F392" s="81" t="s">
        <v>1059</v>
      </c>
      <c r="G392" s="82" t="s">
        <v>1060</v>
      </c>
      <c r="H392" s="82" t="s">
        <v>3868</v>
      </c>
      <c r="I392" s="79" t="s">
        <v>2666</v>
      </c>
      <c r="J392" s="83">
        <v>218.62</v>
      </c>
      <c r="K392" s="83">
        <v>166.56761904761905</v>
      </c>
      <c r="L392" s="83">
        <v>166.56761904761905</v>
      </c>
      <c r="M392" s="84">
        <v>133.25409523809523</v>
      </c>
      <c r="N392" s="59">
        <f t="shared" si="6"/>
        <v>0.39047619047619053</v>
      </c>
      <c r="O392" s="85" t="s">
        <v>1004</v>
      </c>
      <c r="P392" s="86" t="s">
        <v>2748</v>
      </c>
      <c r="Q392" s="87" t="s">
        <v>3208</v>
      </c>
      <c r="R392" s="87">
        <v>10</v>
      </c>
      <c r="S392" s="88">
        <v>21.862000000000002</v>
      </c>
      <c r="T392" s="88">
        <v>16.656761904761904</v>
      </c>
      <c r="U392" s="88">
        <v>13.325409523809522</v>
      </c>
      <c r="V392" s="87" t="s">
        <v>3061</v>
      </c>
      <c r="W392" s="87" t="s">
        <v>3107</v>
      </c>
      <c r="X392" s="90" t="s">
        <v>3477</v>
      </c>
      <c r="Y392" s="89"/>
      <c r="Z392" s="89">
        <v>3</v>
      </c>
      <c r="AA392" s="89"/>
      <c r="AB392" s="89"/>
    </row>
    <row r="393" spans="1:28" s="31" customFormat="1" ht="60" customHeight="1" x14ac:dyDescent="0.2">
      <c r="A393" s="76">
        <v>392</v>
      </c>
      <c r="B393" s="77">
        <v>50001824</v>
      </c>
      <c r="C393" s="78" t="s">
        <v>1061</v>
      </c>
      <c r="D393" s="79">
        <v>0.05</v>
      </c>
      <c r="E393" s="80">
        <v>30049099</v>
      </c>
      <c r="F393" s="81" t="s">
        <v>1062</v>
      </c>
      <c r="G393" s="82" t="s">
        <v>1063</v>
      </c>
      <c r="H393" s="82" t="s">
        <v>3869</v>
      </c>
      <c r="I393" s="79" t="s">
        <v>2693</v>
      </c>
      <c r="J393" s="83">
        <v>162.07</v>
      </c>
      <c r="K393" s="83">
        <v>123.48190476190476</v>
      </c>
      <c r="L393" s="83">
        <v>123.48190476190476</v>
      </c>
      <c r="M393" s="84">
        <v>98.785523809523809</v>
      </c>
      <c r="N393" s="59">
        <f t="shared" si="6"/>
        <v>0.39047619047619048</v>
      </c>
      <c r="O393" s="85" t="s">
        <v>1004</v>
      </c>
      <c r="P393" s="86" t="s">
        <v>2788</v>
      </c>
      <c r="Q393" s="87" t="s">
        <v>3208</v>
      </c>
      <c r="R393" s="87">
        <v>10</v>
      </c>
      <c r="S393" s="88">
        <v>16.207000000000001</v>
      </c>
      <c r="T393" s="88">
        <v>12.348190476190476</v>
      </c>
      <c r="U393" s="88">
        <v>9.8785523809523816</v>
      </c>
      <c r="V393" s="87" t="s">
        <v>3061</v>
      </c>
      <c r="W393" s="87" t="s">
        <v>3108</v>
      </c>
      <c r="X393" s="90" t="s">
        <v>3478</v>
      </c>
      <c r="Y393" s="89"/>
      <c r="Z393" s="89">
        <v>3</v>
      </c>
      <c r="AA393" s="89" t="s">
        <v>3207</v>
      </c>
      <c r="AB393" s="89"/>
    </row>
    <row r="394" spans="1:28" s="31" customFormat="1" ht="60" customHeight="1" x14ac:dyDescent="0.2">
      <c r="A394" s="76">
        <v>393</v>
      </c>
      <c r="B394" s="77">
        <v>50002197</v>
      </c>
      <c r="C394" s="78" t="s">
        <v>1064</v>
      </c>
      <c r="D394" s="79">
        <v>0.05</v>
      </c>
      <c r="E394" s="80">
        <v>30049089</v>
      </c>
      <c r="F394" s="81" t="s">
        <v>1065</v>
      </c>
      <c r="G394" s="82" t="s">
        <v>1066</v>
      </c>
      <c r="H394" s="82" t="s">
        <v>1003</v>
      </c>
      <c r="I394" s="79" t="s">
        <v>2666</v>
      </c>
      <c r="J394" s="83">
        <v>37.71</v>
      </c>
      <c r="K394" s="83">
        <v>28.73142857142857</v>
      </c>
      <c r="L394" s="83">
        <v>26.337142857142855</v>
      </c>
      <c r="M394" s="84">
        <v>22.985142857142854</v>
      </c>
      <c r="N394" s="59">
        <f t="shared" si="6"/>
        <v>0.39047619047619059</v>
      </c>
      <c r="O394" s="85" t="s">
        <v>1004</v>
      </c>
      <c r="P394" s="86" t="s">
        <v>2804</v>
      </c>
      <c r="Q394" s="87" t="s">
        <v>3208</v>
      </c>
      <c r="R394" s="87">
        <v>10</v>
      </c>
      <c r="S394" s="88">
        <v>3.7709999999999999</v>
      </c>
      <c r="T394" s="88">
        <v>2.6337142857142855</v>
      </c>
      <c r="U394" s="88">
        <v>2.2985142857142855</v>
      </c>
      <c r="V394" s="87" t="s">
        <v>3061</v>
      </c>
      <c r="W394" s="87" t="s">
        <v>3107</v>
      </c>
      <c r="X394" s="90" t="s">
        <v>3477</v>
      </c>
      <c r="Y394" s="89"/>
      <c r="Z394" s="89">
        <v>6</v>
      </c>
      <c r="AA394" s="89"/>
      <c r="AB394" s="89"/>
    </row>
    <row r="395" spans="1:28" s="31" customFormat="1" ht="60" customHeight="1" x14ac:dyDescent="0.2">
      <c r="A395" s="76">
        <v>394</v>
      </c>
      <c r="B395" s="77">
        <v>50002191</v>
      </c>
      <c r="C395" s="78" t="s">
        <v>1067</v>
      </c>
      <c r="D395" s="79">
        <v>0.05</v>
      </c>
      <c r="E395" s="80">
        <v>30049089</v>
      </c>
      <c r="F395" s="81" t="s">
        <v>1068</v>
      </c>
      <c r="G395" s="82" t="s">
        <v>1069</v>
      </c>
      <c r="H395" s="82" t="s">
        <v>1070</v>
      </c>
      <c r="I395" s="79" t="s">
        <v>2666</v>
      </c>
      <c r="J395" s="83">
        <v>67.900000000000006</v>
      </c>
      <c r="K395" s="83">
        <v>51.733333333333334</v>
      </c>
      <c r="L395" s="83">
        <v>47.422222222222224</v>
      </c>
      <c r="M395" s="84">
        <v>41.38666666666667</v>
      </c>
      <c r="N395" s="59">
        <f t="shared" si="6"/>
        <v>0.39047619047619048</v>
      </c>
      <c r="O395" s="85" t="s">
        <v>1004</v>
      </c>
      <c r="P395" s="86" t="s">
        <v>2805</v>
      </c>
      <c r="Q395" s="87" t="s">
        <v>3208</v>
      </c>
      <c r="R395" s="87">
        <v>10</v>
      </c>
      <c r="S395" s="88">
        <v>6.7900000000000009</v>
      </c>
      <c r="T395" s="88">
        <v>4.7422222222222228</v>
      </c>
      <c r="U395" s="88">
        <v>4.1386666666666674</v>
      </c>
      <c r="V395" s="87" t="s">
        <v>3061</v>
      </c>
      <c r="W395" s="87" t="s">
        <v>3107</v>
      </c>
      <c r="X395" s="90" t="s">
        <v>3477</v>
      </c>
      <c r="Y395" s="89"/>
      <c r="Z395" s="89">
        <v>6</v>
      </c>
      <c r="AA395" s="89"/>
      <c r="AB395" s="89"/>
    </row>
    <row r="396" spans="1:28" s="31" customFormat="1" ht="60" customHeight="1" x14ac:dyDescent="0.2">
      <c r="A396" s="76">
        <v>395</v>
      </c>
      <c r="B396" s="77">
        <v>50002129</v>
      </c>
      <c r="C396" s="78" t="s">
        <v>1071</v>
      </c>
      <c r="D396" s="79">
        <v>0.05</v>
      </c>
      <c r="E396" s="80">
        <v>30049089</v>
      </c>
      <c r="F396" s="81" t="s">
        <v>1072</v>
      </c>
      <c r="G396" s="82" t="s">
        <v>1073</v>
      </c>
      <c r="H396" s="82" t="s">
        <v>3870</v>
      </c>
      <c r="I396" s="79" t="s">
        <v>2666</v>
      </c>
      <c r="J396" s="83">
        <v>74.7</v>
      </c>
      <c r="K396" s="83">
        <v>56.914285714285711</v>
      </c>
      <c r="L396" s="83">
        <v>52.171428571428571</v>
      </c>
      <c r="M396" s="84">
        <v>45.531428571428563</v>
      </c>
      <c r="N396" s="59">
        <f t="shared" si="6"/>
        <v>0.39047619047619059</v>
      </c>
      <c r="O396" s="85" t="s">
        <v>1004</v>
      </c>
      <c r="P396" s="86" t="s">
        <v>2694</v>
      </c>
      <c r="Q396" s="87" t="s">
        <v>3208</v>
      </c>
      <c r="R396" s="87">
        <v>10</v>
      </c>
      <c r="S396" s="88">
        <v>7.4700000000000006</v>
      </c>
      <c r="T396" s="88">
        <v>5.2171428571428571</v>
      </c>
      <c r="U396" s="88">
        <v>4.5531428571428565</v>
      </c>
      <c r="V396" s="87" t="s">
        <v>3061</v>
      </c>
      <c r="W396" s="87" t="s">
        <v>3107</v>
      </c>
      <c r="X396" s="90" t="s">
        <v>3477</v>
      </c>
      <c r="Y396" s="89"/>
      <c r="Z396" s="89">
        <v>3</v>
      </c>
      <c r="AA396" s="89"/>
      <c r="AB396" s="89" t="s">
        <v>4613</v>
      </c>
    </row>
    <row r="397" spans="1:28" s="31" customFormat="1" ht="60" customHeight="1" x14ac:dyDescent="0.2">
      <c r="A397" s="76">
        <v>396</v>
      </c>
      <c r="B397" s="77">
        <v>50001439</v>
      </c>
      <c r="C397" s="78" t="s">
        <v>1074</v>
      </c>
      <c r="D397" s="79">
        <v>0.05</v>
      </c>
      <c r="E397" s="80">
        <v>30049089</v>
      </c>
      <c r="F397" s="81" t="s">
        <v>1075</v>
      </c>
      <c r="G397" s="82" t="s">
        <v>598</v>
      </c>
      <c r="H397" s="82" t="s">
        <v>3717</v>
      </c>
      <c r="I397" s="79" t="s">
        <v>2666</v>
      </c>
      <c r="J397" s="83">
        <v>144.1</v>
      </c>
      <c r="K397" s="83">
        <v>109.7904761904762</v>
      </c>
      <c r="L397" s="83">
        <v>100.64126984126985</v>
      </c>
      <c r="M397" s="84">
        <v>90.577142857142846</v>
      </c>
      <c r="N397" s="59">
        <f t="shared" si="6"/>
        <v>0.3714285714285715</v>
      </c>
      <c r="O397" s="85" t="s">
        <v>1004</v>
      </c>
      <c r="P397" s="86" t="s">
        <v>95</v>
      </c>
      <c r="Q397" s="87" t="s">
        <v>3208</v>
      </c>
      <c r="R397" s="87">
        <v>10</v>
      </c>
      <c r="S397" s="88">
        <v>14.41</v>
      </c>
      <c r="T397" s="88">
        <v>10.064126984126984</v>
      </c>
      <c r="U397" s="88">
        <v>9.0577142857142849</v>
      </c>
      <c r="V397" s="87" t="s">
        <v>3061</v>
      </c>
      <c r="W397" s="87" t="s">
        <v>3107</v>
      </c>
      <c r="X397" s="90" t="s">
        <v>3477</v>
      </c>
      <c r="Y397" s="89"/>
      <c r="Z397" s="89">
        <v>4</v>
      </c>
      <c r="AA397" s="89"/>
      <c r="AB397" s="89"/>
    </row>
    <row r="398" spans="1:28" s="31" customFormat="1" ht="60" customHeight="1" x14ac:dyDescent="0.2">
      <c r="A398" s="76">
        <v>397</v>
      </c>
      <c r="B398" s="77">
        <v>50005724</v>
      </c>
      <c r="C398" s="78" t="s">
        <v>4787</v>
      </c>
      <c r="D398" s="79">
        <v>0.05</v>
      </c>
      <c r="E398" s="80">
        <v>30049081</v>
      </c>
      <c r="F398" s="81" t="s">
        <v>4806</v>
      </c>
      <c r="G398" s="82" t="s">
        <v>4836</v>
      </c>
      <c r="H398" s="82" t="s">
        <v>4837</v>
      </c>
      <c r="I398" s="79" t="s">
        <v>2666</v>
      </c>
      <c r="J398" s="83">
        <v>270</v>
      </c>
      <c r="K398" s="83">
        <v>205.71428571428572</v>
      </c>
      <c r="L398" s="83">
        <v>205.71428571428572</v>
      </c>
      <c r="M398" s="84">
        <v>164.57142857142858</v>
      </c>
      <c r="N398" s="59">
        <f t="shared" si="6"/>
        <v>0.39047619047619042</v>
      </c>
      <c r="O398" s="85" t="s">
        <v>1004</v>
      </c>
      <c r="P398" s="86" t="s">
        <v>48</v>
      </c>
      <c r="Q398" s="87" t="s">
        <v>3208</v>
      </c>
      <c r="R398" s="87">
        <v>10</v>
      </c>
      <c r="S398" s="88">
        <v>27</v>
      </c>
      <c r="T398" s="88">
        <v>20.571428571428573</v>
      </c>
      <c r="U398" s="88">
        <v>16.457142857142859</v>
      </c>
      <c r="V398" s="87" t="s">
        <v>3061</v>
      </c>
      <c r="W398" s="87" t="s">
        <v>3107</v>
      </c>
      <c r="X398" s="90" t="s">
        <v>3477</v>
      </c>
      <c r="Y398" s="89"/>
      <c r="Z398" s="89"/>
      <c r="AA398" s="89"/>
      <c r="AB398" s="89" t="s">
        <v>3299</v>
      </c>
    </row>
    <row r="399" spans="1:28" s="31" customFormat="1" ht="60" customHeight="1" x14ac:dyDescent="0.2">
      <c r="A399" s="76">
        <v>398</v>
      </c>
      <c r="B399" s="77">
        <v>50004776</v>
      </c>
      <c r="C399" s="78" t="s">
        <v>1076</v>
      </c>
      <c r="D399" s="79">
        <v>0.05</v>
      </c>
      <c r="E399" s="80">
        <v>30049081</v>
      </c>
      <c r="F399" s="81" t="s">
        <v>1077</v>
      </c>
      <c r="G399" s="82" t="s">
        <v>1078</v>
      </c>
      <c r="H399" s="82" t="s">
        <v>323</v>
      </c>
      <c r="I399" s="79" t="s">
        <v>2666</v>
      </c>
      <c r="J399" s="83">
        <v>79.680000000000007</v>
      </c>
      <c r="K399" s="83">
        <v>60.708571428571439</v>
      </c>
      <c r="L399" s="83">
        <v>60.708571428571439</v>
      </c>
      <c r="M399" s="84">
        <v>48.566857142857152</v>
      </c>
      <c r="N399" s="59">
        <f t="shared" si="6"/>
        <v>0.39047619047619042</v>
      </c>
      <c r="O399" s="85" t="s">
        <v>1004</v>
      </c>
      <c r="P399" s="86" t="s">
        <v>305</v>
      </c>
      <c r="Q399" s="87" t="s">
        <v>3208</v>
      </c>
      <c r="R399" s="87">
        <v>10</v>
      </c>
      <c r="S399" s="88">
        <v>7.9680000000000009</v>
      </c>
      <c r="T399" s="88">
        <v>6.0708571428571441</v>
      </c>
      <c r="U399" s="88">
        <v>4.8566857142857156</v>
      </c>
      <c r="V399" s="87" t="s">
        <v>3061</v>
      </c>
      <c r="W399" s="87" t="s">
        <v>3107</v>
      </c>
      <c r="X399" s="90" t="s">
        <v>3477</v>
      </c>
      <c r="Y399" s="89"/>
      <c r="Z399" s="89">
        <v>3</v>
      </c>
      <c r="AA399" s="89"/>
      <c r="AB399" s="89"/>
    </row>
    <row r="400" spans="1:28" s="31" customFormat="1" ht="60" customHeight="1" x14ac:dyDescent="0.2">
      <c r="A400" s="76">
        <v>399</v>
      </c>
      <c r="B400" s="77">
        <v>50003890</v>
      </c>
      <c r="C400" s="78" t="s">
        <v>1082</v>
      </c>
      <c r="D400" s="79">
        <v>0.05</v>
      </c>
      <c r="E400" s="80">
        <v>30049099</v>
      </c>
      <c r="F400" s="81" t="s">
        <v>1083</v>
      </c>
      <c r="G400" s="82" t="s">
        <v>1084</v>
      </c>
      <c r="H400" s="82" t="s">
        <v>3832</v>
      </c>
      <c r="I400" s="79" t="s">
        <v>2666</v>
      </c>
      <c r="J400" s="83">
        <v>120.2</v>
      </c>
      <c r="K400" s="83">
        <v>91.580952380952382</v>
      </c>
      <c r="L400" s="83">
        <v>91.580952380952382</v>
      </c>
      <c r="M400" s="84">
        <v>73.264761904761912</v>
      </c>
      <c r="N400" s="59">
        <f t="shared" si="6"/>
        <v>0.39047619047619042</v>
      </c>
      <c r="O400" s="85" t="s">
        <v>1004</v>
      </c>
      <c r="P400" s="86" t="s">
        <v>48</v>
      </c>
      <c r="Q400" s="87" t="s">
        <v>3208</v>
      </c>
      <c r="R400" s="87">
        <v>10</v>
      </c>
      <c r="S400" s="88">
        <v>12.02</v>
      </c>
      <c r="T400" s="88">
        <v>9.158095238095239</v>
      </c>
      <c r="U400" s="88">
        <v>7.3264761904761908</v>
      </c>
      <c r="V400" s="87" t="s">
        <v>3061</v>
      </c>
      <c r="W400" s="87" t="s">
        <v>3107</v>
      </c>
      <c r="X400" s="90" t="s">
        <v>3477</v>
      </c>
      <c r="Y400" s="89"/>
      <c r="Z400" s="89">
        <v>3</v>
      </c>
      <c r="AA400" s="89"/>
      <c r="AB400" s="89"/>
    </row>
    <row r="401" spans="1:28" s="31" customFormat="1" ht="60" customHeight="1" x14ac:dyDescent="0.2">
      <c r="A401" s="76">
        <v>400</v>
      </c>
      <c r="B401" s="77">
        <v>50003891</v>
      </c>
      <c r="C401" s="78" t="s">
        <v>1085</v>
      </c>
      <c r="D401" s="79">
        <v>0.05</v>
      </c>
      <c r="E401" s="80">
        <v>30049099</v>
      </c>
      <c r="F401" s="81" t="s">
        <v>1086</v>
      </c>
      <c r="G401" s="82" t="s">
        <v>1087</v>
      </c>
      <c r="H401" s="82" t="s">
        <v>3871</v>
      </c>
      <c r="I401" s="79" t="s">
        <v>2666</v>
      </c>
      <c r="J401" s="83">
        <v>288.75</v>
      </c>
      <c r="K401" s="83">
        <v>220</v>
      </c>
      <c r="L401" s="83">
        <v>220</v>
      </c>
      <c r="M401" s="84">
        <v>176</v>
      </c>
      <c r="N401" s="59">
        <f t="shared" si="6"/>
        <v>0.39047619047619048</v>
      </c>
      <c r="O401" s="85" t="s">
        <v>1004</v>
      </c>
      <c r="P401" s="86" t="s">
        <v>48</v>
      </c>
      <c r="Q401" s="87" t="s">
        <v>3208</v>
      </c>
      <c r="R401" s="87">
        <v>10</v>
      </c>
      <c r="S401" s="88">
        <v>28.875</v>
      </c>
      <c r="T401" s="88">
        <v>22</v>
      </c>
      <c r="U401" s="88">
        <v>17.600000000000001</v>
      </c>
      <c r="V401" s="87" t="s">
        <v>3061</v>
      </c>
      <c r="W401" s="87" t="s">
        <v>3107</v>
      </c>
      <c r="X401" s="90" t="s">
        <v>3477</v>
      </c>
      <c r="Y401" s="89"/>
      <c r="Z401" s="89">
        <v>3</v>
      </c>
      <c r="AA401" s="89"/>
      <c r="AB401" s="89"/>
    </row>
    <row r="402" spans="1:28" s="31" customFormat="1" ht="60" customHeight="1" x14ac:dyDescent="0.2">
      <c r="A402" s="76">
        <v>401</v>
      </c>
      <c r="B402" s="77">
        <v>50000326</v>
      </c>
      <c r="C402" s="78" t="s">
        <v>1088</v>
      </c>
      <c r="D402" s="79">
        <v>0.05</v>
      </c>
      <c r="E402" s="80">
        <v>30049099</v>
      </c>
      <c r="F402" s="81" t="s">
        <v>1089</v>
      </c>
      <c r="G402" s="82" t="s">
        <v>1090</v>
      </c>
      <c r="H402" s="82" t="s">
        <v>3872</v>
      </c>
      <c r="I402" s="79" t="s">
        <v>2687</v>
      </c>
      <c r="J402" s="83">
        <v>155</v>
      </c>
      <c r="K402" s="83">
        <v>118.0952380952381</v>
      </c>
      <c r="L402" s="83">
        <v>98.412698412698418</v>
      </c>
      <c r="M402" s="84">
        <v>88.571428571428584</v>
      </c>
      <c r="N402" s="59">
        <f t="shared" si="6"/>
        <v>0.42857142857142849</v>
      </c>
      <c r="O402" s="85" t="s">
        <v>1091</v>
      </c>
      <c r="P402" s="86" t="s">
        <v>2806</v>
      </c>
      <c r="Q402" s="87" t="s">
        <v>3208</v>
      </c>
      <c r="R402" s="87">
        <v>1</v>
      </c>
      <c r="S402" s="88">
        <v>155</v>
      </c>
      <c r="T402" s="88">
        <v>98.412698412698418</v>
      </c>
      <c r="U402" s="88">
        <v>88.571428571428584</v>
      </c>
      <c r="V402" s="87" t="s">
        <v>3062</v>
      </c>
      <c r="W402" s="87" t="s">
        <v>3108</v>
      </c>
      <c r="X402" s="90" t="s">
        <v>3480</v>
      </c>
      <c r="Y402" s="89"/>
      <c r="Z402" s="89">
        <v>1</v>
      </c>
      <c r="AA402" s="89"/>
      <c r="AB402" s="89"/>
    </row>
    <row r="403" spans="1:28" s="31" customFormat="1" ht="60" customHeight="1" x14ac:dyDescent="0.2">
      <c r="A403" s="76">
        <v>402</v>
      </c>
      <c r="B403" s="77">
        <v>50003030</v>
      </c>
      <c r="C403" s="78" t="s">
        <v>1092</v>
      </c>
      <c r="D403" s="79">
        <v>0.05</v>
      </c>
      <c r="E403" s="80">
        <v>30049079</v>
      </c>
      <c r="F403" s="81" t="s">
        <v>1093</v>
      </c>
      <c r="G403" s="82" t="s">
        <v>1094</v>
      </c>
      <c r="H403" s="82" t="s">
        <v>339</v>
      </c>
      <c r="I403" s="79" t="s">
        <v>2666</v>
      </c>
      <c r="J403" s="83">
        <v>63.74</v>
      </c>
      <c r="K403" s="83">
        <v>48.563809523809525</v>
      </c>
      <c r="L403" s="83">
        <v>48.563809523809525</v>
      </c>
      <c r="M403" s="84">
        <v>43.707428571428565</v>
      </c>
      <c r="N403" s="59">
        <f t="shared" si="6"/>
        <v>0.31428571428571439</v>
      </c>
      <c r="O403" s="85" t="s">
        <v>1091</v>
      </c>
      <c r="P403" s="86" t="s">
        <v>2707</v>
      </c>
      <c r="Q403" s="87" t="s">
        <v>3208</v>
      </c>
      <c r="R403" s="87">
        <v>10</v>
      </c>
      <c r="S403" s="88">
        <v>6.3740000000000006</v>
      </c>
      <c r="T403" s="88">
        <v>4.8563809523809525</v>
      </c>
      <c r="U403" s="88">
        <v>4.3707428571428562</v>
      </c>
      <c r="V403" s="87" t="s">
        <v>3061</v>
      </c>
      <c r="W403" s="87" t="s">
        <v>3100</v>
      </c>
      <c r="X403" s="90" t="s">
        <v>3477</v>
      </c>
      <c r="Y403" s="89"/>
      <c r="Z403" s="89">
        <v>3</v>
      </c>
      <c r="AA403" s="89"/>
      <c r="AB403" s="89"/>
    </row>
    <row r="404" spans="1:28" s="31" customFormat="1" ht="60" customHeight="1" x14ac:dyDescent="0.2">
      <c r="A404" s="76">
        <v>403</v>
      </c>
      <c r="B404" s="77">
        <v>50003031</v>
      </c>
      <c r="C404" s="78" t="s">
        <v>1095</v>
      </c>
      <c r="D404" s="79">
        <v>0.05</v>
      </c>
      <c r="E404" s="80">
        <v>30049079</v>
      </c>
      <c r="F404" s="81" t="s">
        <v>1096</v>
      </c>
      <c r="G404" s="82" t="s">
        <v>1097</v>
      </c>
      <c r="H404" s="82" t="s">
        <v>902</v>
      </c>
      <c r="I404" s="79" t="s">
        <v>2666</v>
      </c>
      <c r="J404" s="83">
        <v>108.74</v>
      </c>
      <c r="K404" s="83">
        <v>82.849523809523802</v>
      </c>
      <c r="L404" s="83">
        <v>82.849523809523802</v>
      </c>
      <c r="M404" s="84">
        <v>74.564571428571412</v>
      </c>
      <c r="N404" s="59">
        <f t="shared" si="6"/>
        <v>0.31428571428571439</v>
      </c>
      <c r="O404" s="85" t="s">
        <v>1091</v>
      </c>
      <c r="P404" s="86" t="s">
        <v>37</v>
      </c>
      <c r="Q404" s="87" t="s">
        <v>3208</v>
      </c>
      <c r="R404" s="87">
        <v>10</v>
      </c>
      <c r="S404" s="88">
        <v>10.873999999999999</v>
      </c>
      <c r="T404" s="88">
        <v>8.2849523809523795</v>
      </c>
      <c r="U404" s="88">
        <v>7.4564571428571416</v>
      </c>
      <c r="V404" s="87" t="s">
        <v>3061</v>
      </c>
      <c r="W404" s="87" t="s">
        <v>3100</v>
      </c>
      <c r="X404" s="90" t="s">
        <v>3477</v>
      </c>
      <c r="Y404" s="89"/>
      <c r="Z404" s="89">
        <v>3</v>
      </c>
      <c r="AA404" s="89"/>
      <c r="AB404" s="89"/>
    </row>
    <row r="405" spans="1:28" s="31" customFormat="1" ht="60" customHeight="1" x14ac:dyDescent="0.2">
      <c r="A405" s="76">
        <v>404</v>
      </c>
      <c r="B405" s="77">
        <v>50000328</v>
      </c>
      <c r="C405" s="78" t="s">
        <v>1098</v>
      </c>
      <c r="D405" s="79">
        <v>0.05</v>
      </c>
      <c r="E405" s="80">
        <v>30049087</v>
      </c>
      <c r="F405" s="81" t="s">
        <v>1099</v>
      </c>
      <c r="G405" s="82" t="s">
        <v>1100</v>
      </c>
      <c r="H405" s="82" t="s">
        <v>3873</v>
      </c>
      <c r="I405" s="79" t="s">
        <v>2704</v>
      </c>
      <c r="J405" s="83">
        <v>137.25</v>
      </c>
      <c r="K405" s="83">
        <v>104.57142857142858</v>
      </c>
      <c r="L405" s="83">
        <v>87.142857142857153</v>
      </c>
      <c r="M405" s="84">
        <v>78.428571428571445</v>
      </c>
      <c r="N405" s="59">
        <f t="shared" si="6"/>
        <v>0.42857142857142844</v>
      </c>
      <c r="O405" s="85" t="s">
        <v>1091</v>
      </c>
      <c r="P405" s="86" t="s">
        <v>1101</v>
      </c>
      <c r="Q405" s="87" t="s">
        <v>3208</v>
      </c>
      <c r="R405" s="87">
        <v>1</v>
      </c>
      <c r="S405" s="88">
        <v>137.25</v>
      </c>
      <c r="T405" s="88">
        <v>87.142857142857153</v>
      </c>
      <c r="U405" s="88">
        <v>78.428571428571445</v>
      </c>
      <c r="V405" s="87" t="s">
        <v>3062</v>
      </c>
      <c r="W405" s="87" t="s">
        <v>3109</v>
      </c>
      <c r="X405" s="90" t="s">
        <v>3497</v>
      </c>
      <c r="Y405" s="89"/>
      <c r="Z405" s="89">
        <v>1</v>
      </c>
      <c r="AA405" s="89"/>
      <c r="AB405" s="89"/>
    </row>
    <row r="406" spans="1:28" s="31" customFormat="1" ht="60" customHeight="1" x14ac:dyDescent="0.2">
      <c r="A406" s="76">
        <v>405</v>
      </c>
      <c r="B406" s="77">
        <v>50006100</v>
      </c>
      <c r="C406" s="78" t="s">
        <v>4788</v>
      </c>
      <c r="D406" s="79">
        <v>0.05</v>
      </c>
      <c r="E406" s="80">
        <v>30049079</v>
      </c>
      <c r="F406" s="81" t="s">
        <v>4807</v>
      </c>
      <c r="G406" s="82" t="s">
        <v>4838</v>
      </c>
      <c r="H406" s="82" t="s">
        <v>4839</v>
      </c>
      <c r="I406" s="79" t="s">
        <v>2666</v>
      </c>
      <c r="J406" s="83">
        <v>50</v>
      </c>
      <c r="K406" s="83">
        <v>38.095238095238095</v>
      </c>
      <c r="L406" s="83">
        <v>38.095238095238095</v>
      </c>
      <c r="M406" s="84">
        <v>34.285714285714285</v>
      </c>
      <c r="N406" s="59">
        <f t="shared" si="6"/>
        <v>0.31428571428571428</v>
      </c>
      <c r="O406" s="85" t="s">
        <v>1091</v>
      </c>
      <c r="P406" s="86" t="s">
        <v>3333</v>
      </c>
      <c r="Q406" s="87" t="s">
        <v>3208</v>
      </c>
      <c r="R406" s="87">
        <v>10</v>
      </c>
      <c r="S406" s="88">
        <v>5</v>
      </c>
      <c r="T406" s="88">
        <v>3.8095238095238093</v>
      </c>
      <c r="U406" s="88">
        <v>3.4285714285714284</v>
      </c>
      <c r="V406" s="87" t="s">
        <v>3061</v>
      </c>
      <c r="W406" s="87" t="s">
        <v>3100</v>
      </c>
      <c r="X406" s="90" t="s">
        <v>3477</v>
      </c>
      <c r="Y406" s="89"/>
      <c r="Z406" s="89"/>
      <c r="AA406" s="89"/>
      <c r="AB406" s="89" t="s">
        <v>3299</v>
      </c>
    </row>
    <row r="407" spans="1:28" s="31" customFormat="1" ht="60" customHeight="1" x14ac:dyDescent="0.2">
      <c r="A407" s="76">
        <v>406</v>
      </c>
      <c r="B407" s="77">
        <v>50002520</v>
      </c>
      <c r="C407" s="78" t="s">
        <v>1102</v>
      </c>
      <c r="D407" s="79">
        <v>0.05</v>
      </c>
      <c r="E407" s="80">
        <v>30049079</v>
      </c>
      <c r="F407" s="81" t="s">
        <v>1103</v>
      </c>
      <c r="G407" s="82" t="s">
        <v>1104</v>
      </c>
      <c r="H407" s="82" t="s">
        <v>20</v>
      </c>
      <c r="I407" s="79" t="s">
        <v>2666</v>
      </c>
      <c r="J407" s="83">
        <v>69.41</v>
      </c>
      <c r="K407" s="83">
        <v>52.883809523809518</v>
      </c>
      <c r="L407" s="83">
        <v>52.883809523809518</v>
      </c>
      <c r="M407" s="84">
        <v>47.595428571428549</v>
      </c>
      <c r="N407" s="59">
        <f t="shared" si="6"/>
        <v>0.31428571428571456</v>
      </c>
      <c r="O407" s="85" t="s">
        <v>1091</v>
      </c>
      <c r="P407" s="86" t="s">
        <v>2807</v>
      </c>
      <c r="Q407" s="87" t="s">
        <v>3208</v>
      </c>
      <c r="R407" s="87">
        <v>10</v>
      </c>
      <c r="S407" s="88">
        <v>6.9409999999999998</v>
      </c>
      <c r="T407" s="88">
        <v>5.288380952380952</v>
      </c>
      <c r="U407" s="88">
        <v>4.7595428571428551</v>
      </c>
      <c r="V407" s="87" t="s">
        <v>3061</v>
      </c>
      <c r="W407" s="87" t="s">
        <v>3100</v>
      </c>
      <c r="X407" s="90" t="s">
        <v>3477</v>
      </c>
      <c r="Y407" s="89" t="s">
        <v>3455</v>
      </c>
      <c r="Z407" s="89">
        <v>3</v>
      </c>
      <c r="AA407" s="89" t="s">
        <v>3207</v>
      </c>
      <c r="AB407" s="89"/>
    </row>
    <row r="408" spans="1:28" s="31" customFormat="1" ht="60" customHeight="1" x14ac:dyDescent="0.2">
      <c r="A408" s="76">
        <v>407</v>
      </c>
      <c r="B408" s="77">
        <v>50005843</v>
      </c>
      <c r="C408" s="78" t="s">
        <v>4750</v>
      </c>
      <c r="D408" s="79">
        <v>0.05</v>
      </c>
      <c r="E408" s="80">
        <v>30049079</v>
      </c>
      <c r="F408" s="81" t="s">
        <v>4751</v>
      </c>
      <c r="G408" s="82" t="s">
        <v>4752</v>
      </c>
      <c r="H408" s="82"/>
      <c r="I408" s="79" t="s">
        <v>2666</v>
      </c>
      <c r="J408" s="83">
        <v>150</v>
      </c>
      <c r="K408" s="83">
        <v>114.28571428571429</v>
      </c>
      <c r="L408" s="83">
        <v>114.28571428571429</v>
      </c>
      <c r="M408" s="84">
        <v>102.85714285714286</v>
      </c>
      <c r="N408" s="59">
        <f t="shared" si="6"/>
        <v>0.31428571428571428</v>
      </c>
      <c r="O408" s="85" t="s">
        <v>1091</v>
      </c>
      <c r="P408" s="86" t="s">
        <v>2876</v>
      </c>
      <c r="Q408" s="87" t="s">
        <v>3208</v>
      </c>
      <c r="R408" s="87">
        <v>10</v>
      </c>
      <c r="S408" s="88">
        <v>15</v>
      </c>
      <c r="T408" s="88">
        <v>11.428571428571429</v>
      </c>
      <c r="U408" s="88">
        <v>10.285714285714286</v>
      </c>
      <c r="V408" s="87" t="s">
        <v>3061</v>
      </c>
      <c r="W408" s="87" t="s">
        <v>3100</v>
      </c>
      <c r="X408" s="90" t="s">
        <v>3477</v>
      </c>
      <c r="Y408" s="89"/>
      <c r="Z408" s="89"/>
      <c r="AA408" s="89"/>
      <c r="AB408" s="89"/>
    </row>
    <row r="409" spans="1:28" s="31" customFormat="1" ht="60" customHeight="1" x14ac:dyDescent="0.2">
      <c r="A409" s="76">
        <v>408</v>
      </c>
      <c r="B409" s="77">
        <v>50002521</v>
      </c>
      <c r="C409" s="78" t="s">
        <v>1105</v>
      </c>
      <c r="D409" s="79">
        <v>0.05</v>
      </c>
      <c r="E409" s="80">
        <v>30049079</v>
      </c>
      <c r="F409" s="81" t="s">
        <v>1106</v>
      </c>
      <c r="G409" s="82" t="s">
        <v>1107</v>
      </c>
      <c r="H409" s="82" t="s">
        <v>26</v>
      </c>
      <c r="I409" s="79" t="s">
        <v>2666</v>
      </c>
      <c r="J409" s="83">
        <v>106.06</v>
      </c>
      <c r="K409" s="83">
        <v>80.807619047619056</v>
      </c>
      <c r="L409" s="83">
        <v>80.807619047619056</v>
      </c>
      <c r="M409" s="84">
        <v>72.726857142857185</v>
      </c>
      <c r="N409" s="59">
        <f t="shared" si="6"/>
        <v>0.31428571428571389</v>
      </c>
      <c r="O409" s="85" t="s">
        <v>1091</v>
      </c>
      <c r="P409" s="86" t="s">
        <v>37</v>
      </c>
      <c r="Q409" s="87" t="s">
        <v>3208</v>
      </c>
      <c r="R409" s="87">
        <v>10</v>
      </c>
      <c r="S409" s="88">
        <v>10.606</v>
      </c>
      <c r="T409" s="88">
        <v>8.0807619047619053</v>
      </c>
      <c r="U409" s="88">
        <v>7.2726857142857186</v>
      </c>
      <c r="V409" s="87" t="s">
        <v>3061</v>
      </c>
      <c r="W409" s="87" t="s">
        <v>3100</v>
      </c>
      <c r="X409" s="90" t="s">
        <v>3477</v>
      </c>
      <c r="Y409" s="89" t="s">
        <v>3455</v>
      </c>
      <c r="Z409" s="89">
        <v>3</v>
      </c>
      <c r="AA409" s="89" t="s">
        <v>3207</v>
      </c>
      <c r="AB409" s="89"/>
    </row>
    <row r="410" spans="1:28" s="31" customFormat="1" ht="60" customHeight="1" x14ac:dyDescent="0.2">
      <c r="A410" s="76">
        <v>409</v>
      </c>
      <c r="B410" s="77">
        <v>50005841</v>
      </c>
      <c r="C410" s="78" t="s">
        <v>4753</v>
      </c>
      <c r="D410" s="79">
        <v>0.05</v>
      </c>
      <c r="E410" s="80">
        <v>30049079</v>
      </c>
      <c r="F410" s="81" t="s">
        <v>4754</v>
      </c>
      <c r="G410" s="82" t="s">
        <v>4755</v>
      </c>
      <c r="H410" s="82"/>
      <c r="I410" s="79" t="s">
        <v>2666</v>
      </c>
      <c r="J410" s="83">
        <v>180</v>
      </c>
      <c r="K410" s="83">
        <v>137.14285714285714</v>
      </c>
      <c r="L410" s="83">
        <v>137.14285714285714</v>
      </c>
      <c r="M410" s="84">
        <v>123.42857142857143</v>
      </c>
      <c r="N410" s="59">
        <f t="shared" si="6"/>
        <v>0.31428571428571428</v>
      </c>
      <c r="O410" s="85" t="s">
        <v>1091</v>
      </c>
      <c r="P410" s="86" t="s">
        <v>2876</v>
      </c>
      <c r="Q410" s="87" t="s">
        <v>3208</v>
      </c>
      <c r="R410" s="87">
        <v>10</v>
      </c>
      <c r="S410" s="88">
        <v>18</v>
      </c>
      <c r="T410" s="88">
        <v>13.714285714285714</v>
      </c>
      <c r="U410" s="88">
        <v>12.342857142857143</v>
      </c>
      <c r="V410" s="87" t="s">
        <v>3061</v>
      </c>
      <c r="W410" s="87" t="s">
        <v>3100</v>
      </c>
      <c r="X410" s="90" t="s">
        <v>3477</v>
      </c>
      <c r="Y410" s="89"/>
      <c r="Z410" s="89"/>
      <c r="AA410" s="89"/>
      <c r="AB410" s="89"/>
    </row>
    <row r="411" spans="1:28" s="31" customFormat="1" ht="60" customHeight="1" x14ac:dyDescent="0.2">
      <c r="A411" s="76">
        <v>410</v>
      </c>
      <c r="B411" s="77">
        <v>50002523</v>
      </c>
      <c r="C411" s="78" t="s">
        <v>1108</v>
      </c>
      <c r="D411" s="79">
        <v>0.05</v>
      </c>
      <c r="E411" s="80">
        <v>30049079</v>
      </c>
      <c r="F411" s="81" t="s">
        <v>1109</v>
      </c>
      <c r="G411" s="82" t="s">
        <v>1110</v>
      </c>
      <c r="H411" s="82" t="s">
        <v>3874</v>
      </c>
      <c r="I411" s="79" t="s">
        <v>2666</v>
      </c>
      <c r="J411" s="83">
        <v>107.8</v>
      </c>
      <c r="K411" s="83">
        <v>82.13333333333334</v>
      </c>
      <c r="L411" s="83">
        <v>82.13333333333334</v>
      </c>
      <c r="M411" s="84">
        <v>73.92</v>
      </c>
      <c r="N411" s="59">
        <f t="shared" si="6"/>
        <v>0.31428571428571428</v>
      </c>
      <c r="O411" s="85" t="s">
        <v>1091</v>
      </c>
      <c r="P411" s="86" t="s">
        <v>3438</v>
      </c>
      <c r="Q411" s="87" t="s">
        <v>3208</v>
      </c>
      <c r="R411" s="87">
        <v>10</v>
      </c>
      <c r="S411" s="88">
        <v>10.78</v>
      </c>
      <c r="T411" s="88">
        <v>8.2133333333333347</v>
      </c>
      <c r="U411" s="88">
        <v>7.3920000000000003</v>
      </c>
      <c r="V411" s="87" t="s">
        <v>3061</v>
      </c>
      <c r="W411" s="87" t="s">
        <v>3100</v>
      </c>
      <c r="X411" s="90" t="s">
        <v>3477</v>
      </c>
      <c r="Y411" s="89" t="s">
        <v>3455</v>
      </c>
      <c r="Z411" s="89">
        <v>3</v>
      </c>
      <c r="AA411" s="89" t="s">
        <v>3207</v>
      </c>
      <c r="AB411" s="89"/>
    </row>
    <row r="412" spans="1:28" s="31" customFormat="1" ht="60" customHeight="1" x14ac:dyDescent="0.2">
      <c r="A412" s="76">
        <v>411</v>
      </c>
      <c r="B412" s="77">
        <v>50002522</v>
      </c>
      <c r="C412" s="78" t="s">
        <v>1111</v>
      </c>
      <c r="D412" s="79">
        <v>0.05</v>
      </c>
      <c r="E412" s="80">
        <v>30049079</v>
      </c>
      <c r="F412" s="81" t="s">
        <v>1112</v>
      </c>
      <c r="G412" s="82" t="s">
        <v>1113</v>
      </c>
      <c r="H412" s="82" t="s">
        <v>3875</v>
      </c>
      <c r="I412" s="79" t="s">
        <v>2666</v>
      </c>
      <c r="J412" s="83">
        <v>87.83</v>
      </c>
      <c r="K412" s="83">
        <v>66.918095238095233</v>
      </c>
      <c r="L412" s="83">
        <v>66.918095238095233</v>
      </c>
      <c r="M412" s="84">
        <v>60.226285714285709</v>
      </c>
      <c r="N412" s="59">
        <f t="shared" si="6"/>
        <v>0.31428571428571433</v>
      </c>
      <c r="O412" s="85" t="s">
        <v>1091</v>
      </c>
      <c r="P412" s="86" t="s">
        <v>2742</v>
      </c>
      <c r="Q412" s="87" t="s">
        <v>3208</v>
      </c>
      <c r="R412" s="87">
        <v>10</v>
      </c>
      <c r="S412" s="88">
        <v>8.7829999999999995</v>
      </c>
      <c r="T412" s="88">
        <v>6.691809523809523</v>
      </c>
      <c r="U412" s="88">
        <v>6.0226285714285712</v>
      </c>
      <c r="V412" s="87" t="s">
        <v>3061</v>
      </c>
      <c r="W412" s="87" t="s">
        <v>3100</v>
      </c>
      <c r="X412" s="90" t="s">
        <v>3477</v>
      </c>
      <c r="Y412" s="89" t="s">
        <v>3455</v>
      </c>
      <c r="Z412" s="89">
        <v>3</v>
      </c>
      <c r="AA412" s="89" t="s">
        <v>3207</v>
      </c>
      <c r="AB412" s="89" t="s">
        <v>4613</v>
      </c>
    </row>
    <row r="413" spans="1:28" s="31" customFormat="1" ht="60" customHeight="1" x14ac:dyDescent="0.2">
      <c r="A413" s="76">
        <v>412</v>
      </c>
      <c r="B413" s="77">
        <v>50004643</v>
      </c>
      <c r="C413" s="78" t="s">
        <v>1114</v>
      </c>
      <c r="D413" s="79">
        <v>0.05</v>
      </c>
      <c r="E413" s="80">
        <v>30049079</v>
      </c>
      <c r="F413" s="81" t="s">
        <v>1115</v>
      </c>
      <c r="G413" s="82" t="s">
        <v>1116</v>
      </c>
      <c r="H413" s="82" t="s">
        <v>3876</v>
      </c>
      <c r="I413" s="79" t="s">
        <v>2666</v>
      </c>
      <c r="J413" s="83">
        <v>158.80000000000001</v>
      </c>
      <c r="K413" s="83">
        <v>120.99047619047622</v>
      </c>
      <c r="L413" s="83">
        <v>120.99047619047622</v>
      </c>
      <c r="M413" s="84">
        <v>108.89142857142862</v>
      </c>
      <c r="N413" s="59">
        <f t="shared" si="6"/>
        <v>0.31428571428571406</v>
      </c>
      <c r="O413" s="85" t="s">
        <v>1091</v>
      </c>
      <c r="P413" s="86" t="s">
        <v>2751</v>
      </c>
      <c r="Q413" s="87" t="s">
        <v>3208</v>
      </c>
      <c r="R413" s="87">
        <v>10</v>
      </c>
      <c r="S413" s="88">
        <v>15.88</v>
      </c>
      <c r="T413" s="88">
        <v>12.099047619047621</v>
      </c>
      <c r="U413" s="88">
        <v>10.889142857142861</v>
      </c>
      <c r="V413" s="87" t="s">
        <v>3061</v>
      </c>
      <c r="W413" s="87" t="s">
        <v>3100</v>
      </c>
      <c r="X413" s="90" t="s">
        <v>3477</v>
      </c>
      <c r="Y413" s="89" t="s">
        <v>3455</v>
      </c>
      <c r="Z413" s="89">
        <v>3</v>
      </c>
      <c r="AA413" s="89" t="s">
        <v>3207</v>
      </c>
      <c r="AB413" s="89" t="s">
        <v>4613</v>
      </c>
    </row>
    <row r="414" spans="1:28" s="31" customFormat="1" ht="60" customHeight="1" x14ac:dyDescent="0.2">
      <c r="A414" s="76">
        <v>413</v>
      </c>
      <c r="B414" s="77">
        <v>50004644</v>
      </c>
      <c r="C414" s="78" t="s">
        <v>1117</v>
      </c>
      <c r="D414" s="79">
        <v>0.05</v>
      </c>
      <c r="E414" s="80">
        <v>30049079</v>
      </c>
      <c r="F414" s="81" t="s">
        <v>1118</v>
      </c>
      <c r="G414" s="82" t="s">
        <v>1119</v>
      </c>
      <c r="H414" s="82" t="s">
        <v>3877</v>
      </c>
      <c r="I414" s="79" t="s">
        <v>2666</v>
      </c>
      <c r="J414" s="83">
        <v>125.62</v>
      </c>
      <c r="K414" s="83">
        <v>95.710476190476186</v>
      </c>
      <c r="L414" s="83">
        <v>95.710476190476186</v>
      </c>
      <c r="M414" s="84">
        <v>86.139428571428596</v>
      </c>
      <c r="N414" s="59">
        <f t="shared" si="6"/>
        <v>0.31428571428571411</v>
      </c>
      <c r="O414" s="85" t="s">
        <v>1091</v>
      </c>
      <c r="P414" s="86" t="s">
        <v>2751</v>
      </c>
      <c r="Q414" s="87" t="s">
        <v>3208</v>
      </c>
      <c r="R414" s="87">
        <v>10</v>
      </c>
      <c r="S414" s="88">
        <v>12.562000000000001</v>
      </c>
      <c r="T414" s="88">
        <v>9.5710476190476186</v>
      </c>
      <c r="U414" s="88">
        <v>8.6139428571428596</v>
      </c>
      <c r="V414" s="87" t="s">
        <v>3061</v>
      </c>
      <c r="W414" s="87" t="s">
        <v>3100</v>
      </c>
      <c r="X414" s="90" t="s">
        <v>3477</v>
      </c>
      <c r="Y414" s="89" t="s">
        <v>3455</v>
      </c>
      <c r="Z414" s="89">
        <v>3</v>
      </c>
      <c r="AA414" s="89" t="s">
        <v>3207</v>
      </c>
      <c r="AB414" s="89"/>
    </row>
    <row r="415" spans="1:28" s="31" customFormat="1" ht="60" customHeight="1" x14ac:dyDescent="0.2">
      <c r="A415" s="76">
        <v>414</v>
      </c>
      <c r="B415" s="77">
        <v>50000640</v>
      </c>
      <c r="C415" s="78" t="s">
        <v>1120</v>
      </c>
      <c r="D415" s="79">
        <v>0.05</v>
      </c>
      <c r="E415" s="80">
        <v>30049089</v>
      </c>
      <c r="F415" s="81" t="s">
        <v>1121</v>
      </c>
      <c r="G415" s="82" t="s">
        <v>1122</v>
      </c>
      <c r="H415" s="82" t="s">
        <v>1003</v>
      </c>
      <c r="I415" s="79" t="s">
        <v>2666</v>
      </c>
      <c r="J415" s="83">
        <v>21.46</v>
      </c>
      <c r="K415" s="83">
        <v>16.35047619047619</v>
      </c>
      <c r="L415" s="83">
        <v>14.987936507936508</v>
      </c>
      <c r="M415" s="84">
        <v>13.489142857142856</v>
      </c>
      <c r="N415" s="59">
        <f t="shared" si="6"/>
        <v>0.37142857142857155</v>
      </c>
      <c r="O415" s="85" t="s">
        <v>1091</v>
      </c>
      <c r="P415" s="86" t="s">
        <v>2691</v>
      </c>
      <c r="Q415" s="87" t="s">
        <v>3207</v>
      </c>
      <c r="R415" s="87">
        <v>10</v>
      </c>
      <c r="S415" s="88">
        <v>2.1459999999999999</v>
      </c>
      <c r="T415" s="88">
        <v>1.4987936507936508</v>
      </c>
      <c r="U415" s="88">
        <v>1.3489142857142855</v>
      </c>
      <c r="V415" s="87" t="s">
        <v>3061</v>
      </c>
      <c r="W415" s="87" t="s">
        <v>3107</v>
      </c>
      <c r="X415" s="90" t="s">
        <v>3477</v>
      </c>
      <c r="Y415" s="89" t="s">
        <v>3455</v>
      </c>
      <c r="Z415" s="89">
        <v>10</v>
      </c>
      <c r="AA415" s="89" t="s">
        <v>3207</v>
      </c>
      <c r="AB415" s="89"/>
    </row>
    <row r="416" spans="1:28" s="31" customFormat="1" ht="60" customHeight="1" x14ac:dyDescent="0.2">
      <c r="A416" s="76">
        <v>415</v>
      </c>
      <c r="B416" s="77">
        <v>50000306</v>
      </c>
      <c r="C416" s="78" t="s">
        <v>1123</v>
      </c>
      <c r="D416" s="79">
        <v>0.05</v>
      </c>
      <c r="E416" s="80">
        <v>30049089</v>
      </c>
      <c r="F416" s="81" t="s">
        <v>1124</v>
      </c>
      <c r="G416" s="82" t="s">
        <v>1125</v>
      </c>
      <c r="H416" s="82" t="s">
        <v>1070</v>
      </c>
      <c r="I416" s="79" t="s">
        <v>2666</v>
      </c>
      <c r="J416" s="83">
        <v>36.840000000000003</v>
      </c>
      <c r="K416" s="83">
        <v>28.068571428571431</v>
      </c>
      <c r="L416" s="83">
        <v>25.729523809523812</v>
      </c>
      <c r="M416" s="84">
        <v>23.156571428571429</v>
      </c>
      <c r="N416" s="59">
        <f t="shared" si="6"/>
        <v>0.3714285714285715</v>
      </c>
      <c r="O416" s="85" t="s">
        <v>1091</v>
      </c>
      <c r="P416" s="86" t="s">
        <v>2691</v>
      </c>
      <c r="Q416" s="87" t="s">
        <v>3207</v>
      </c>
      <c r="R416" s="87">
        <v>10</v>
      </c>
      <c r="S416" s="88">
        <v>3.6840000000000002</v>
      </c>
      <c r="T416" s="88">
        <v>2.5729523809523811</v>
      </c>
      <c r="U416" s="88">
        <v>2.3156571428571429</v>
      </c>
      <c r="V416" s="87" t="s">
        <v>3061</v>
      </c>
      <c r="W416" s="87" t="s">
        <v>3107</v>
      </c>
      <c r="X416" s="90" t="s">
        <v>3477</v>
      </c>
      <c r="Y416" s="89" t="s">
        <v>3455</v>
      </c>
      <c r="Z416" s="89">
        <v>10</v>
      </c>
      <c r="AA416" s="89" t="s">
        <v>3207</v>
      </c>
      <c r="AB416" s="89"/>
    </row>
    <row r="417" spans="1:28" s="31" customFormat="1" ht="60" customHeight="1" x14ac:dyDescent="0.2">
      <c r="A417" s="76">
        <v>416</v>
      </c>
      <c r="B417" s="77">
        <v>50001680</v>
      </c>
      <c r="C417" s="78" t="s">
        <v>1126</v>
      </c>
      <c r="D417" s="79">
        <v>0.05</v>
      </c>
      <c r="E417" s="80">
        <v>30049089</v>
      </c>
      <c r="F417" s="81" t="s">
        <v>1127</v>
      </c>
      <c r="G417" s="82" t="s">
        <v>1128</v>
      </c>
      <c r="H417" s="82" t="s">
        <v>3878</v>
      </c>
      <c r="I417" s="79" t="s">
        <v>2666</v>
      </c>
      <c r="J417" s="83">
        <v>72.47</v>
      </c>
      <c r="K417" s="83">
        <v>55.215238095238099</v>
      </c>
      <c r="L417" s="83">
        <v>50.61396825396826</v>
      </c>
      <c r="M417" s="84">
        <v>45.55257142857144</v>
      </c>
      <c r="N417" s="59">
        <f t="shared" si="6"/>
        <v>0.37142857142857127</v>
      </c>
      <c r="O417" s="85" t="s">
        <v>1091</v>
      </c>
      <c r="P417" s="86" t="s">
        <v>22</v>
      </c>
      <c r="Q417" s="87" t="s">
        <v>3208</v>
      </c>
      <c r="R417" s="87">
        <v>10</v>
      </c>
      <c r="S417" s="88">
        <v>7.2469999999999999</v>
      </c>
      <c r="T417" s="88">
        <v>5.0613968253968258</v>
      </c>
      <c r="U417" s="88">
        <v>4.555257142857144</v>
      </c>
      <c r="V417" s="87" t="s">
        <v>3061</v>
      </c>
      <c r="W417" s="87" t="s">
        <v>3107</v>
      </c>
      <c r="X417" s="90" t="s">
        <v>3477</v>
      </c>
      <c r="Y417" s="89" t="s">
        <v>3455</v>
      </c>
      <c r="Z417" s="89">
        <v>6</v>
      </c>
      <c r="AA417" s="89" t="s">
        <v>3207</v>
      </c>
      <c r="AB417" s="89"/>
    </row>
    <row r="418" spans="1:28" s="31" customFormat="1" ht="60" customHeight="1" x14ac:dyDescent="0.2">
      <c r="A418" s="76">
        <v>417</v>
      </c>
      <c r="B418" s="77">
        <v>50000310</v>
      </c>
      <c r="C418" s="78" t="s">
        <v>1129</v>
      </c>
      <c r="D418" s="79">
        <v>0.05</v>
      </c>
      <c r="E418" s="80">
        <v>30049089</v>
      </c>
      <c r="F418" s="81" t="s">
        <v>1130</v>
      </c>
      <c r="G418" s="82" t="s">
        <v>1131</v>
      </c>
      <c r="H418" s="82" t="s">
        <v>3864</v>
      </c>
      <c r="I418" s="79" t="s">
        <v>2666</v>
      </c>
      <c r="J418" s="83">
        <v>170.15</v>
      </c>
      <c r="K418" s="83">
        <v>129.63809523809522</v>
      </c>
      <c r="L418" s="83">
        <v>118.83492063492061</v>
      </c>
      <c r="M418" s="84">
        <v>106.95142857142854</v>
      </c>
      <c r="N418" s="59">
        <f t="shared" si="6"/>
        <v>0.37142857142857166</v>
      </c>
      <c r="O418" s="85" t="s">
        <v>1091</v>
      </c>
      <c r="P418" s="86" t="s">
        <v>2691</v>
      </c>
      <c r="Q418" s="87" t="s">
        <v>3208</v>
      </c>
      <c r="R418" s="87">
        <v>10</v>
      </c>
      <c r="S418" s="88">
        <v>17.015000000000001</v>
      </c>
      <c r="T418" s="88">
        <v>11.88349206349206</v>
      </c>
      <c r="U418" s="88">
        <v>10.695142857142853</v>
      </c>
      <c r="V418" s="87" t="s">
        <v>3061</v>
      </c>
      <c r="W418" s="87" t="s">
        <v>3107</v>
      </c>
      <c r="X418" s="90" t="s">
        <v>3477</v>
      </c>
      <c r="Y418" s="89" t="s">
        <v>3455</v>
      </c>
      <c r="Z418" s="89">
        <v>6</v>
      </c>
      <c r="AA418" s="89" t="s">
        <v>3207</v>
      </c>
      <c r="AB418" s="89"/>
    </row>
    <row r="419" spans="1:28" s="31" customFormat="1" ht="60" customHeight="1" x14ac:dyDescent="0.2">
      <c r="A419" s="76">
        <v>418</v>
      </c>
      <c r="B419" s="77">
        <v>50005052</v>
      </c>
      <c r="C419" s="78" t="s">
        <v>3171</v>
      </c>
      <c r="D419" s="79">
        <v>0.05</v>
      </c>
      <c r="E419" s="80">
        <v>30049089</v>
      </c>
      <c r="F419" s="81" t="s">
        <v>3172</v>
      </c>
      <c r="G419" s="82" t="s">
        <v>3188</v>
      </c>
      <c r="H419" s="82" t="s">
        <v>3866</v>
      </c>
      <c r="I419" s="79" t="s">
        <v>2666</v>
      </c>
      <c r="J419" s="83">
        <v>99.21</v>
      </c>
      <c r="K419" s="83">
        <v>75.588571428571427</v>
      </c>
      <c r="L419" s="83">
        <v>69.2895238095238</v>
      </c>
      <c r="M419" s="84">
        <v>62.360571428571397</v>
      </c>
      <c r="N419" s="59">
        <f t="shared" si="6"/>
        <v>0.37142857142857172</v>
      </c>
      <c r="O419" s="85" t="s">
        <v>1091</v>
      </c>
      <c r="P419" s="86" t="s">
        <v>48</v>
      </c>
      <c r="Q419" s="87" t="s">
        <v>3208</v>
      </c>
      <c r="R419" s="87">
        <v>10</v>
      </c>
      <c r="S419" s="88">
        <v>9.9209999999999994</v>
      </c>
      <c r="T419" s="88">
        <v>6.9289523809523796</v>
      </c>
      <c r="U419" s="88">
        <v>6.2360571428571401</v>
      </c>
      <c r="V419" s="87" t="s">
        <v>3061</v>
      </c>
      <c r="W419" s="87" t="s">
        <v>3107</v>
      </c>
      <c r="X419" s="90" t="s">
        <v>3477</v>
      </c>
      <c r="Y419" s="89" t="s">
        <v>3455</v>
      </c>
      <c r="Z419" s="89">
        <v>3</v>
      </c>
      <c r="AA419" s="89" t="s">
        <v>3207</v>
      </c>
      <c r="AB419" s="89"/>
    </row>
    <row r="420" spans="1:28" s="31" customFormat="1" ht="60" customHeight="1" x14ac:dyDescent="0.2">
      <c r="A420" s="76">
        <v>419</v>
      </c>
      <c r="B420" s="77">
        <v>50000582</v>
      </c>
      <c r="C420" s="78" t="s">
        <v>1132</v>
      </c>
      <c r="D420" s="79">
        <v>0.05</v>
      </c>
      <c r="E420" s="80">
        <v>30049067</v>
      </c>
      <c r="F420" s="81" t="s">
        <v>1133</v>
      </c>
      <c r="G420" s="82" t="s">
        <v>1134</v>
      </c>
      <c r="H420" s="82" t="s">
        <v>30</v>
      </c>
      <c r="I420" s="79" t="s">
        <v>2666</v>
      </c>
      <c r="J420" s="83">
        <v>57.09</v>
      </c>
      <c r="K420" s="83">
        <v>43.497142857142862</v>
      </c>
      <c r="L420" s="83">
        <v>39.872380952380958</v>
      </c>
      <c r="M420" s="84">
        <v>39.14742857142857</v>
      </c>
      <c r="N420" s="59">
        <f t="shared" si="6"/>
        <v>0.31428571428571433</v>
      </c>
      <c r="O420" s="85" t="s">
        <v>1091</v>
      </c>
      <c r="P420" s="86" t="s">
        <v>95</v>
      </c>
      <c r="Q420" s="87" t="s">
        <v>3208</v>
      </c>
      <c r="R420" s="87">
        <v>10</v>
      </c>
      <c r="S420" s="88">
        <v>5.7090000000000005</v>
      </c>
      <c r="T420" s="88">
        <v>3.9872380952380957</v>
      </c>
      <c r="U420" s="88">
        <v>3.9147428571428571</v>
      </c>
      <c r="V420" s="87" t="s">
        <v>3061</v>
      </c>
      <c r="W420" s="87" t="s">
        <v>3106</v>
      </c>
      <c r="X420" s="90" t="s">
        <v>3477</v>
      </c>
      <c r="Y420" s="89"/>
      <c r="Z420" s="89">
        <v>3</v>
      </c>
      <c r="AA420" s="89"/>
      <c r="AB420" s="89"/>
    </row>
    <row r="421" spans="1:28" s="31" customFormat="1" ht="60" customHeight="1" x14ac:dyDescent="0.2">
      <c r="A421" s="76">
        <v>420</v>
      </c>
      <c r="B421" s="77">
        <v>50000170</v>
      </c>
      <c r="C421" s="78" t="s">
        <v>1135</v>
      </c>
      <c r="D421" s="79">
        <v>0.05</v>
      </c>
      <c r="E421" s="80">
        <v>30049066</v>
      </c>
      <c r="F421" s="81" t="s">
        <v>1136</v>
      </c>
      <c r="G421" s="82" t="s">
        <v>1137</v>
      </c>
      <c r="H421" s="82" t="s">
        <v>294</v>
      </c>
      <c r="I421" s="79" t="s">
        <v>2666</v>
      </c>
      <c r="J421" s="83">
        <v>94.75</v>
      </c>
      <c r="K421" s="83">
        <v>72.19047619047619</v>
      </c>
      <c r="L421" s="83">
        <v>66.174603174603178</v>
      </c>
      <c r="M421" s="84">
        <v>59.557142857142857</v>
      </c>
      <c r="N421" s="59">
        <f t="shared" si="6"/>
        <v>0.37142857142857144</v>
      </c>
      <c r="O421" s="85" t="s">
        <v>1091</v>
      </c>
      <c r="P421" s="86" t="s">
        <v>37</v>
      </c>
      <c r="Q421" s="87" t="s">
        <v>3208</v>
      </c>
      <c r="R421" s="87">
        <v>10</v>
      </c>
      <c r="S421" s="88">
        <v>9.4749999999999996</v>
      </c>
      <c r="T421" s="88">
        <v>6.6174603174603179</v>
      </c>
      <c r="U421" s="88">
        <v>5.9557142857142855</v>
      </c>
      <c r="V421" s="87" t="s">
        <v>3061</v>
      </c>
      <c r="W421" s="87" t="s">
        <v>3106</v>
      </c>
      <c r="X421" s="90" t="s">
        <v>3477</v>
      </c>
      <c r="Y421" s="89"/>
      <c r="Z421" s="89">
        <v>6</v>
      </c>
      <c r="AA421" s="89"/>
      <c r="AB421" s="89"/>
    </row>
    <row r="422" spans="1:28" s="31" customFormat="1" ht="60" customHeight="1" x14ac:dyDescent="0.2">
      <c r="A422" s="76">
        <v>421</v>
      </c>
      <c r="B422" s="77">
        <v>50000212</v>
      </c>
      <c r="C422" s="78" t="s">
        <v>1138</v>
      </c>
      <c r="D422" s="79">
        <v>0.05</v>
      </c>
      <c r="E422" s="80">
        <v>30049066</v>
      </c>
      <c r="F422" s="81" t="s">
        <v>1139</v>
      </c>
      <c r="G422" s="82" t="s">
        <v>1140</v>
      </c>
      <c r="H422" s="82" t="s">
        <v>3879</v>
      </c>
      <c r="I422" s="79" t="s">
        <v>2717</v>
      </c>
      <c r="J422" s="83">
        <v>44.17</v>
      </c>
      <c r="K422" s="83">
        <v>33.653333333333336</v>
      </c>
      <c r="L422" s="83">
        <v>28.044444444444444</v>
      </c>
      <c r="M422" s="84">
        <v>25.240000000000002</v>
      </c>
      <c r="N422" s="59">
        <f t="shared" si="6"/>
        <v>0.42857142857142855</v>
      </c>
      <c r="O422" s="85" t="s">
        <v>1091</v>
      </c>
      <c r="P422" s="86" t="s">
        <v>2808</v>
      </c>
      <c r="Q422" s="87" t="s">
        <v>3208</v>
      </c>
      <c r="R422" s="87">
        <v>1</v>
      </c>
      <c r="S422" s="88">
        <v>44.17</v>
      </c>
      <c r="T422" s="88">
        <v>28.044444444444444</v>
      </c>
      <c r="U422" s="88">
        <v>25.240000000000002</v>
      </c>
      <c r="V422" s="87" t="s">
        <v>3065</v>
      </c>
      <c r="W422" s="87" t="s">
        <v>3106</v>
      </c>
      <c r="X422" s="90" t="s">
        <v>3479</v>
      </c>
      <c r="Y422" s="89"/>
      <c r="Z422" s="89">
        <v>12</v>
      </c>
      <c r="AA422" s="89"/>
      <c r="AB422" s="89" t="s">
        <v>4613</v>
      </c>
    </row>
    <row r="423" spans="1:28" s="31" customFormat="1" ht="60" customHeight="1" x14ac:dyDescent="0.2">
      <c r="A423" s="76">
        <v>422</v>
      </c>
      <c r="B423" s="77">
        <v>50005504</v>
      </c>
      <c r="C423" s="78" t="s">
        <v>3539</v>
      </c>
      <c r="D423" s="79">
        <v>0.05</v>
      </c>
      <c r="E423" s="80">
        <v>30049099</v>
      </c>
      <c r="F423" s="81" t="s">
        <v>3591</v>
      </c>
      <c r="G423" s="82" t="s">
        <v>3541</v>
      </c>
      <c r="H423" s="82" t="s">
        <v>30</v>
      </c>
      <c r="I423" s="79" t="s">
        <v>2666</v>
      </c>
      <c r="J423" s="83">
        <v>56.6</v>
      </c>
      <c r="K423" s="83">
        <v>43.123809523809527</v>
      </c>
      <c r="L423" s="83">
        <v>39.530158730158732</v>
      </c>
      <c r="M423" s="84">
        <v>30.18666666666666</v>
      </c>
      <c r="N423" s="59">
        <f t="shared" si="6"/>
        <v>0.46666666666666679</v>
      </c>
      <c r="O423" s="85" t="s">
        <v>1091</v>
      </c>
      <c r="P423" s="86" t="s">
        <v>2683</v>
      </c>
      <c r="Q423" s="87" t="s">
        <v>3208</v>
      </c>
      <c r="R423" s="87">
        <v>10</v>
      </c>
      <c r="S423" s="88">
        <v>5.66</v>
      </c>
      <c r="T423" s="88">
        <v>3.9530158730158731</v>
      </c>
      <c r="U423" s="88">
        <v>3.0186666666666659</v>
      </c>
      <c r="V423" s="87" t="s">
        <v>3061</v>
      </c>
      <c r="W423" s="87" t="s">
        <v>3114</v>
      </c>
      <c r="X423" s="90" t="s">
        <v>3477</v>
      </c>
      <c r="Y423" s="89" t="s">
        <v>3455</v>
      </c>
      <c r="Z423" s="89">
        <v>3</v>
      </c>
      <c r="AA423" s="89" t="s">
        <v>3207</v>
      </c>
      <c r="AB423" s="89"/>
    </row>
    <row r="424" spans="1:28" s="31" customFormat="1" ht="60" customHeight="1" x14ac:dyDescent="0.2">
      <c r="A424" s="76">
        <v>423</v>
      </c>
      <c r="B424" s="77">
        <v>50005505</v>
      </c>
      <c r="C424" s="78" t="s">
        <v>3540</v>
      </c>
      <c r="D424" s="79">
        <v>0.05</v>
      </c>
      <c r="E424" s="80">
        <v>30049099</v>
      </c>
      <c r="F424" s="81" t="s">
        <v>3592</v>
      </c>
      <c r="G424" s="82" t="s">
        <v>3542</v>
      </c>
      <c r="H424" s="82" t="s">
        <v>30</v>
      </c>
      <c r="I424" s="79" t="s">
        <v>2666</v>
      </c>
      <c r="J424" s="83">
        <v>102.08</v>
      </c>
      <c r="K424" s="83">
        <v>77.775238095238095</v>
      </c>
      <c r="L424" s="83">
        <v>71.293968253968259</v>
      </c>
      <c r="M424" s="84">
        <v>54.442666666666675</v>
      </c>
      <c r="N424" s="59">
        <f t="shared" si="6"/>
        <v>0.46666666666666656</v>
      </c>
      <c r="O424" s="85" t="s">
        <v>1091</v>
      </c>
      <c r="P424" s="86" t="s">
        <v>3602</v>
      </c>
      <c r="Q424" s="87" t="s">
        <v>3208</v>
      </c>
      <c r="R424" s="87">
        <v>10</v>
      </c>
      <c r="S424" s="88">
        <v>10.208</v>
      </c>
      <c r="T424" s="88">
        <v>7.1293968253968263</v>
      </c>
      <c r="U424" s="88">
        <v>5.4442666666666675</v>
      </c>
      <c r="V424" s="87" t="s">
        <v>3061</v>
      </c>
      <c r="W424" s="87" t="s">
        <v>3114</v>
      </c>
      <c r="X424" s="90" t="s">
        <v>3477</v>
      </c>
      <c r="Y424" s="89" t="s">
        <v>3455</v>
      </c>
      <c r="Z424" s="89">
        <v>3</v>
      </c>
      <c r="AA424" s="89" t="s">
        <v>3207</v>
      </c>
      <c r="AB424" s="89"/>
    </row>
    <row r="425" spans="1:28" s="31" customFormat="1" ht="60" customHeight="1" x14ac:dyDescent="0.2">
      <c r="A425" s="76">
        <v>424</v>
      </c>
      <c r="B425" s="77">
        <v>50005506</v>
      </c>
      <c r="C425" s="78" t="s">
        <v>3585</v>
      </c>
      <c r="D425" s="79">
        <v>0.05</v>
      </c>
      <c r="E425" s="80">
        <v>30049099</v>
      </c>
      <c r="F425" s="81" t="s">
        <v>3593</v>
      </c>
      <c r="G425" s="82" t="s">
        <v>3543</v>
      </c>
      <c r="H425" s="82" t="s">
        <v>3669</v>
      </c>
      <c r="I425" s="79" t="s">
        <v>2666</v>
      </c>
      <c r="J425" s="83">
        <v>72.08</v>
      </c>
      <c r="K425" s="83">
        <v>54.918095238095233</v>
      </c>
      <c r="L425" s="83">
        <v>50.341587301587303</v>
      </c>
      <c r="M425" s="84">
        <v>38.442666666666668</v>
      </c>
      <c r="N425" s="59">
        <f t="shared" si="6"/>
        <v>0.46666666666666662</v>
      </c>
      <c r="O425" s="85" t="s">
        <v>1091</v>
      </c>
      <c r="P425" s="86" t="s">
        <v>2683</v>
      </c>
      <c r="Q425" s="87" t="s">
        <v>3208</v>
      </c>
      <c r="R425" s="87">
        <v>10</v>
      </c>
      <c r="S425" s="88">
        <v>7.2080000000000002</v>
      </c>
      <c r="T425" s="88">
        <v>5.0341587301587305</v>
      </c>
      <c r="U425" s="88">
        <v>3.8442666666666669</v>
      </c>
      <c r="V425" s="87" t="s">
        <v>3061</v>
      </c>
      <c r="W425" s="87" t="s">
        <v>3114</v>
      </c>
      <c r="X425" s="90" t="s">
        <v>3477</v>
      </c>
      <c r="Y425" s="89" t="s">
        <v>3455</v>
      </c>
      <c r="Z425" s="89">
        <v>3</v>
      </c>
      <c r="AA425" s="89" t="s">
        <v>3207</v>
      </c>
      <c r="AB425" s="89"/>
    </row>
    <row r="426" spans="1:28" s="31" customFormat="1" ht="60" customHeight="1" x14ac:dyDescent="0.2">
      <c r="A426" s="76">
        <v>425</v>
      </c>
      <c r="B426" s="77">
        <v>50005546</v>
      </c>
      <c r="C426" s="78" t="s">
        <v>3586</v>
      </c>
      <c r="D426" s="79">
        <v>0.05</v>
      </c>
      <c r="E426" s="80">
        <v>30049099</v>
      </c>
      <c r="F426" s="81" t="s">
        <v>3594</v>
      </c>
      <c r="G426" s="82" t="s">
        <v>3544</v>
      </c>
      <c r="H426" s="82" t="s">
        <v>3670</v>
      </c>
      <c r="I426" s="79" t="s">
        <v>2666</v>
      </c>
      <c r="J426" s="83">
        <v>84.27</v>
      </c>
      <c r="K426" s="83">
        <v>64.205714285714279</v>
      </c>
      <c r="L426" s="83">
        <v>58.855238095238093</v>
      </c>
      <c r="M426" s="84">
        <v>44.94400000000001</v>
      </c>
      <c r="N426" s="59">
        <f t="shared" si="6"/>
        <v>0.46666666666666651</v>
      </c>
      <c r="O426" s="85" t="s">
        <v>1091</v>
      </c>
      <c r="P426" s="86" t="s">
        <v>2683</v>
      </c>
      <c r="Q426" s="87" t="s">
        <v>3208</v>
      </c>
      <c r="R426" s="87">
        <v>10</v>
      </c>
      <c r="S426" s="88">
        <v>8.4269999999999996</v>
      </c>
      <c r="T426" s="88">
        <v>5.8855238095238089</v>
      </c>
      <c r="U426" s="88">
        <v>4.4944000000000006</v>
      </c>
      <c r="V426" s="87" t="s">
        <v>3061</v>
      </c>
      <c r="W426" s="87" t="s">
        <v>3114</v>
      </c>
      <c r="X426" s="90" t="s">
        <v>3477</v>
      </c>
      <c r="Y426" s="89" t="s">
        <v>3455</v>
      </c>
      <c r="Z426" s="89">
        <v>3</v>
      </c>
      <c r="AA426" s="89" t="s">
        <v>3207</v>
      </c>
      <c r="AB426" s="89"/>
    </row>
    <row r="427" spans="1:28" s="31" customFormat="1" ht="60" customHeight="1" x14ac:dyDescent="0.2">
      <c r="A427" s="76">
        <v>426</v>
      </c>
      <c r="B427" s="77">
        <v>50005632</v>
      </c>
      <c r="C427" s="78" t="s">
        <v>3587</v>
      </c>
      <c r="D427" s="79">
        <v>0.05</v>
      </c>
      <c r="E427" s="80">
        <v>30049099</v>
      </c>
      <c r="F427" s="81" t="s">
        <v>3595</v>
      </c>
      <c r="G427" s="82" t="s">
        <v>3545</v>
      </c>
      <c r="H427" s="82" t="s">
        <v>3290</v>
      </c>
      <c r="I427" s="79" t="s">
        <v>2666</v>
      </c>
      <c r="J427" s="83">
        <v>112.39</v>
      </c>
      <c r="K427" s="83">
        <v>85.630476190476188</v>
      </c>
      <c r="L427" s="83">
        <v>78.494603174603171</v>
      </c>
      <c r="M427" s="84">
        <v>59.941333333333333</v>
      </c>
      <c r="N427" s="59">
        <f t="shared" si="6"/>
        <v>0.46666666666666667</v>
      </c>
      <c r="O427" s="85" t="s">
        <v>1091</v>
      </c>
      <c r="P427" s="86" t="s">
        <v>2751</v>
      </c>
      <c r="Q427" s="87" t="s">
        <v>3208</v>
      </c>
      <c r="R427" s="87">
        <v>10</v>
      </c>
      <c r="S427" s="88">
        <v>11.239000000000001</v>
      </c>
      <c r="T427" s="88">
        <v>7.8494603174603172</v>
      </c>
      <c r="U427" s="88">
        <v>5.9941333333333331</v>
      </c>
      <c r="V427" s="87" t="s">
        <v>3061</v>
      </c>
      <c r="W427" s="87" t="s">
        <v>3114</v>
      </c>
      <c r="X427" s="90" t="s">
        <v>3477</v>
      </c>
      <c r="Y427" s="89" t="s">
        <v>3455</v>
      </c>
      <c r="Z427" s="89">
        <v>3</v>
      </c>
      <c r="AA427" s="89" t="s">
        <v>3207</v>
      </c>
      <c r="AB427" s="89" t="s">
        <v>4613</v>
      </c>
    </row>
    <row r="428" spans="1:28" s="31" customFormat="1" ht="60" customHeight="1" x14ac:dyDescent="0.2">
      <c r="A428" s="76">
        <v>427</v>
      </c>
      <c r="B428" s="77">
        <v>50005634</v>
      </c>
      <c r="C428" s="78" t="s">
        <v>3588</v>
      </c>
      <c r="D428" s="79">
        <v>0.05</v>
      </c>
      <c r="E428" s="80">
        <v>30049099</v>
      </c>
      <c r="F428" s="81" t="s">
        <v>3596</v>
      </c>
      <c r="G428" s="82" t="s">
        <v>3546</v>
      </c>
      <c r="H428" s="82" t="s">
        <v>3671</v>
      </c>
      <c r="I428" s="79" t="s">
        <v>2666</v>
      </c>
      <c r="J428" s="83">
        <v>139.19999999999999</v>
      </c>
      <c r="K428" s="83">
        <v>106.05714285714285</v>
      </c>
      <c r="L428" s="83">
        <v>97.219047619047615</v>
      </c>
      <c r="M428" s="84">
        <v>74.239999999999995</v>
      </c>
      <c r="N428" s="59">
        <f t="shared" si="6"/>
        <v>0.46666666666666667</v>
      </c>
      <c r="O428" s="85" t="s">
        <v>1091</v>
      </c>
      <c r="P428" s="86" t="s">
        <v>2751</v>
      </c>
      <c r="Q428" s="87" t="s">
        <v>3208</v>
      </c>
      <c r="R428" s="87">
        <v>10</v>
      </c>
      <c r="S428" s="88">
        <v>13.919999999999998</v>
      </c>
      <c r="T428" s="88">
        <v>9.7219047619047618</v>
      </c>
      <c r="U428" s="88">
        <v>7.4239999999999995</v>
      </c>
      <c r="V428" s="87" t="s">
        <v>3061</v>
      </c>
      <c r="W428" s="87" t="s">
        <v>3114</v>
      </c>
      <c r="X428" s="90" t="s">
        <v>3477</v>
      </c>
      <c r="Y428" s="89" t="s">
        <v>3455</v>
      </c>
      <c r="Z428" s="89">
        <v>3</v>
      </c>
      <c r="AA428" s="89" t="s">
        <v>3207</v>
      </c>
      <c r="AB428" s="89" t="s">
        <v>4613</v>
      </c>
    </row>
    <row r="429" spans="1:28" s="31" customFormat="1" ht="60" customHeight="1" x14ac:dyDescent="0.2">
      <c r="A429" s="76">
        <v>428</v>
      </c>
      <c r="B429" s="77">
        <v>50005790</v>
      </c>
      <c r="C429" s="78" t="s">
        <v>4224</v>
      </c>
      <c r="D429" s="79">
        <v>0.05</v>
      </c>
      <c r="E429" s="80">
        <v>30049099</v>
      </c>
      <c r="F429" s="81" t="s">
        <v>4236</v>
      </c>
      <c r="G429" s="82" t="s">
        <v>4251</v>
      </c>
      <c r="H429" s="82" t="s">
        <v>3291</v>
      </c>
      <c r="I429" s="79" t="s">
        <v>2666</v>
      </c>
      <c r="J429" s="83">
        <v>154.68</v>
      </c>
      <c r="K429" s="83">
        <v>117.85142857142857</v>
      </c>
      <c r="L429" s="83">
        <v>108.03047619047619</v>
      </c>
      <c r="M429" s="84">
        <v>94.276428800000019</v>
      </c>
      <c r="N429" s="59">
        <f t="shared" si="6"/>
        <v>0.39050666666666656</v>
      </c>
      <c r="O429" s="85" t="s">
        <v>1091</v>
      </c>
      <c r="P429" s="86" t="s">
        <v>2813</v>
      </c>
      <c r="Q429" s="87" t="s">
        <v>3208</v>
      </c>
      <c r="R429" s="87">
        <v>10</v>
      </c>
      <c r="S429" s="88">
        <v>15.468</v>
      </c>
      <c r="T429" s="88">
        <v>10.80304761904762</v>
      </c>
      <c r="U429" s="88">
        <v>9.4276428800000023</v>
      </c>
      <c r="V429" s="87" t="s">
        <v>3061</v>
      </c>
      <c r="W429" s="87" t="s">
        <v>3114</v>
      </c>
      <c r="X429" s="90" t="s">
        <v>3477</v>
      </c>
      <c r="Y429" s="89"/>
      <c r="Z429" s="89"/>
      <c r="AA429" s="89"/>
      <c r="AB429" s="89"/>
    </row>
    <row r="430" spans="1:28" s="31" customFormat="1" ht="60" customHeight="1" x14ac:dyDescent="0.2">
      <c r="A430" s="76">
        <v>429</v>
      </c>
      <c r="B430" s="77">
        <v>50005767</v>
      </c>
      <c r="C430" s="78" t="s">
        <v>4478</v>
      </c>
      <c r="D430" s="79">
        <v>0.05</v>
      </c>
      <c r="E430" s="80">
        <v>30049099</v>
      </c>
      <c r="F430" s="81" t="s">
        <v>4536</v>
      </c>
      <c r="G430" s="82" t="s">
        <v>4537</v>
      </c>
      <c r="H430" s="82" t="s">
        <v>4280</v>
      </c>
      <c r="I430" s="79" t="s">
        <v>2666</v>
      </c>
      <c r="J430" s="83">
        <v>178.12</v>
      </c>
      <c r="K430" s="83">
        <v>135.71047619047619</v>
      </c>
      <c r="L430" s="83">
        <v>124.40126984126984</v>
      </c>
      <c r="M430" s="84">
        <v>108.56295253333336</v>
      </c>
      <c r="N430" s="59">
        <f t="shared" si="6"/>
        <v>0.39050666666666656</v>
      </c>
      <c r="O430" s="85" t="s">
        <v>1091</v>
      </c>
      <c r="P430" s="86" t="s">
        <v>2813</v>
      </c>
      <c r="Q430" s="87" t="s">
        <v>3208</v>
      </c>
      <c r="R430" s="87">
        <v>10</v>
      </c>
      <c r="S430" s="88">
        <v>17.812000000000001</v>
      </c>
      <c r="T430" s="88">
        <v>12.440126984126984</v>
      </c>
      <c r="U430" s="88">
        <v>10.856295253333336</v>
      </c>
      <c r="V430" s="87" t="s">
        <v>3061</v>
      </c>
      <c r="W430" s="87" t="s">
        <v>3114</v>
      </c>
      <c r="X430" s="90" t="s">
        <v>3477</v>
      </c>
      <c r="Y430" s="89"/>
      <c r="Z430" s="89"/>
      <c r="AA430" s="89"/>
      <c r="AB430" s="89"/>
    </row>
    <row r="431" spans="1:28" s="31" customFormat="1" ht="60" customHeight="1" x14ac:dyDescent="0.2">
      <c r="A431" s="76">
        <v>430</v>
      </c>
      <c r="B431" s="77">
        <v>50000573</v>
      </c>
      <c r="C431" s="78" t="s">
        <v>1143</v>
      </c>
      <c r="D431" s="79">
        <v>0.05</v>
      </c>
      <c r="E431" s="80">
        <v>30049099</v>
      </c>
      <c r="F431" s="81" t="s">
        <v>1144</v>
      </c>
      <c r="G431" s="82" t="s">
        <v>1145</v>
      </c>
      <c r="H431" s="82" t="s">
        <v>3880</v>
      </c>
      <c r="I431" s="79" t="s">
        <v>2693</v>
      </c>
      <c r="J431" s="83">
        <v>55.2</v>
      </c>
      <c r="K431" s="83">
        <v>42.057142857142857</v>
      </c>
      <c r="L431" s="83">
        <v>38.55238095238095</v>
      </c>
      <c r="M431" s="84">
        <v>34.697142857142858</v>
      </c>
      <c r="N431" s="59">
        <f t="shared" si="6"/>
        <v>0.37142857142857144</v>
      </c>
      <c r="O431" s="85" t="s">
        <v>1091</v>
      </c>
      <c r="P431" s="86" t="s">
        <v>3260</v>
      </c>
      <c r="Q431" s="87" t="s">
        <v>3208</v>
      </c>
      <c r="R431" s="87">
        <v>10</v>
      </c>
      <c r="S431" s="88">
        <v>5.5200000000000005</v>
      </c>
      <c r="T431" s="88">
        <v>3.8552380952380951</v>
      </c>
      <c r="U431" s="88">
        <v>3.4697142857142858</v>
      </c>
      <c r="V431" s="87" t="s">
        <v>3061</v>
      </c>
      <c r="W431" s="87" t="s">
        <v>3105</v>
      </c>
      <c r="X431" s="90" t="s">
        <v>3478</v>
      </c>
      <c r="Y431" s="89"/>
      <c r="Z431" s="89">
        <v>12</v>
      </c>
      <c r="AA431" s="89"/>
      <c r="AB431" s="89"/>
    </row>
    <row r="432" spans="1:28" s="31" customFormat="1" ht="60" customHeight="1" x14ac:dyDescent="0.2">
      <c r="A432" s="76">
        <v>431</v>
      </c>
      <c r="B432" s="77">
        <v>50000082</v>
      </c>
      <c r="C432" s="78" t="s">
        <v>1146</v>
      </c>
      <c r="D432" s="79">
        <v>0.05</v>
      </c>
      <c r="E432" s="80">
        <v>30049099</v>
      </c>
      <c r="F432" s="81" t="s">
        <v>1147</v>
      </c>
      <c r="G432" s="82" t="s">
        <v>1148</v>
      </c>
      <c r="H432" s="82" t="s">
        <v>3881</v>
      </c>
      <c r="I432" s="79" t="s">
        <v>2810</v>
      </c>
      <c r="J432" s="83">
        <v>73.05</v>
      </c>
      <c r="K432" s="83">
        <v>55.657142857142858</v>
      </c>
      <c r="L432" s="83">
        <v>50.091428571428573</v>
      </c>
      <c r="M432" s="84">
        <v>45.08228571428571</v>
      </c>
      <c r="N432" s="59">
        <f t="shared" si="6"/>
        <v>0.3828571428571429</v>
      </c>
      <c r="O432" s="85" t="s">
        <v>1091</v>
      </c>
      <c r="P432" s="86" t="s">
        <v>3654</v>
      </c>
      <c r="Q432" s="87" t="s">
        <v>3208</v>
      </c>
      <c r="R432" s="87">
        <v>1</v>
      </c>
      <c r="S432" s="88">
        <v>73.05</v>
      </c>
      <c r="T432" s="88">
        <v>50.091428571428573</v>
      </c>
      <c r="U432" s="88">
        <v>45.08228571428571</v>
      </c>
      <c r="V432" s="87" t="s">
        <v>3062</v>
      </c>
      <c r="W432" s="87" t="s">
        <v>3105</v>
      </c>
      <c r="X432" s="90" t="s">
        <v>3480</v>
      </c>
      <c r="Y432" s="89"/>
      <c r="Z432" s="89">
        <v>1</v>
      </c>
      <c r="AA432" s="89"/>
      <c r="AB432" s="89"/>
    </row>
    <row r="433" spans="1:28" s="31" customFormat="1" ht="60" customHeight="1" x14ac:dyDescent="0.2">
      <c r="A433" s="76">
        <v>432</v>
      </c>
      <c r="B433" s="77">
        <v>50000588</v>
      </c>
      <c r="C433" s="78" t="s">
        <v>1149</v>
      </c>
      <c r="D433" s="79">
        <v>0.05</v>
      </c>
      <c r="E433" s="80">
        <v>30049099</v>
      </c>
      <c r="F433" s="81" t="s">
        <v>1150</v>
      </c>
      <c r="G433" s="82" t="s">
        <v>1151</v>
      </c>
      <c r="H433" s="82" t="s">
        <v>4084</v>
      </c>
      <c r="I433" s="79" t="s">
        <v>2744</v>
      </c>
      <c r="J433" s="83">
        <v>20.399999999999999</v>
      </c>
      <c r="K433" s="83">
        <v>15.542857142857141</v>
      </c>
      <c r="L433" s="83">
        <v>14.247619047619047</v>
      </c>
      <c r="M433" s="84">
        <v>12.82285714285714</v>
      </c>
      <c r="N433" s="59">
        <f t="shared" si="6"/>
        <v>0.3714285714285715</v>
      </c>
      <c r="O433" s="85" t="s">
        <v>1091</v>
      </c>
      <c r="P433" s="86" t="s">
        <v>2811</v>
      </c>
      <c r="Q433" s="87" t="s">
        <v>3208</v>
      </c>
      <c r="R433" s="87">
        <v>1</v>
      </c>
      <c r="S433" s="88">
        <v>20.399999999999999</v>
      </c>
      <c r="T433" s="88">
        <v>14.247619047619047</v>
      </c>
      <c r="U433" s="88">
        <v>12.82285714285714</v>
      </c>
      <c r="V433" s="87" t="s">
        <v>3064</v>
      </c>
      <c r="W433" s="87" t="s">
        <v>3105</v>
      </c>
      <c r="X433" s="90" t="s">
        <v>3489</v>
      </c>
      <c r="Y433" s="89"/>
      <c r="Z433" s="89">
        <v>12</v>
      </c>
      <c r="AA433" s="89"/>
      <c r="AB433" s="89"/>
    </row>
    <row r="434" spans="1:28" s="31" customFormat="1" ht="60" customHeight="1" x14ac:dyDescent="0.2">
      <c r="A434" s="76">
        <v>433</v>
      </c>
      <c r="B434" s="77">
        <v>50000381</v>
      </c>
      <c r="C434" s="78" t="s">
        <v>1152</v>
      </c>
      <c r="D434" s="79">
        <v>0.05</v>
      </c>
      <c r="E434" s="80">
        <v>30049099</v>
      </c>
      <c r="F434" s="81" t="s">
        <v>1153</v>
      </c>
      <c r="G434" s="82" t="s">
        <v>1154</v>
      </c>
      <c r="H434" s="82" t="s">
        <v>3882</v>
      </c>
      <c r="I434" s="79" t="s">
        <v>3140</v>
      </c>
      <c r="J434" s="83">
        <v>65.5</v>
      </c>
      <c r="K434" s="83">
        <v>49.904761904761905</v>
      </c>
      <c r="L434" s="83">
        <v>41.587301587301589</v>
      </c>
      <c r="M434" s="84">
        <v>37.428571428571445</v>
      </c>
      <c r="N434" s="59">
        <f t="shared" si="6"/>
        <v>0.42857142857142833</v>
      </c>
      <c r="O434" s="85" t="s">
        <v>1091</v>
      </c>
      <c r="P434" s="86" t="s">
        <v>2812</v>
      </c>
      <c r="Q434" s="87" t="s">
        <v>3208</v>
      </c>
      <c r="R434" s="87">
        <v>1</v>
      </c>
      <c r="S434" s="88">
        <v>65.5</v>
      </c>
      <c r="T434" s="88">
        <v>41.587301587301589</v>
      </c>
      <c r="U434" s="88">
        <v>37.428571428571445</v>
      </c>
      <c r="V434" s="87" t="s">
        <v>3062</v>
      </c>
      <c r="W434" s="87" t="s">
        <v>3105</v>
      </c>
      <c r="X434" s="90" t="s">
        <v>3480</v>
      </c>
      <c r="Y434" s="89"/>
      <c r="Z434" s="89">
        <v>1</v>
      </c>
      <c r="AA434" s="89"/>
      <c r="AB434" s="89"/>
    </row>
    <row r="435" spans="1:28" s="31" customFormat="1" ht="60" customHeight="1" x14ac:dyDescent="0.2">
      <c r="A435" s="76">
        <v>434</v>
      </c>
      <c r="B435" s="77">
        <v>50002791</v>
      </c>
      <c r="C435" s="78" t="s">
        <v>1155</v>
      </c>
      <c r="D435" s="79">
        <v>0.05</v>
      </c>
      <c r="E435" s="80">
        <v>30049084</v>
      </c>
      <c r="F435" s="81" t="s">
        <v>1156</v>
      </c>
      <c r="G435" s="82" t="s">
        <v>1157</v>
      </c>
      <c r="H435" s="82" t="s">
        <v>3883</v>
      </c>
      <c r="I435" s="79" t="s">
        <v>2702</v>
      </c>
      <c r="J435" s="83">
        <v>75.41</v>
      </c>
      <c r="K435" s="83">
        <v>57.455238095238101</v>
      </c>
      <c r="L435" s="83">
        <v>47.87936507936508</v>
      </c>
      <c r="M435" s="84">
        <v>43.09142857142858</v>
      </c>
      <c r="N435" s="59">
        <f t="shared" si="6"/>
        <v>0.42857142857142844</v>
      </c>
      <c r="O435" s="85" t="s">
        <v>1091</v>
      </c>
      <c r="P435" s="86" t="s">
        <v>385</v>
      </c>
      <c r="Q435" s="87" t="s">
        <v>3208</v>
      </c>
      <c r="R435" s="87">
        <v>6</v>
      </c>
      <c r="S435" s="88">
        <v>12.568333333333333</v>
      </c>
      <c r="T435" s="88">
        <v>7.9798941798941803</v>
      </c>
      <c r="U435" s="88">
        <v>7.1819047619047636</v>
      </c>
      <c r="V435" s="87" t="s">
        <v>3061</v>
      </c>
      <c r="W435" s="87" t="s">
        <v>3105</v>
      </c>
      <c r="X435" s="90" t="s">
        <v>3477</v>
      </c>
      <c r="Y435" s="89"/>
      <c r="Z435" s="89">
        <v>8</v>
      </c>
      <c r="AA435" s="89"/>
      <c r="AB435" s="89"/>
    </row>
    <row r="436" spans="1:28" s="31" customFormat="1" ht="60" customHeight="1" x14ac:dyDescent="0.2">
      <c r="A436" s="76">
        <v>435</v>
      </c>
      <c r="B436" s="77">
        <v>50003834</v>
      </c>
      <c r="C436" s="78" t="s">
        <v>1158</v>
      </c>
      <c r="D436" s="79">
        <v>0.05</v>
      </c>
      <c r="E436" s="80">
        <v>30049099</v>
      </c>
      <c r="F436" s="81" t="s">
        <v>1159</v>
      </c>
      <c r="G436" s="82" t="s">
        <v>1160</v>
      </c>
      <c r="H436" s="82" t="s">
        <v>158</v>
      </c>
      <c r="I436" s="79" t="s">
        <v>2663</v>
      </c>
      <c r="J436" s="83">
        <v>102.56</v>
      </c>
      <c r="K436" s="83">
        <v>78.140952380952371</v>
      </c>
      <c r="L436" s="83">
        <v>71.629206349206342</v>
      </c>
      <c r="M436" s="84">
        <v>62.512761904761895</v>
      </c>
      <c r="N436" s="59">
        <f t="shared" si="6"/>
        <v>0.39047619047619059</v>
      </c>
      <c r="O436" s="85" t="s">
        <v>1091</v>
      </c>
      <c r="P436" s="86" t="s">
        <v>3150</v>
      </c>
      <c r="Q436" s="87" t="s">
        <v>3208</v>
      </c>
      <c r="R436" s="87">
        <v>15</v>
      </c>
      <c r="S436" s="88">
        <v>6.8373333333333335</v>
      </c>
      <c r="T436" s="88">
        <v>4.7752804232804227</v>
      </c>
      <c r="U436" s="88">
        <v>4.1675174603174598</v>
      </c>
      <c r="V436" s="87" t="s">
        <v>3061</v>
      </c>
      <c r="W436" s="87" t="s">
        <v>3114</v>
      </c>
      <c r="X436" s="90" t="s">
        <v>3477</v>
      </c>
      <c r="Y436" s="89" t="s">
        <v>3455</v>
      </c>
      <c r="Z436" s="89">
        <v>3</v>
      </c>
      <c r="AA436" s="89" t="s">
        <v>3207</v>
      </c>
      <c r="AB436" s="89" t="s">
        <v>4613</v>
      </c>
    </row>
    <row r="437" spans="1:28" s="31" customFormat="1" ht="60" customHeight="1" x14ac:dyDescent="0.2">
      <c r="A437" s="76">
        <v>436</v>
      </c>
      <c r="B437" s="77">
        <v>50003962</v>
      </c>
      <c r="C437" s="78" t="s">
        <v>1161</v>
      </c>
      <c r="D437" s="79">
        <v>0.05</v>
      </c>
      <c r="E437" s="80">
        <v>30049099</v>
      </c>
      <c r="F437" s="81" t="s">
        <v>1162</v>
      </c>
      <c r="G437" s="82" t="s">
        <v>1163</v>
      </c>
      <c r="H437" s="82" t="s">
        <v>3098</v>
      </c>
      <c r="I437" s="79" t="s">
        <v>2666</v>
      </c>
      <c r="J437" s="83">
        <v>181.49</v>
      </c>
      <c r="K437" s="83">
        <v>138.27809523809523</v>
      </c>
      <c r="L437" s="83">
        <v>138.27809523809523</v>
      </c>
      <c r="M437" s="84">
        <v>110.61694506666666</v>
      </c>
      <c r="N437" s="59">
        <f t="shared" si="6"/>
        <v>0.39050666666666672</v>
      </c>
      <c r="O437" s="85" t="s">
        <v>1091</v>
      </c>
      <c r="P437" s="86" t="s">
        <v>2813</v>
      </c>
      <c r="Q437" s="87" t="s">
        <v>3208</v>
      </c>
      <c r="R437" s="87">
        <v>10</v>
      </c>
      <c r="S437" s="88">
        <v>18.149000000000001</v>
      </c>
      <c r="T437" s="88">
        <v>13.827809523809524</v>
      </c>
      <c r="U437" s="88">
        <v>11.061694506666665</v>
      </c>
      <c r="V437" s="87" t="s">
        <v>3061</v>
      </c>
      <c r="W437" s="87" t="s">
        <v>3114</v>
      </c>
      <c r="X437" s="90" t="s">
        <v>3477</v>
      </c>
      <c r="Y437" s="89" t="s">
        <v>3455</v>
      </c>
      <c r="Z437" s="89">
        <v>3</v>
      </c>
      <c r="AA437" s="89" t="s">
        <v>3207</v>
      </c>
      <c r="AB437" s="89"/>
    </row>
    <row r="438" spans="1:28" s="31" customFormat="1" ht="60" customHeight="1" x14ac:dyDescent="0.2">
      <c r="A438" s="76">
        <v>437</v>
      </c>
      <c r="B438" s="77">
        <v>50003961</v>
      </c>
      <c r="C438" s="78" t="s">
        <v>1164</v>
      </c>
      <c r="D438" s="79">
        <v>0.05</v>
      </c>
      <c r="E438" s="80">
        <v>30049099</v>
      </c>
      <c r="F438" s="81" t="s">
        <v>1165</v>
      </c>
      <c r="G438" s="82" t="s">
        <v>1166</v>
      </c>
      <c r="H438" s="82" t="s">
        <v>3290</v>
      </c>
      <c r="I438" s="79" t="s">
        <v>2666</v>
      </c>
      <c r="J438" s="83">
        <v>212.12</v>
      </c>
      <c r="K438" s="83">
        <v>161.61523809523811</v>
      </c>
      <c r="L438" s="83">
        <v>161.61523809523811</v>
      </c>
      <c r="M438" s="84">
        <v>129.29219047619048</v>
      </c>
      <c r="N438" s="59">
        <f t="shared" si="6"/>
        <v>0.39047619047619048</v>
      </c>
      <c r="O438" s="85" t="s">
        <v>1091</v>
      </c>
      <c r="P438" s="86" t="s">
        <v>2813</v>
      </c>
      <c r="Q438" s="87" t="s">
        <v>3208</v>
      </c>
      <c r="R438" s="87">
        <v>10</v>
      </c>
      <c r="S438" s="88">
        <v>21.212</v>
      </c>
      <c r="T438" s="88">
        <v>16.161523809523811</v>
      </c>
      <c r="U438" s="88">
        <v>12.929219047619048</v>
      </c>
      <c r="V438" s="87" t="s">
        <v>3061</v>
      </c>
      <c r="W438" s="87" t="s">
        <v>3114</v>
      </c>
      <c r="X438" s="90" t="s">
        <v>3477</v>
      </c>
      <c r="Y438" s="89" t="s">
        <v>3455</v>
      </c>
      <c r="Z438" s="89">
        <v>3</v>
      </c>
      <c r="AA438" s="89" t="s">
        <v>3207</v>
      </c>
      <c r="AB438" s="89" t="s">
        <v>4613</v>
      </c>
    </row>
    <row r="439" spans="1:28" s="31" customFormat="1" ht="60" customHeight="1" x14ac:dyDescent="0.2">
      <c r="A439" s="76">
        <v>438</v>
      </c>
      <c r="B439" s="77">
        <v>50004647</v>
      </c>
      <c r="C439" s="78" t="s">
        <v>1167</v>
      </c>
      <c r="D439" s="79">
        <v>0.05</v>
      </c>
      <c r="E439" s="80">
        <v>30049099</v>
      </c>
      <c r="F439" s="81" t="s">
        <v>1168</v>
      </c>
      <c r="G439" s="82" t="s">
        <v>1169</v>
      </c>
      <c r="H439" s="82" t="s">
        <v>3884</v>
      </c>
      <c r="I439" s="79" t="s">
        <v>2666</v>
      </c>
      <c r="J439" s="83">
        <v>183.54</v>
      </c>
      <c r="K439" s="83">
        <v>139.84</v>
      </c>
      <c r="L439" s="83">
        <v>139.84</v>
      </c>
      <c r="M439" s="84">
        <v>111.86640640000003</v>
      </c>
      <c r="N439" s="59">
        <f t="shared" si="6"/>
        <v>0.39050666666666645</v>
      </c>
      <c r="O439" s="85" t="s">
        <v>1091</v>
      </c>
      <c r="P439" s="86" t="s">
        <v>2813</v>
      </c>
      <c r="Q439" s="87" t="s">
        <v>3208</v>
      </c>
      <c r="R439" s="87">
        <v>10</v>
      </c>
      <c r="S439" s="88">
        <v>18.353999999999999</v>
      </c>
      <c r="T439" s="88">
        <v>13.984</v>
      </c>
      <c r="U439" s="88">
        <v>11.186640640000004</v>
      </c>
      <c r="V439" s="87" t="s">
        <v>3061</v>
      </c>
      <c r="W439" s="87" t="s">
        <v>3114</v>
      </c>
      <c r="X439" s="90" t="s">
        <v>3477</v>
      </c>
      <c r="Y439" s="89"/>
      <c r="Z439" s="89">
        <v>3</v>
      </c>
      <c r="AA439" s="89" t="s">
        <v>3207</v>
      </c>
      <c r="AB439" s="89"/>
    </row>
    <row r="440" spans="1:28" s="31" customFormat="1" ht="60" customHeight="1" x14ac:dyDescent="0.2">
      <c r="A440" s="76">
        <v>439</v>
      </c>
      <c r="B440" s="77">
        <v>50004646</v>
      </c>
      <c r="C440" s="78" t="s">
        <v>1170</v>
      </c>
      <c r="D440" s="79">
        <v>0.05</v>
      </c>
      <c r="E440" s="80">
        <v>30049099</v>
      </c>
      <c r="F440" s="81" t="s">
        <v>1171</v>
      </c>
      <c r="G440" s="82" t="s">
        <v>1172</v>
      </c>
      <c r="H440" s="82" t="s">
        <v>3885</v>
      </c>
      <c r="I440" s="79" t="s">
        <v>2666</v>
      </c>
      <c r="J440" s="83">
        <v>176.24</v>
      </c>
      <c r="K440" s="83">
        <v>134.27809523809523</v>
      </c>
      <c r="L440" s="83">
        <v>134.27809523809523</v>
      </c>
      <c r="M440" s="84">
        <v>107.41710506666668</v>
      </c>
      <c r="N440" s="59">
        <f t="shared" si="6"/>
        <v>0.39050666666666661</v>
      </c>
      <c r="O440" s="85" t="s">
        <v>1091</v>
      </c>
      <c r="P440" s="86" t="s">
        <v>2813</v>
      </c>
      <c r="Q440" s="87" t="s">
        <v>3208</v>
      </c>
      <c r="R440" s="87">
        <v>10</v>
      </c>
      <c r="S440" s="88">
        <v>17.624000000000002</v>
      </c>
      <c r="T440" s="88">
        <v>13.427809523809524</v>
      </c>
      <c r="U440" s="88">
        <v>10.741710506666667</v>
      </c>
      <c r="V440" s="87" t="s">
        <v>3061</v>
      </c>
      <c r="W440" s="87" t="s">
        <v>3114</v>
      </c>
      <c r="X440" s="90" t="s">
        <v>3477</v>
      </c>
      <c r="Y440" s="89"/>
      <c r="Z440" s="89">
        <v>3</v>
      </c>
      <c r="AA440" s="89" t="s">
        <v>3207</v>
      </c>
      <c r="AB440" s="89"/>
    </row>
    <row r="441" spans="1:28" s="31" customFormat="1" ht="60" customHeight="1" x14ac:dyDescent="0.2">
      <c r="A441" s="76">
        <v>440</v>
      </c>
      <c r="B441" s="77">
        <v>50003290</v>
      </c>
      <c r="C441" s="78" t="s">
        <v>1173</v>
      </c>
      <c r="D441" s="79">
        <v>0.05</v>
      </c>
      <c r="E441" s="80">
        <v>30049099</v>
      </c>
      <c r="F441" s="81" t="s">
        <v>1174</v>
      </c>
      <c r="G441" s="82" t="s">
        <v>1175</v>
      </c>
      <c r="H441" s="82" t="s">
        <v>3672</v>
      </c>
      <c r="I441" s="79" t="s">
        <v>2666</v>
      </c>
      <c r="J441" s="83">
        <v>92.57</v>
      </c>
      <c r="K441" s="83">
        <v>70.529523809523809</v>
      </c>
      <c r="L441" s="83">
        <v>64.65206349206349</v>
      </c>
      <c r="M441" s="84">
        <v>56.423619047619034</v>
      </c>
      <c r="N441" s="59">
        <f t="shared" si="6"/>
        <v>0.39047619047619059</v>
      </c>
      <c r="O441" s="85" t="s">
        <v>1091</v>
      </c>
      <c r="P441" s="86" t="s">
        <v>123</v>
      </c>
      <c r="Q441" s="87" t="s">
        <v>3208</v>
      </c>
      <c r="R441" s="87">
        <v>10</v>
      </c>
      <c r="S441" s="88">
        <v>9.2569999999999997</v>
      </c>
      <c r="T441" s="88">
        <v>6.4652063492063494</v>
      </c>
      <c r="U441" s="88">
        <v>5.6423619047619038</v>
      </c>
      <c r="V441" s="87" t="s">
        <v>3061</v>
      </c>
      <c r="W441" s="87" t="s">
        <v>3114</v>
      </c>
      <c r="X441" s="90" t="s">
        <v>3477</v>
      </c>
      <c r="Y441" s="89" t="s">
        <v>3455</v>
      </c>
      <c r="Z441" s="89">
        <v>3</v>
      </c>
      <c r="AA441" s="89" t="s">
        <v>3207</v>
      </c>
      <c r="AB441" s="89"/>
    </row>
    <row r="442" spans="1:28" s="31" customFormat="1" ht="60" customHeight="1" x14ac:dyDescent="0.2">
      <c r="A442" s="76">
        <v>441</v>
      </c>
      <c r="B442" s="77">
        <v>50004649</v>
      </c>
      <c r="C442" s="78" t="s">
        <v>1176</v>
      </c>
      <c r="D442" s="79">
        <v>0.05</v>
      </c>
      <c r="E442" s="80">
        <v>30049099</v>
      </c>
      <c r="F442" s="81" t="s">
        <v>1177</v>
      </c>
      <c r="G442" s="82" t="s">
        <v>1178</v>
      </c>
      <c r="H442" s="82" t="s">
        <v>3810</v>
      </c>
      <c r="I442" s="79" t="s">
        <v>2666</v>
      </c>
      <c r="J442" s="83">
        <v>121.77</v>
      </c>
      <c r="K442" s="83">
        <v>92.777142857142863</v>
      </c>
      <c r="L442" s="83">
        <v>92.777142857142863</v>
      </c>
      <c r="M442" s="84">
        <v>74.221714285714285</v>
      </c>
      <c r="N442" s="59">
        <f t="shared" si="6"/>
        <v>0.39047619047619048</v>
      </c>
      <c r="O442" s="85" t="s">
        <v>1091</v>
      </c>
      <c r="P442" s="86" t="s">
        <v>2734</v>
      </c>
      <c r="Q442" s="87" t="s">
        <v>3208</v>
      </c>
      <c r="R442" s="87">
        <v>10</v>
      </c>
      <c r="S442" s="88">
        <v>12.177</v>
      </c>
      <c r="T442" s="88">
        <v>9.2777142857142856</v>
      </c>
      <c r="U442" s="88">
        <v>7.4221714285714286</v>
      </c>
      <c r="V442" s="87" t="s">
        <v>3061</v>
      </c>
      <c r="W442" s="87" t="s">
        <v>3114</v>
      </c>
      <c r="X442" s="90" t="s">
        <v>3477</v>
      </c>
      <c r="Y442" s="89"/>
      <c r="Z442" s="89">
        <v>3</v>
      </c>
      <c r="AA442" s="89" t="s">
        <v>3207</v>
      </c>
      <c r="AB442" s="89"/>
    </row>
    <row r="443" spans="1:28" s="31" customFormat="1" ht="60" customHeight="1" x14ac:dyDescent="0.2">
      <c r="A443" s="76">
        <v>442</v>
      </c>
      <c r="B443" s="77">
        <v>50003291</v>
      </c>
      <c r="C443" s="78" t="s">
        <v>1179</v>
      </c>
      <c r="D443" s="79">
        <v>0.05</v>
      </c>
      <c r="E443" s="80">
        <v>30049099</v>
      </c>
      <c r="F443" s="81" t="s">
        <v>1180</v>
      </c>
      <c r="G443" s="82" t="s">
        <v>1181</v>
      </c>
      <c r="H443" s="82" t="s">
        <v>3834</v>
      </c>
      <c r="I443" s="79" t="s">
        <v>2666</v>
      </c>
      <c r="J443" s="83">
        <v>95.81</v>
      </c>
      <c r="K443" s="83">
        <v>72.998095238095246</v>
      </c>
      <c r="L443" s="83">
        <v>66.914920634920648</v>
      </c>
      <c r="M443" s="84">
        <v>58.39847619047621</v>
      </c>
      <c r="N443" s="59">
        <f t="shared" si="6"/>
        <v>0.39047619047619031</v>
      </c>
      <c r="O443" s="85" t="s">
        <v>1091</v>
      </c>
      <c r="P443" s="86" t="s">
        <v>123</v>
      </c>
      <c r="Q443" s="87" t="s">
        <v>3208</v>
      </c>
      <c r="R443" s="87">
        <v>10</v>
      </c>
      <c r="S443" s="88">
        <v>9.5809999999999995</v>
      </c>
      <c r="T443" s="88">
        <v>6.6914920634920652</v>
      </c>
      <c r="U443" s="88">
        <v>5.839847619047621</v>
      </c>
      <c r="V443" s="87" t="s">
        <v>3061</v>
      </c>
      <c r="W443" s="87" t="s">
        <v>3114</v>
      </c>
      <c r="X443" s="90" t="s">
        <v>3477</v>
      </c>
      <c r="Y443" s="89" t="s">
        <v>3455</v>
      </c>
      <c r="Z443" s="89">
        <v>3</v>
      </c>
      <c r="AA443" s="89" t="s">
        <v>3207</v>
      </c>
      <c r="AB443" s="89"/>
    </row>
    <row r="444" spans="1:28" s="31" customFormat="1" ht="60" customHeight="1" x14ac:dyDescent="0.2">
      <c r="A444" s="76">
        <v>443</v>
      </c>
      <c r="B444" s="77">
        <v>50004648</v>
      </c>
      <c r="C444" s="78" t="s">
        <v>1182</v>
      </c>
      <c r="D444" s="79">
        <v>0.05</v>
      </c>
      <c r="E444" s="80">
        <v>30049099</v>
      </c>
      <c r="F444" s="81" t="s">
        <v>1183</v>
      </c>
      <c r="G444" s="82" t="s">
        <v>1184</v>
      </c>
      <c r="H444" s="82" t="s">
        <v>3811</v>
      </c>
      <c r="I444" s="79" t="s">
        <v>2666</v>
      </c>
      <c r="J444" s="83">
        <v>140.52000000000001</v>
      </c>
      <c r="K444" s="83">
        <v>107.06285714285715</v>
      </c>
      <c r="L444" s="83">
        <v>107.06285714285715</v>
      </c>
      <c r="M444" s="84">
        <v>85.650285714285744</v>
      </c>
      <c r="N444" s="59">
        <f t="shared" si="6"/>
        <v>0.39047619047619031</v>
      </c>
      <c r="O444" s="85" t="s">
        <v>1091</v>
      </c>
      <c r="P444" s="86" t="s">
        <v>2734</v>
      </c>
      <c r="Q444" s="87" t="s">
        <v>3208</v>
      </c>
      <c r="R444" s="87">
        <v>10</v>
      </c>
      <c r="S444" s="88">
        <v>14.052000000000001</v>
      </c>
      <c r="T444" s="88">
        <v>10.706285714285716</v>
      </c>
      <c r="U444" s="88">
        <v>8.5650285714285737</v>
      </c>
      <c r="V444" s="87" t="s">
        <v>3061</v>
      </c>
      <c r="W444" s="87" t="s">
        <v>3114</v>
      </c>
      <c r="X444" s="90" t="s">
        <v>3477</v>
      </c>
      <c r="Y444" s="89"/>
      <c r="Z444" s="89">
        <v>3</v>
      </c>
      <c r="AA444" s="89" t="s">
        <v>3207</v>
      </c>
      <c r="AB444" s="89"/>
    </row>
    <row r="445" spans="1:28" s="31" customFormat="1" ht="60" customHeight="1" x14ac:dyDescent="0.2">
      <c r="A445" s="76">
        <v>444</v>
      </c>
      <c r="B445" s="77">
        <v>50003708</v>
      </c>
      <c r="C445" s="78" t="s">
        <v>1185</v>
      </c>
      <c r="D445" s="79">
        <v>0.05</v>
      </c>
      <c r="E445" s="80">
        <v>30049099</v>
      </c>
      <c r="F445" s="81" t="s">
        <v>1186</v>
      </c>
      <c r="G445" s="82" t="s">
        <v>1187</v>
      </c>
      <c r="H445" s="82" t="s">
        <v>323</v>
      </c>
      <c r="I445" s="79" t="s">
        <v>2666</v>
      </c>
      <c r="J445" s="83">
        <v>123.52</v>
      </c>
      <c r="K445" s="83">
        <v>94.110476190476192</v>
      </c>
      <c r="L445" s="83">
        <v>86.267936507936511</v>
      </c>
      <c r="M445" s="84">
        <v>75.28838095238099</v>
      </c>
      <c r="N445" s="59">
        <f t="shared" si="6"/>
        <v>0.39047619047619014</v>
      </c>
      <c r="O445" s="85" t="s">
        <v>1091</v>
      </c>
      <c r="P445" s="86" t="s">
        <v>2813</v>
      </c>
      <c r="Q445" s="87" t="s">
        <v>3208</v>
      </c>
      <c r="R445" s="87">
        <v>10</v>
      </c>
      <c r="S445" s="88">
        <v>12.352</v>
      </c>
      <c r="T445" s="88">
        <v>8.6267936507936511</v>
      </c>
      <c r="U445" s="88">
        <v>7.5288380952380987</v>
      </c>
      <c r="V445" s="87" t="s">
        <v>3061</v>
      </c>
      <c r="W445" s="87" t="s">
        <v>3114</v>
      </c>
      <c r="X445" s="90" t="s">
        <v>3477</v>
      </c>
      <c r="Y445" s="89"/>
      <c r="Z445" s="89">
        <v>3</v>
      </c>
      <c r="AA445" s="89" t="s">
        <v>3207</v>
      </c>
      <c r="AB445" s="89"/>
    </row>
    <row r="446" spans="1:28" s="31" customFormat="1" ht="60" customHeight="1" x14ac:dyDescent="0.2">
      <c r="A446" s="76">
        <v>445</v>
      </c>
      <c r="B446" s="77">
        <v>50005574</v>
      </c>
      <c r="C446" s="78" t="s">
        <v>3626</v>
      </c>
      <c r="D446" s="79">
        <v>0.05</v>
      </c>
      <c r="E446" s="80">
        <v>30049099</v>
      </c>
      <c r="F446" s="81" t="s">
        <v>4090</v>
      </c>
      <c r="G446" s="82" t="s">
        <v>3658</v>
      </c>
      <c r="H446" s="82" t="s">
        <v>158</v>
      </c>
      <c r="I446" s="79" t="s">
        <v>2663</v>
      </c>
      <c r="J446" s="83">
        <v>143.85</v>
      </c>
      <c r="K446" s="83">
        <v>109.6</v>
      </c>
      <c r="L446" s="83">
        <v>100.46666666666665</v>
      </c>
      <c r="M446" s="84">
        <v>87.680000000000021</v>
      </c>
      <c r="N446" s="59">
        <f t="shared" si="6"/>
        <v>0.39047619047619031</v>
      </c>
      <c r="O446" s="85" t="s">
        <v>1091</v>
      </c>
      <c r="P446" s="86" t="s">
        <v>37</v>
      </c>
      <c r="Q446" s="87" t="s">
        <v>3208</v>
      </c>
      <c r="R446" s="87">
        <v>15</v>
      </c>
      <c r="S446" s="88">
        <v>9.59</v>
      </c>
      <c r="T446" s="88">
        <v>6.6977777777777767</v>
      </c>
      <c r="U446" s="88">
        <v>5.8453333333333344</v>
      </c>
      <c r="V446" s="87" t="s">
        <v>3061</v>
      </c>
      <c r="W446" s="87" t="s">
        <v>3114</v>
      </c>
      <c r="X446" s="90" t="s">
        <v>3477</v>
      </c>
      <c r="Y446" s="89"/>
      <c r="Z446" s="89"/>
      <c r="AA446" s="89" t="s">
        <v>3207</v>
      </c>
      <c r="AB446" s="89"/>
    </row>
    <row r="447" spans="1:28" s="31" customFormat="1" ht="60" customHeight="1" x14ac:dyDescent="0.2">
      <c r="A447" s="76">
        <v>446</v>
      </c>
      <c r="B447" s="77">
        <v>50005573</v>
      </c>
      <c r="C447" s="78" t="s">
        <v>4096</v>
      </c>
      <c r="D447" s="79">
        <v>0.05</v>
      </c>
      <c r="E447" s="80">
        <v>30049099</v>
      </c>
      <c r="F447" s="81" t="s">
        <v>4194</v>
      </c>
      <c r="G447" s="82" t="s">
        <v>4130</v>
      </c>
      <c r="H447" s="82" t="s">
        <v>323</v>
      </c>
      <c r="I447" s="79" t="s">
        <v>2663</v>
      </c>
      <c r="J447" s="83">
        <v>219.64</v>
      </c>
      <c r="K447" s="83">
        <v>167.34476190476192</v>
      </c>
      <c r="L447" s="83">
        <v>153.39936507936508</v>
      </c>
      <c r="M447" s="84">
        <v>133.87580952380955</v>
      </c>
      <c r="N447" s="59">
        <f t="shared" si="6"/>
        <v>0.39047619047619031</v>
      </c>
      <c r="O447" s="85" t="s">
        <v>1091</v>
      </c>
      <c r="P447" s="86" t="s">
        <v>37</v>
      </c>
      <c r="Q447" s="87" t="s">
        <v>3208</v>
      </c>
      <c r="R447" s="87">
        <v>15</v>
      </c>
      <c r="S447" s="88">
        <v>14.642666666666665</v>
      </c>
      <c r="T447" s="88">
        <v>10.226624338624339</v>
      </c>
      <c r="U447" s="88">
        <v>8.9250539682539696</v>
      </c>
      <c r="V447" s="87" t="s">
        <v>3061</v>
      </c>
      <c r="W447" s="87" t="s">
        <v>3114</v>
      </c>
      <c r="X447" s="90" t="s">
        <v>3477</v>
      </c>
      <c r="Y447" s="89"/>
      <c r="Z447" s="89"/>
      <c r="AA447" s="89" t="s">
        <v>3207</v>
      </c>
      <c r="AB447" s="89"/>
    </row>
    <row r="448" spans="1:28" s="31" customFormat="1" ht="60" customHeight="1" x14ac:dyDescent="0.2">
      <c r="A448" s="76">
        <v>447</v>
      </c>
      <c r="B448" s="77">
        <v>50005572</v>
      </c>
      <c r="C448" s="78" t="s">
        <v>4225</v>
      </c>
      <c r="D448" s="79">
        <v>0.05</v>
      </c>
      <c r="E448" s="80">
        <v>30049099</v>
      </c>
      <c r="F448" s="81" t="s">
        <v>4237</v>
      </c>
      <c r="G448" s="82" t="s">
        <v>4252</v>
      </c>
      <c r="H448" s="82" t="s">
        <v>3884</v>
      </c>
      <c r="I448" s="79" t="s">
        <v>2663</v>
      </c>
      <c r="J448" s="83">
        <v>307.95999999999998</v>
      </c>
      <c r="K448" s="83">
        <v>234.63619047619045</v>
      </c>
      <c r="L448" s="83">
        <v>215.08317460317457</v>
      </c>
      <c r="M448" s="84">
        <v>187.70895238095238</v>
      </c>
      <c r="N448" s="59">
        <f t="shared" si="6"/>
        <v>0.39047619047619042</v>
      </c>
      <c r="O448" s="85" t="s">
        <v>1091</v>
      </c>
      <c r="P448" s="86" t="s">
        <v>4248</v>
      </c>
      <c r="Q448" s="87" t="s">
        <v>3208</v>
      </c>
      <c r="R448" s="87">
        <v>15</v>
      </c>
      <c r="S448" s="88">
        <v>20.530666666666665</v>
      </c>
      <c r="T448" s="88">
        <v>14.338878306878305</v>
      </c>
      <c r="U448" s="88">
        <v>12.513930158730158</v>
      </c>
      <c r="V448" s="87" t="s">
        <v>3061</v>
      </c>
      <c r="W448" s="87" t="s">
        <v>3114</v>
      </c>
      <c r="X448" s="90" t="s">
        <v>3477</v>
      </c>
      <c r="Y448" s="89"/>
      <c r="Z448" s="89"/>
      <c r="AA448" s="89"/>
      <c r="AB448" s="89"/>
    </row>
    <row r="449" spans="1:28" s="31" customFormat="1" ht="60" customHeight="1" x14ac:dyDescent="0.2">
      <c r="A449" s="76">
        <v>448</v>
      </c>
      <c r="B449" s="77">
        <v>50005575</v>
      </c>
      <c r="C449" s="78" t="s">
        <v>3627</v>
      </c>
      <c r="D449" s="79">
        <v>0.05</v>
      </c>
      <c r="E449" s="80">
        <v>30049099</v>
      </c>
      <c r="F449" s="81" t="s">
        <v>4091</v>
      </c>
      <c r="G449" s="82" t="s">
        <v>3659</v>
      </c>
      <c r="H449" s="82" t="s">
        <v>3672</v>
      </c>
      <c r="I449" s="79" t="s">
        <v>2663</v>
      </c>
      <c r="J449" s="83">
        <v>161.71</v>
      </c>
      <c r="K449" s="83">
        <v>123.20761904761905</v>
      </c>
      <c r="L449" s="83">
        <v>112.94031746031747</v>
      </c>
      <c r="M449" s="84">
        <v>98.566095238095286</v>
      </c>
      <c r="N449" s="59">
        <f t="shared" si="6"/>
        <v>0.3904761904761902</v>
      </c>
      <c r="O449" s="85" t="s">
        <v>1091</v>
      </c>
      <c r="P449" s="86" t="s">
        <v>37</v>
      </c>
      <c r="Q449" s="87" t="s">
        <v>3208</v>
      </c>
      <c r="R449" s="87">
        <v>15</v>
      </c>
      <c r="S449" s="88">
        <v>10.780666666666667</v>
      </c>
      <c r="T449" s="88">
        <v>7.5293544973544986</v>
      </c>
      <c r="U449" s="88">
        <v>6.5710730158730195</v>
      </c>
      <c r="V449" s="87" t="s">
        <v>3061</v>
      </c>
      <c r="W449" s="87" t="s">
        <v>3114</v>
      </c>
      <c r="X449" s="90" t="s">
        <v>3477</v>
      </c>
      <c r="Y449" s="89"/>
      <c r="Z449" s="89"/>
      <c r="AA449" s="89" t="s">
        <v>3207</v>
      </c>
      <c r="AB449" s="89"/>
    </row>
    <row r="450" spans="1:28" s="31" customFormat="1" ht="60" customHeight="1" x14ac:dyDescent="0.2">
      <c r="A450" s="76">
        <v>449</v>
      </c>
      <c r="B450" s="77">
        <v>50000295</v>
      </c>
      <c r="C450" s="78" t="s">
        <v>1188</v>
      </c>
      <c r="D450" s="79">
        <v>0.05</v>
      </c>
      <c r="E450" s="80">
        <v>30049099</v>
      </c>
      <c r="F450" s="81" t="s">
        <v>4676</v>
      </c>
      <c r="G450" s="82" t="s">
        <v>1190</v>
      </c>
      <c r="H450" s="82" t="s">
        <v>3886</v>
      </c>
      <c r="I450" s="79" t="s">
        <v>3037</v>
      </c>
      <c r="J450" s="83">
        <v>106.7</v>
      </c>
      <c r="K450" s="83">
        <v>81.295238095238091</v>
      </c>
      <c r="L450" s="83">
        <v>67.746031746031747</v>
      </c>
      <c r="M450" s="84">
        <v>60.971428571428568</v>
      </c>
      <c r="N450" s="59">
        <f t="shared" ref="N450:N513" si="7">(J450-M450)/J450</f>
        <v>0.4285714285714286</v>
      </c>
      <c r="O450" s="85" t="s">
        <v>1091</v>
      </c>
      <c r="P450" s="86" t="s">
        <v>2747</v>
      </c>
      <c r="Q450" s="87" t="s">
        <v>3208</v>
      </c>
      <c r="R450" s="87">
        <v>1</v>
      </c>
      <c r="S450" s="88">
        <v>106.7</v>
      </c>
      <c r="T450" s="88">
        <v>67.746031746031747</v>
      </c>
      <c r="U450" s="88">
        <v>60.971428571428568</v>
      </c>
      <c r="V450" s="87" t="s">
        <v>3062</v>
      </c>
      <c r="W450" s="87" t="s">
        <v>3105</v>
      </c>
      <c r="X450" s="90" t="s">
        <v>3037</v>
      </c>
      <c r="Y450" s="89"/>
      <c r="Z450" s="89"/>
      <c r="AA450" s="89"/>
      <c r="AB450" s="89"/>
    </row>
    <row r="451" spans="1:28" s="31" customFormat="1" ht="60" customHeight="1" x14ac:dyDescent="0.2">
      <c r="A451" s="76">
        <v>450</v>
      </c>
      <c r="B451" s="77">
        <v>50004794</v>
      </c>
      <c r="C451" s="78" t="s">
        <v>1188</v>
      </c>
      <c r="D451" s="79">
        <v>0.05</v>
      </c>
      <c r="E451" s="80">
        <v>30049099</v>
      </c>
      <c r="F451" s="81" t="s">
        <v>1189</v>
      </c>
      <c r="G451" s="82" t="s">
        <v>1190</v>
      </c>
      <c r="H451" s="82" t="s">
        <v>3886</v>
      </c>
      <c r="I451" s="79" t="s">
        <v>2687</v>
      </c>
      <c r="J451" s="83">
        <v>175.3</v>
      </c>
      <c r="K451" s="83">
        <v>133.56190476190477</v>
      </c>
      <c r="L451" s="83">
        <v>111.3015873015873</v>
      </c>
      <c r="M451" s="84">
        <v>100.17142857142858</v>
      </c>
      <c r="N451" s="59">
        <f t="shared" si="7"/>
        <v>0.42857142857142855</v>
      </c>
      <c r="O451" s="85" t="s">
        <v>1091</v>
      </c>
      <c r="P451" s="86" t="s">
        <v>2747</v>
      </c>
      <c r="Q451" s="87" t="s">
        <v>3208</v>
      </c>
      <c r="R451" s="87">
        <v>1</v>
      </c>
      <c r="S451" s="88">
        <v>175.3</v>
      </c>
      <c r="T451" s="88">
        <v>111.3015873015873</v>
      </c>
      <c r="U451" s="88">
        <v>100.17142857142858</v>
      </c>
      <c r="V451" s="87" t="s">
        <v>3062</v>
      </c>
      <c r="W451" s="87" t="s">
        <v>3105</v>
      </c>
      <c r="X451" s="90" t="s">
        <v>3480</v>
      </c>
      <c r="Y451" s="89"/>
      <c r="Z451" s="89">
        <v>1</v>
      </c>
      <c r="AA451" s="89"/>
      <c r="AB451" s="89"/>
    </row>
    <row r="452" spans="1:28" s="31" customFormat="1" ht="60" customHeight="1" x14ac:dyDescent="0.2">
      <c r="A452" s="76">
        <v>451</v>
      </c>
      <c r="B452" s="77">
        <v>50000499</v>
      </c>
      <c r="C452" s="78" t="s">
        <v>1191</v>
      </c>
      <c r="D452" s="79">
        <v>0.05</v>
      </c>
      <c r="E452" s="80">
        <v>30049039</v>
      </c>
      <c r="F452" s="81" t="s">
        <v>1192</v>
      </c>
      <c r="G452" s="82" t="s">
        <v>1193</v>
      </c>
      <c r="H452" s="82" t="s">
        <v>1194</v>
      </c>
      <c r="I452" s="79" t="s">
        <v>2666</v>
      </c>
      <c r="J452" s="83">
        <v>123.52</v>
      </c>
      <c r="K452" s="83">
        <v>94.110476190476192</v>
      </c>
      <c r="L452" s="83">
        <v>86.267936507936511</v>
      </c>
      <c r="M452" s="84">
        <v>77.641142857142896</v>
      </c>
      <c r="N452" s="59">
        <f t="shared" si="7"/>
        <v>0.37142857142857111</v>
      </c>
      <c r="O452" s="85" t="s">
        <v>1091</v>
      </c>
      <c r="P452" s="86" t="s">
        <v>2691</v>
      </c>
      <c r="Q452" s="87" t="s">
        <v>3208</v>
      </c>
      <c r="R452" s="87">
        <v>10</v>
      </c>
      <c r="S452" s="88">
        <v>12.352</v>
      </c>
      <c r="T452" s="88">
        <v>8.6267936507936511</v>
      </c>
      <c r="U452" s="88">
        <v>7.7641142857142897</v>
      </c>
      <c r="V452" s="87" t="s">
        <v>3061</v>
      </c>
      <c r="W452" s="87" t="s">
        <v>3103</v>
      </c>
      <c r="X452" s="90" t="s">
        <v>3477</v>
      </c>
      <c r="Y452" s="89"/>
      <c r="Z452" s="89">
        <v>6</v>
      </c>
      <c r="AA452" s="89" t="s">
        <v>3207</v>
      </c>
      <c r="AB452" s="89"/>
    </row>
    <row r="453" spans="1:28" s="31" customFormat="1" ht="60" customHeight="1" x14ac:dyDescent="0.2">
      <c r="A453" s="76">
        <v>452</v>
      </c>
      <c r="B453" s="77">
        <v>50000552</v>
      </c>
      <c r="C453" s="78" t="s">
        <v>1195</v>
      </c>
      <c r="D453" s="79">
        <v>0.05</v>
      </c>
      <c r="E453" s="80">
        <v>30049039</v>
      </c>
      <c r="F453" s="81" t="s">
        <v>1196</v>
      </c>
      <c r="G453" s="82" t="s">
        <v>1197</v>
      </c>
      <c r="H453" s="82" t="s">
        <v>1198</v>
      </c>
      <c r="I453" s="79" t="s">
        <v>2666</v>
      </c>
      <c r="J453" s="83">
        <v>174.65</v>
      </c>
      <c r="K453" s="83">
        <v>133.06666666666666</v>
      </c>
      <c r="L453" s="83">
        <v>121.97777777777777</v>
      </c>
      <c r="M453" s="84">
        <v>109.77999999999999</v>
      </c>
      <c r="N453" s="59">
        <f t="shared" si="7"/>
        <v>0.3714285714285715</v>
      </c>
      <c r="O453" s="85" t="s">
        <v>1091</v>
      </c>
      <c r="P453" s="86" t="s">
        <v>2691</v>
      </c>
      <c r="Q453" s="87" t="s">
        <v>3208</v>
      </c>
      <c r="R453" s="87">
        <v>10</v>
      </c>
      <c r="S453" s="88">
        <v>17.465</v>
      </c>
      <c r="T453" s="88">
        <v>12.197777777777777</v>
      </c>
      <c r="U453" s="88">
        <v>10.977999999999998</v>
      </c>
      <c r="V453" s="87" t="s">
        <v>3061</v>
      </c>
      <c r="W453" s="87" t="s">
        <v>3103</v>
      </c>
      <c r="X453" s="90" t="s">
        <v>3477</v>
      </c>
      <c r="Y453" s="89"/>
      <c r="Z453" s="89">
        <v>6</v>
      </c>
      <c r="AA453" s="89" t="s">
        <v>3207</v>
      </c>
      <c r="AB453" s="89"/>
    </row>
    <row r="454" spans="1:28" s="31" customFormat="1" ht="60" customHeight="1" x14ac:dyDescent="0.2">
      <c r="A454" s="76">
        <v>453</v>
      </c>
      <c r="B454" s="77">
        <v>50000917</v>
      </c>
      <c r="C454" s="78" t="s">
        <v>1199</v>
      </c>
      <c r="D454" s="79">
        <v>0.05</v>
      </c>
      <c r="E454" s="80">
        <v>30049039</v>
      </c>
      <c r="F454" s="81" t="s">
        <v>1200</v>
      </c>
      <c r="G454" s="82" t="s">
        <v>1201</v>
      </c>
      <c r="H454" s="82" t="s">
        <v>3887</v>
      </c>
      <c r="I454" s="79" t="s">
        <v>2666</v>
      </c>
      <c r="J454" s="83">
        <v>157.83000000000001</v>
      </c>
      <c r="K454" s="83">
        <v>120.25142857142859</v>
      </c>
      <c r="L454" s="83">
        <v>100.20952380952383</v>
      </c>
      <c r="M454" s="84">
        <v>90.18857142857145</v>
      </c>
      <c r="N454" s="59">
        <f t="shared" si="7"/>
        <v>0.42857142857142849</v>
      </c>
      <c r="O454" s="85" t="s">
        <v>1091</v>
      </c>
      <c r="P454" s="86" t="s">
        <v>2729</v>
      </c>
      <c r="Q454" s="87" t="s">
        <v>3208</v>
      </c>
      <c r="R454" s="87">
        <v>10</v>
      </c>
      <c r="S454" s="88">
        <v>15.783000000000001</v>
      </c>
      <c r="T454" s="88">
        <v>10.020952380952384</v>
      </c>
      <c r="U454" s="88">
        <v>9.0188571428571453</v>
      </c>
      <c r="V454" s="87" t="s">
        <v>3061</v>
      </c>
      <c r="W454" s="87" t="s">
        <v>3103</v>
      </c>
      <c r="X454" s="90" t="s">
        <v>3477</v>
      </c>
      <c r="Y454" s="89"/>
      <c r="Z454" s="89">
        <v>6</v>
      </c>
      <c r="AA454" s="89" t="s">
        <v>3207</v>
      </c>
      <c r="AB454" s="89"/>
    </row>
    <row r="455" spans="1:28" s="31" customFormat="1" ht="60" customHeight="1" x14ac:dyDescent="0.2">
      <c r="A455" s="76">
        <v>454</v>
      </c>
      <c r="B455" s="77">
        <v>50005139</v>
      </c>
      <c r="C455" s="78" t="s">
        <v>3228</v>
      </c>
      <c r="D455" s="79">
        <v>0.05</v>
      </c>
      <c r="E455" s="80">
        <v>30049099</v>
      </c>
      <c r="F455" s="81" t="s">
        <v>3229</v>
      </c>
      <c r="G455" s="82" t="s">
        <v>3270</v>
      </c>
      <c r="H455" s="82" t="s">
        <v>3282</v>
      </c>
      <c r="I455" s="79" t="s">
        <v>2680</v>
      </c>
      <c r="J455" s="83">
        <v>115</v>
      </c>
      <c r="K455" s="83">
        <v>87.61904761904762</v>
      </c>
      <c r="L455" s="83">
        <v>80.317460317460316</v>
      </c>
      <c r="M455" s="84">
        <v>72.285714285714306</v>
      </c>
      <c r="N455" s="59">
        <f t="shared" si="7"/>
        <v>0.37142857142857127</v>
      </c>
      <c r="O455" s="85" t="s">
        <v>1091</v>
      </c>
      <c r="P455" s="86" t="s">
        <v>2776</v>
      </c>
      <c r="Q455" s="87" t="s">
        <v>3208</v>
      </c>
      <c r="R455" s="87">
        <v>1</v>
      </c>
      <c r="S455" s="88">
        <v>115</v>
      </c>
      <c r="T455" s="88">
        <v>80.317460317460316</v>
      </c>
      <c r="U455" s="88">
        <v>72.285714285714306</v>
      </c>
      <c r="V455" s="87" t="s">
        <v>3062</v>
      </c>
      <c r="W455" s="87" t="s">
        <v>3103</v>
      </c>
      <c r="X455" s="90" t="s">
        <v>3484</v>
      </c>
      <c r="Y455" s="89"/>
      <c r="Z455" s="89">
        <v>1</v>
      </c>
      <c r="AA455" s="89" t="s">
        <v>3207</v>
      </c>
      <c r="AB455" s="89" t="s">
        <v>4613</v>
      </c>
    </row>
    <row r="456" spans="1:28" s="31" customFormat="1" ht="60" customHeight="1" x14ac:dyDescent="0.2">
      <c r="A456" s="76">
        <v>455</v>
      </c>
      <c r="B456" s="77">
        <v>50000688</v>
      </c>
      <c r="C456" s="78" t="s">
        <v>1202</v>
      </c>
      <c r="D456" s="79">
        <v>0.05</v>
      </c>
      <c r="E456" s="80">
        <v>30049039</v>
      </c>
      <c r="F456" s="81" t="s">
        <v>1203</v>
      </c>
      <c r="G456" s="82" t="s">
        <v>1204</v>
      </c>
      <c r="H456" s="82" t="s">
        <v>1205</v>
      </c>
      <c r="I456" s="79" t="s">
        <v>2680</v>
      </c>
      <c r="J456" s="83">
        <v>112.29</v>
      </c>
      <c r="K456" s="83">
        <v>85.554285714285712</v>
      </c>
      <c r="L456" s="83">
        <v>78.424761904761894</v>
      </c>
      <c r="M456" s="84">
        <v>70.582285714285689</v>
      </c>
      <c r="N456" s="59">
        <f t="shared" si="7"/>
        <v>0.37142857142857166</v>
      </c>
      <c r="O456" s="85" t="s">
        <v>1091</v>
      </c>
      <c r="P456" s="86" t="s">
        <v>2747</v>
      </c>
      <c r="Q456" s="87" t="s">
        <v>3208</v>
      </c>
      <c r="R456" s="87">
        <v>1</v>
      </c>
      <c r="S456" s="88">
        <v>112.29</v>
      </c>
      <c r="T456" s="88">
        <v>78.424761904761894</v>
      </c>
      <c r="U456" s="88">
        <v>70.582285714285689</v>
      </c>
      <c r="V456" s="87" t="s">
        <v>3062</v>
      </c>
      <c r="W456" s="87" t="s">
        <v>3103</v>
      </c>
      <c r="X456" s="90" t="s">
        <v>3480</v>
      </c>
      <c r="Y456" s="89"/>
      <c r="Z456" s="89">
        <v>1</v>
      </c>
      <c r="AA456" s="89" t="s">
        <v>3207</v>
      </c>
      <c r="AB456" s="89"/>
    </row>
    <row r="457" spans="1:28" s="31" customFormat="1" ht="60" customHeight="1" x14ac:dyDescent="0.2">
      <c r="A457" s="76">
        <v>456</v>
      </c>
      <c r="B457" s="77">
        <v>50000760</v>
      </c>
      <c r="C457" s="78" t="s">
        <v>1206</v>
      </c>
      <c r="D457" s="79">
        <v>0.05</v>
      </c>
      <c r="E457" s="80">
        <v>30049088</v>
      </c>
      <c r="F457" s="81" t="s">
        <v>1207</v>
      </c>
      <c r="G457" s="82" t="s">
        <v>1208</v>
      </c>
      <c r="H457" s="82" t="s">
        <v>30</v>
      </c>
      <c r="I457" s="79" t="s">
        <v>2666</v>
      </c>
      <c r="J457" s="83">
        <v>63.48</v>
      </c>
      <c r="K457" s="83">
        <v>48.365714285714283</v>
      </c>
      <c r="L457" s="83">
        <v>48.365714285714283</v>
      </c>
      <c r="M457" s="84">
        <v>43.529142857142844</v>
      </c>
      <c r="N457" s="59">
        <f t="shared" si="7"/>
        <v>0.31428571428571445</v>
      </c>
      <c r="O457" s="85" t="s">
        <v>1091</v>
      </c>
      <c r="P457" s="86" t="s">
        <v>2691</v>
      </c>
      <c r="Q457" s="87" t="s">
        <v>3207</v>
      </c>
      <c r="R457" s="87">
        <v>10</v>
      </c>
      <c r="S457" s="88">
        <v>6.3479999999999999</v>
      </c>
      <c r="T457" s="88">
        <v>4.8365714285714283</v>
      </c>
      <c r="U457" s="88">
        <v>4.3529142857142844</v>
      </c>
      <c r="V457" s="87" t="s">
        <v>3061</v>
      </c>
      <c r="W457" s="87" t="s">
        <v>3107</v>
      </c>
      <c r="X457" s="90" t="s">
        <v>3477</v>
      </c>
      <c r="Y457" s="89" t="s">
        <v>3455</v>
      </c>
      <c r="Z457" s="89">
        <v>6</v>
      </c>
      <c r="AA457" s="89"/>
      <c r="AB457" s="89"/>
    </row>
    <row r="458" spans="1:28" s="31" customFormat="1" ht="60" customHeight="1" x14ac:dyDescent="0.2">
      <c r="A458" s="76">
        <v>457</v>
      </c>
      <c r="B458" s="77">
        <v>50000798</v>
      </c>
      <c r="C458" s="78" t="s">
        <v>1209</v>
      </c>
      <c r="D458" s="79">
        <v>0.05</v>
      </c>
      <c r="E458" s="80">
        <v>30049099</v>
      </c>
      <c r="F458" s="81" t="s">
        <v>1210</v>
      </c>
      <c r="G458" s="82" t="s">
        <v>1211</v>
      </c>
      <c r="H458" s="82" t="s">
        <v>26</v>
      </c>
      <c r="I458" s="79" t="s">
        <v>2666</v>
      </c>
      <c r="J458" s="83">
        <v>80.09</v>
      </c>
      <c r="K458" s="83">
        <v>61.02095238095238</v>
      </c>
      <c r="L458" s="83">
        <v>61.02095238095238</v>
      </c>
      <c r="M458" s="84">
        <v>48.816761904761904</v>
      </c>
      <c r="N458" s="59">
        <f t="shared" si="7"/>
        <v>0.39047619047619053</v>
      </c>
      <c r="O458" s="85" t="s">
        <v>1091</v>
      </c>
      <c r="P458" s="86" t="s">
        <v>2742</v>
      </c>
      <c r="Q458" s="87" t="s">
        <v>3208</v>
      </c>
      <c r="R458" s="87">
        <v>10</v>
      </c>
      <c r="S458" s="88">
        <v>8.0090000000000003</v>
      </c>
      <c r="T458" s="88">
        <v>6.102095238095238</v>
      </c>
      <c r="U458" s="88">
        <v>4.8816761904761901</v>
      </c>
      <c r="V458" s="87" t="s">
        <v>3061</v>
      </c>
      <c r="W458" s="87" t="s">
        <v>3100</v>
      </c>
      <c r="X458" s="90" t="s">
        <v>3477</v>
      </c>
      <c r="Y458" s="89" t="s">
        <v>3455</v>
      </c>
      <c r="Z458" s="89">
        <v>3</v>
      </c>
      <c r="AA458" s="89" t="s">
        <v>3207</v>
      </c>
      <c r="AB458" s="89"/>
    </row>
    <row r="459" spans="1:28" s="31" customFormat="1" ht="60" customHeight="1" x14ac:dyDescent="0.2">
      <c r="A459" s="76">
        <v>458</v>
      </c>
      <c r="B459" s="77">
        <v>50000912</v>
      </c>
      <c r="C459" s="78" t="s">
        <v>1212</v>
      </c>
      <c r="D459" s="79">
        <v>0.05</v>
      </c>
      <c r="E459" s="80">
        <v>30049099</v>
      </c>
      <c r="F459" s="81" t="s">
        <v>1213</v>
      </c>
      <c r="G459" s="82" t="s">
        <v>1214</v>
      </c>
      <c r="H459" s="82" t="s">
        <v>30</v>
      </c>
      <c r="I459" s="79" t="s">
        <v>2666</v>
      </c>
      <c r="J459" s="83">
        <v>127.49</v>
      </c>
      <c r="K459" s="83">
        <v>97.135238095238094</v>
      </c>
      <c r="L459" s="83">
        <v>97.135238095238094</v>
      </c>
      <c r="M459" s="84">
        <v>77.708190476190467</v>
      </c>
      <c r="N459" s="59">
        <f t="shared" si="7"/>
        <v>0.39047619047619053</v>
      </c>
      <c r="O459" s="85" t="s">
        <v>1091</v>
      </c>
      <c r="P459" s="86" t="s">
        <v>37</v>
      </c>
      <c r="Q459" s="87" t="s">
        <v>3208</v>
      </c>
      <c r="R459" s="87">
        <v>10</v>
      </c>
      <c r="S459" s="88">
        <v>12.748999999999999</v>
      </c>
      <c r="T459" s="88">
        <v>9.7135238095238101</v>
      </c>
      <c r="U459" s="88">
        <v>7.7708190476190468</v>
      </c>
      <c r="V459" s="87" t="s">
        <v>3061</v>
      </c>
      <c r="W459" s="87" t="s">
        <v>3100</v>
      </c>
      <c r="X459" s="90" t="s">
        <v>3477</v>
      </c>
      <c r="Y459" s="89" t="s">
        <v>3455</v>
      </c>
      <c r="Z459" s="89">
        <v>6</v>
      </c>
      <c r="AA459" s="89" t="s">
        <v>3207</v>
      </c>
      <c r="AB459" s="89"/>
    </row>
    <row r="460" spans="1:28" s="31" customFormat="1" ht="60" customHeight="1" x14ac:dyDescent="0.2">
      <c r="A460" s="76">
        <v>459</v>
      </c>
      <c r="B460" s="77">
        <v>50001951</v>
      </c>
      <c r="C460" s="78" t="s">
        <v>1215</v>
      </c>
      <c r="D460" s="79">
        <v>0.05</v>
      </c>
      <c r="E460" s="80">
        <v>30049099</v>
      </c>
      <c r="F460" s="81" t="s">
        <v>1216</v>
      </c>
      <c r="G460" s="82" t="s">
        <v>1217</v>
      </c>
      <c r="H460" s="82" t="s">
        <v>294</v>
      </c>
      <c r="I460" s="79" t="s">
        <v>2666</v>
      </c>
      <c r="J460" s="83">
        <v>249.05</v>
      </c>
      <c r="K460" s="83">
        <v>189.75238095238097</v>
      </c>
      <c r="L460" s="83">
        <v>189.75238095238097</v>
      </c>
      <c r="M460" s="84">
        <v>151.80190476190478</v>
      </c>
      <c r="N460" s="59">
        <f t="shared" si="7"/>
        <v>0.39047619047619042</v>
      </c>
      <c r="O460" s="85" t="s">
        <v>1091</v>
      </c>
      <c r="P460" s="86" t="s">
        <v>3153</v>
      </c>
      <c r="Q460" s="87" t="s">
        <v>3208</v>
      </c>
      <c r="R460" s="87">
        <v>10</v>
      </c>
      <c r="S460" s="88">
        <v>24.905000000000001</v>
      </c>
      <c r="T460" s="88">
        <v>18.975238095238097</v>
      </c>
      <c r="U460" s="88">
        <v>15.180190476190479</v>
      </c>
      <c r="V460" s="87" t="s">
        <v>3061</v>
      </c>
      <c r="W460" s="87" t="s">
        <v>3100</v>
      </c>
      <c r="X460" s="90" t="s">
        <v>3477</v>
      </c>
      <c r="Y460" s="89" t="s">
        <v>3455</v>
      </c>
      <c r="Z460" s="89">
        <v>4</v>
      </c>
      <c r="AA460" s="89" t="s">
        <v>3207</v>
      </c>
      <c r="AB460" s="89" t="s">
        <v>4613</v>
      </c>
    </row>
    <row r="461" spans="1:28" s="31" customFormat="1" ht="60" customHeight="1" x14ac:dyDescent="0.2">
      <c r="A461" s="76">
        <v>460</v>
      </c>
      <c r="B461" s="77">
        <v>50003183</v>
      </c>
      <c r="C461" s="78" t="s">
        <v>4622</v>
      </c>
      <c r="D461" s="79">
        <v>0.05</v>
      </c>
      <c r="E461" s="80">
        <v>30049099</v>
      </c>
      <c r="F461" s="81" t="s">
        <v>4623</v>
      </c>
      <c r="G461" s="82" t="s">
        <v>4624</v>
      </c>
      <c r="H461" s="82" t="s">
        <v>115</v>
      </c>
      <c r="I461" s="79" t="s">
        <v>2666</v>
      </c>
      <c r="J461" s="83">
        <v>380</v>
      </c>
      <c r="K461" s="83">
        <v>289.52380952380952</v>
      </c>
      <c r="L461" s="83">
        <v>289.52380952380952</v>
      </c>
      <c r="M461" s="84">
        <v>231.61904761904765</v>
      </c>
      <c r="N461" s="59">
        <f t="shared" si="7"/>
        <v>0.39047619047619042</v>
      </c>
      <c r="O461" s="85" t="s">
        <v>1091</v>
      </c>
      <c r="P461" s="86" t="s">
        <v>48</v>
      </c>
      <c r="Q461" s="87" t="s">
        <v>3208</v>
      </c>
      <c r="R461" s="87">
        <v>10</v>
      </c>
      <c r="S461" s="88">
        <v>38</v>
      </c>
      <c r="T461" s="88">
        <v>28.952380952380953</v>
      </c>
      <c r="U461" s="88">
        <v>23.161904761904765</v>
      </c>
      <c r="V461" s="87" t="s">
        <v>3061</v>
      </c>
      <c r="W461" s="87" t="s">
        <v>3100</v>
      </c>
      <c r="X461" s="90" t="s">
        <v>3477</v>
      </c>
      <c r="Y461" s="89"/>
      <c r="Z461" s="89"/>
      <c r="AA461" s="89"/>
      <c r="AB461" s="89"/>
    </row>
    <row r="462" spans="1:28" s="31" customFormat="1" ht="60" customHeight="1" x14ac:dyDescent="0.2">
      <c r="A462" s="76">
        <v>461</v>
      </c>
      <c r="B462" s="77">
        <v>50003737</v>
      </c>
      <c r="C462" s="78" t="s">
        <v>1218</v>
      </c>
      <c r="D462" s="79">
        <v>0.05</v>
      </c>
      <c r="E462" s="80">
        <v>30049079</v>
      </c>
      <c r="F462" s="81" t="s">
        <v>1219</v>
      </c>
      <c r="G462" s="82" t="s">
        <v>1220</v>
      </c>
      <c r="H462" s="82" t="s">
        <v>3096</v>
      </c>
      <c r="I462" s="79" t="s">
        <v>2693</v>
      </c>
      <c r="J462" s="83">
        <v>92.7</v>
      </c>
      <c r="K462" s="83">
        <v>70.628571428571433</v>
      </c>
      <c r="L462" s="83">
        <v>70.628571428571433</v>
      </c>
      <c r="M462" s="84">
        <v>56.502857142857152</v>
      </c>
      <c r="N462" s="59">
        <f t="shared" si="7"/>
        <v>0.39047619047619037</v>
      </c>
      <c r="O462" s="85" t="s">
        <v>1091</v>
      </c>
      <c r="P462" s="86" t="s">
        <v>123</v>
      </c>
      <c r="Q462" s="87" t="s">
        <v>3208</v>
      </c>
      <c r="R462" s="87">
        <v>10</v>
      </c>
      <c r="S462" s="88">
        <v>9.27</v>
      </c>
      <c r="T462" s="88">
        <v>7.0628571428571432</v>
      </c>
      <c r="U462" s="88">
        <v>5.6502857142857152</v>
      </c>
      <c r="V462" s="87" t="s">
        <v>3061</v>
      </c>
      <c r="W462" s="87" t="s">
        <v>3100</v>
      </c>
      <c r="X462" s="90" t="s">
        <v>3478</v>
      </c>
      <c r="Y462" s="89"/>
      <c r="Z462" s="89">
        <v>3</v>
      </c>
      <c r="AA462" s="89" t="s">
        <v>3207</v>
      </c>
      <c r="AB462" s="89"/>
    </row>
    <row r="463" spans="1:28" s="31" customFormat="1" ht="60" customHeight="1" x14ac:dyDescent="0.2">
      <c r="A463" s="76">
        <v>462</v>
      </c>
      <c r="B463" s="77">
        <v>50003738</v>
      </c>
      <c r="C463" s="78" t="s">
        <v>1221</v>
      </c>
      <c r="D463" s="79">
        <v>0.05</v>
      </c>
      <c r="E463" s="80">
        <v>30049079</v>
      </c>
      <c r="F463" s="81" t="s">
        <v>1222</v>
      </c>
      <c r="G463" s="82" t="s">
        <v>1223</v>
      </c>
      <c r="H463" s="82" t="s">
        <v>3097</v>
      </c>
      <c r="I463" s="79" t="s">
        <v>2693</v>
      </c>
      <c r="J463" s="83">
        <v>128.88999999999999</v>
      </c>
      <c r="K463" s="83">
        <v>98.201904761904743</v>
      </c>
      <c r="L463" s="83">
        <v>98.201904761904743</v>
      </c>
      <c r="M463" s="84">
        <v>78.56152380952382</v>
      </c>
      <c r="N463" s="59">
        <f t="shared" si="7"/>
        <v>0.39047619047619031</v>
      </c>
      <c r="O463" s="85" t="s">
        <v>1091</v>
      </c>
      <c r="P463" s="86" t="s">
        <v>123</v>
      </c>
      <c r="Q463" s="87" t="s">
        <v>3208</v>
      </c>
      <c r="R463" s="87">
        <v>10</v>
      </c>
      <c r="S463" s="88">
        <v>12.888999999999999</v>
      </c>
      <c r="T463" s="88">
        <v>9.8201904761904739</v>
      </c>
      <c r="U463" s="88">
        <v>7.8561523809523823</v>
      </c>
      <c r="V463" s="87" t="s">
        <v>3061</v>
      </c>
      <c r="W463" s="87" t="s">
        <v>3100</v>
      </c>
      <c r="X463" s="90" t="s">
        <v>3478</v>
      </c>
      <c r="Y463" s="89"/>
      <c r="Z463" s="89">
        <v>3</v>
      </c>
      <c r="AA463" s="89" t="s">
        <v>3207</v>
      </c>
      <c r="AB463" s="89"/>
    </row>
    <row r="464" spans="1:28" s="31" customFormat="1" ht="60" customHeight="1" x14ac:dyDescent="0.2">
      <c r="A464" s="76">
        <v>463</v>
      </c>
      <c r="B464" s="77">
        <v>50004997</v>
      </c>
      <c r="C464" s="78" t="s">
        <v>1224</v>
      </c>
      <c r="D464" s="79">
        <v>0.05</v>
      </c>
      <c r="E464" s="80">
        <v>30049079</v>
      </c>
      <c r="F464" s="81" t="s">
        <v>1225</v>
      </c>
      <c r="G464" s="82" t="s">
        <v>1226</v>
      </c>
      <c r="H464" s="82" t="s">
        <v>3096</v>
      </c>
      <c r="I464" s="79" t="s">
        <v>2693</v>
      </c>
      <c r="J464" s="83">
        <v>164.48</v>
      </c>
      <c r="K464" s="83">
        <v>125.31809523809525</v>
      </c>
      <c r="L464" s="83">
        <v>125.31809523809525</v>
      </c>
      <c r="M464" s="84">
        <v>100.25447619047618</v>
      </c>
      <c r="N464" s="59">
        <f t="shared" si="7"/>
        <v>0.39047619047619048</v>
      </c>
      <c r="O464" s="85" t="s">
        <v>1091</v>
      </c>
      <c r="P464" s="86" t="s">
        <v>123</v>
      </c>
      <c r="Q464" s="87" t="s">
        <v>3208</v>
      </c>
      <c r="R464" s="87">
        <v>10</v>
      </c>
      <c r="S464" s="88">
        <v>16.448</v>
      </c>
      <c r="T464" s="88">
        <v>12.531809523809525</v>
      </c>
      <c r="U464" s="88">
        <v>10.025447619047618</v>
      </c>
      <c r="V464" s="87" t="s">
        <v>3061</v>
      </c>
      <c r="W464" s="87" t="s">
        <v>3100</v>
      </c>
      <c r="X464" s="90" t="s">
        <v>3478</v>
      </c>
      <c r="Y464" s="89"/>
      <c r="Z464" s="89">
        <v>3</v>
      </c>
      <c r="AA464" s="89" t="s">
        <v>3207</v>
      </c>
      <c r="AB464" s="89"/>
    </row>
    <row r="465" spans="1:28" s="31" customFormat="1" ht="60" customHeight="1" x14ac:dyDescent="0.2">
      <c r="A465" s="76">
        <v>464</v>
      </c>
      <c r="B465" s="77">
        <v>50004998</v>
      </c>
      <c r="C465" s="78" t="s">
        <v>1227</v>
      </c>
      <c r="D465" s="79">
        <v>0.05</v>
      </c>
      <c r="E465" s="80">
        <v>30049079</v>
      </c>
      <c r="F465" s="81" t="s">
        <v>1228</v>
      </c>
      <c r="G465" s="82" t="s">
        <v>1229</v>
      </c>
      <c r="H465" s="82" t="s">
        <v>3097</v>
      </c>
      <c r="I465" s="79" t="s">
        <v>2693</v>
      </c>
      <c r="J465" s="83">
        <v>204.02</v>
      </c>
      <c r="K465" s="83">
        <v>155.44380952380953</v>
      </c>
      <c r="L465" s="83">
        <v>155.44380952380953</v>
      </c>
      <c r="M465" s="84">
        <v>124.35504761904767</v>
      </c>
      <c r="N465" s="59">
        <f t="shared" si="7"/>
        <v>0.39047619047619025</v>
      </c>
      <c r="O465" s="85" t="s">
        <v>1091</v>
      </c>
      <c r="P465" s="86" t="s">
        <v>123</v>
      </c>
      <c r="Q465" s="87" t="s">
        <v>3208</v>
      </c>
      <c r="R465" s="87">
        <v>10</v>
      </c>
      <c r="S465" s="88">
        <v>20.402000000000001</v>
      </c>
      <c r="T465" s="88">
        <v>15.544380952380953</v>
      </c>
      <c r="U465" s="88">
        <v>12.435504761904767</v>
      </c>
      <c r="V465" s="87" t="s">
        <v>3061</v>
      </c>
      <c r="W465" s="87" t="s">
        <v>3100</v>
      </c>
      <c r="X465" s="90" t="s">
        <v>3478</v>
      </c>
      <c r="Y465" s="89"/>
      <c r="Z465" s="89">
        <v>3</v>
      </c>
      <c r="AA465" s="89" t="s">
        <v>3207</v>
      </c>
      <c r="AB465" s="89"/>
    </row>
    <row r="466" spans="1:28" s="31" customFormat="1" ht="60" customHeight="1" x14ac:dyDescent="0.2">
      <c r="A466" s="76">
        <v>465</v>
      </c>
      <c r="B466" s="77">
        <v>50006077</v>
      </c>
      <c r="C466" s="78" t="s">
        <v>4625</v>
      </c>
      <c r="D466" s="79">
        <v>0.05</v>
      </c>
      <c r="E466" s="80">
        <v>30049099</v>
      </c>
      <c r="F466" s="81" t="s">
        <v>4626</v>
      </c>
      <c r="G466" s="82" t="s">
        <v>4627</v>
      </c>
      <c r="H466" s="82" t="s">
        <v>3342</v>
      </c>
      <c r="I466" s="79" t="s">
        <v>2666</v>
      </c>
      <c r="J466" s="83">
        <v>206.24</v>
      </c>
      <c r="K466" s="83">
        <v>157.13523809523809</v>
      </c>
      <c r="L466" s="83">
        <v>157.13523809523809</v>
      </c>
      <c r="M466" s="84">
        <v>141.4217142857143</v>
      </c>
      <c r="N466" s="59">
        <f t="shared" si="7"/>
        <v>0.31428571428571422</v>
      </c>
      <c r="O466" s="85" t="s">
        <v>1091</v>
      </c>
      <c r="P466" s="86" t="s">
        <v>123</v>
      </c>
      <c r="Q466" s="87" t="s">
        <v>3208</v>
      </c>
      <c r="R466" s="87">
        <v>10</v>
      </c>
      <c r="S466" s="88">
        <v>20.624000000000002</v>
      </c>
      <c r="T466" s="88">
        <v>15.71352380952381</v>
      </c>
      <c r="U466" s="88">
        <v>14.14217142857143</v>
      </c>
      <c r="V466" s="87" t="s">
        <v>3061</v>
      </c>
      <c r="W466" s="87" t="s">
        <v>3100</v>
      </c>
      <c r="X466" s="90" t="s">
        <v>3477</v>
      </c>
      <c r="Y466" s="89"/>
      <c r="Z466" s="89"/>
      <c r="AA466" s="89"/>
      <c r="AB466" s="89"/>
    </row>
    <row r="467" spans="1:28" s="31" customFormat="1" ht="60" customHeight="1" x14ac:dyDescent="0.2">
      <c r="A467" s="76">
        <v>466</v>
      </c>
      <c r="B467" s="77">
        <v>50006078</v>
      </c>
      <c r="C467" s="78" t="s">
        <v>4628</v>
      </c>
      <c r="D467" s="79">
        <v>0.05</v>
      </c>
      <c r="E467" s="80">
        <v>30049099</v>
      </c>
      <c r="F467" s="81" t="s">
        <v>4629</v>
      </c>
      <c r="G467" s="82" t="s">
        <v>4630</v>
      </c>
      <c r="H467" s="82" t="s">
        <v>3343</v>
      </c>
      <c r="I467" s="79" t="s">
        <v>2666</v>
      </c>
      <c r="J467" s="83">
        <v>328.12</v>
      </c>
      <c r="K467" s="83">
        <v>249.99619047619049</v>
      </c>
      <c r="L467" s="83">
        <v>249.99619047619049</v>
      </c>
      <c r="M467" s="84">
        <v>224.99657142857146</v>
      </c>
      <c r="N467" s="59">
        <f t="shared" si="7"/>
        <v>0.31428571428571422</v>
      </c>
      <c r="O467" s="85" t="s">
        <v>1091</v>
      </c>
      <c r="P467" s="86" t="s">
        <v>123</v>
      </c>
      <c r="Q467" s="87" t="s">
        <v>3208</v>
      </c>
      <c r="R467" s="87">
        <v>10</v>
      </c>
      <c r="S467" s="88">
        <v>32.811999999999998</v>
      </c>
      <c r="T467" s="88">
        <v>24.999619047619049</v>
      </c>
      <c r="U467" s="88">
        <v>22.499657142857146</v>
      </c>
      <c r="V467" s="87" t="s">
        <v>3061</v>
      </c>
      <c r="W467" s="87" t="s">
        <v>3100</v>
      </c>
      <c r="X467" s="90" t="s">
        <v>3477</v>
      </c>
      <c r="Y467" s="89"/>
      <c r="Z467" s="89"/>
      <c r="AA467" s="89"/>
      <c r="AB467" s="89"/>
    </row>
    <row r="468" spans="1:28" s="31" customFormat="1" ht="60" customHeight="1" x14ac:dyDescent="0.2">
      <c r="A468" s="76">
        <v>467</v>
      </c>
      <c r="B468" s="77">
        <v>50001887</v>
      </c>
      <c r="C468" s="78" t="s">
        <v>1230</v>
      </c>
      <c r="D468" s="79">
        <v>0.05</v>
      </c>
      <c r="E468" s="80">
        <v>30049099</v>
      </c>
      <c r="F468" s="81" t="s">
        <v>1231</v>
      </c>
      <c r="G468" s="82" t="s">
        <v>1232</v>
      </c>
      <c r="H468" s="82" t="s">
        <v>3888</v>
      </c>
      <c r="I468" s="79" t="s">
        <v>2666</v>
      </c>
      <c r="J468" s="83">
        <v>188.24</v>
      </c>
      <c r="K468" s="83">
        <v>143.42095238095237</v>
      </c>
      <c r="L468" s="83">
        <v>143.42095238095237</v>
      </c>
      <c r="M468" s="84">
        <v>129.07885714285715</v>
      </c>
      <c r="N468" s="59">
        <f t="shared" si="7"/>
        <v>0.31428571428571428</v>
      </c>
      <c r="O468" s="85" t="s">
        <v>1091</v>
      </c>
      <c r="P468" s="86" t="s">
        <v>2814</v>
      </c>
      <c r="Q468" s="87" t="s">
        <v>3208</v>
      </c>
      <c r="R468" s="87">
        <v>10</v>
      </c>
      <c r="S468" s="88">
        <v>18.824000000000002</v>
      </c>
      <c r="T468" s="88">
        <v>14.342095238095236</v>
      </c>
      <c r="U468" s="88">
        <v>12.907885714285715</v>
      </c>
      <c r="V468" s="87" t="s">
        <v>3061</v>
      </c>
      <c r="W468" s="87" t="s">
        <v>3100</v>
      </c>
      <c r="X468" s="90" t="s">
        <v>3477</v>
      </c>
      <c r="Y468" s="89"/>
      <c r="Z468" s="89">
        <v>3</v>
      </c>
      <c r="AA468" s="89" t="s">
        <v>3207</v>
      </c>
      <c r="AB468" s="89"/>
    </row>
    <row r="469" spans="1:28" s="31" customFormat="1" ht="60" customHeight="1" x14ac:dyDescent="0.2">
      <c r="A469" s="76">
        <v>468</v>
      </c>
      <c r="B469" s="77">
        <v>50001888</v>
      </c>
      <c r="C469" s="78" t="s">
        <v>1233</v>
      </c>
      <c r="D469" s="79">
        <v>0.05</v>
      </c>
      <c r="E469" s="80">
        <v>30049099</v>
      </c>
      <c r="F469" s="81" t="s">
        <v>1234</v>
      </c>
      <c r="G469" s="82" t="s">
        <v>1235</v>
      </c>
      <c r="H469" s="82" t="s">
        <v>3889</v>
      </c>
      <c r="I469" s="79" t="s">
        <v>2666</v>
      </c>
      <c r="J469" s="83">
        <v>249.41</v>
      </c>
      <c r="K469" s="83">
        <v>190.02666666666667</v>
      </c>
      <c r="L469" s="83">
        <v>190.02666666666667</v>
      </c>
      <c r="M469" s="84">
        <v>152.02133333333333</v>
      </c>
      <c r="N469" s="59">
        <f t="shared" si="7"/>
        <v>0.39047619047619048</v>
      </c>
      <c r="O469" s="85" t="s">
        <v>1091</v>
      </c>
      <c r="P469" s="86" t="s">
        <v>2815</v>
      </c>
      <c r="Q469" s="87" t="s">
        <v>3208</v>
      </c>
      <c r="R469" s="87">
        <v>10</v>
      </c>
      <c r="S469" s="88">
        <v>24.940999999999999</v>
      </c>
      <c r="T469" s="88">
        <v>19.002666666666666</v>
      </c>
      <c r="U469" s="88">
        <v>15.202133333333332</v>
      </c>
      <c r="V469" s="87" t="s">
        <v>3061</v>
      </c>
      <c r="W469" s="87" t="s">
        <v>3100</v>
      </c>
      <c r="X469" s="90" t="s">
        <v>3477</v>
      </c>
      <c r="Y469" s="89"/>
      <c r="Z469" s="89">
        <v>3</v>
      </c>
      <c r="AA469" s="89" t="s">
        <v>3207</v>
      </c>
      <c r="AB469" s="89"/>
    </row>
    <row r="470" spans="1:28" s="31" customFormat="1" ht="60" customHeight="1" x14ac:dyDescent="0.2">
      <c r="A470" s="76">
        <v>469</v>
      </c>
      <c r="B470" s="77">
        <v>50003073</v>
      </c>
      <c r="C470" s="78" t="s">
        <v>1236</v>
      </c>
      <c r="D470" s="79">
        <v>0.05</v>
      </c>
      <c r="E470" s="80">
        <v>30049099</v>
      </c>
      <c r="F470" s="81" t="s">
        <v>1237</v>
      </c>
      <c r="G470" s="82" t="s">
        <v>1238</v>
      </c>
      <c r="H470" s="82" t="s">
        <v>3712</v>
      </c>
      <c r="I470" s="79" t="s">
        <v>2693</v>
      </c>
      <c r="J470" s="83">
        <v>164.31</v>
      </c>
      <c r="K470" s="83">
        <v>125.18857142857144</v>
      </c>
      <c r="L470" s="83">
        <v>125.18857142857144</v>
      </c>
      <c r="M470" s="84">
        <v>100.15085714285712</v>
      </c>
      <c r="N470" s="59">
        <f t="shared" si="7"/>
        <v>0.39047619047619064</v>
      </c>
      <c r="O470" s="85" t="s">
        <v>1091</v>
      </c>
      <c r="P470" s="86" t="s">
        <v>3334</v>
      </c>
      <c r="Q470" s="87" t="s">
        <v>3208</v>
      </c>
      <c r="R470" s="87">
        <v>10</v>
      </c>
      <c r="S470" s="88">
        <v>16.431000000000001</v>
      </c>
      <c r="T470" s="88">
        <v>12.518857142857144</v>
      </c>
      <c r="U470" s="88">
        <v>10.015085714285712</v>
      </c>
      <c r="V470" s="87" t="s">
        <v>3061</v>
      </c>
      <c r="W470" s="87" t="s">
        <v>3100</v>
      </c>
      <c r="X470" s="90" t="s">
        <v>3478</v>
      </c>
      <c r="Y470" s="89"/>
      <c r="Z470" s="89">
        <v>3</v>
      </c>
      <c r="AA470" s="89" t="s">
        <v>3207</v>
      </c>
      <c r="AB470" s="89"/>
    </row>
    <row r="471" spans="1:28" s="31" customFormat="1" ht="60" customHeight="1" x14ac:dyDescent="0.2">
      <c r="A471" s="76">
        <v>470</v>
      </c>
      <c r="B471" s="77">
        <v>50003074</v>
      </c>
      <c r="C471" s="78" t="s">
        <v>1239</v>
      </c>
      <c r="D471" s="79">
        <v>0.05</v>
      </c>
      <c r="E471" s="80">
        <v>30049099</v>
      </c>
      <c r="F471" s="81" t="s">
        <v>1240</v>
      </c>
      <c r="G471" s="82" t="s">
        <v>1241</v>
      </c>
      <c r="H471" s="82" t="s">
        <v>3890</v>
      </c>
      <c r="I471" s="79" t="s">
        <v>2693</v>
      </c>
      <c r="J471" s="83">
        <v>247.06</v>
      </c>
      <c r="K471" s="83">
        <v>188.23619047619047</v>
      </c>
      <c r="L471" s="83">
        <v>188.23619047619047</v>
      </c>
      <c r="M471" s="84">
        <v>150.58895238095238</v>
      </c>
      <c r="N471" s="59">
        <f t="shared" si="7"/>
        <v>0.39047619047619048</v>
      </c>
      <c r="O471" s="85" t="s">
        <v>1091</v>
      </c>
      <c r="P471" s="86" t="s">
        <v>3334</v>
      </c>
      <c r="Q471" s="87" t="s">
        <v>3208</v>
      </c>
      <c r="R471" s="87">
        <v>10</v>
      </c>
      <c r="S471" s="88">
        <v>24.706</v>
      </c>
      <c r="T471" s="88">
        <v>18.823619047619047</v>
      </c>
      <c r="U471" s="88">
        <v>15.058895238095237</v>
      </c>
      <c r="V471" s="87" t="s">
        <v>3061</v>
      </c>
      <c r="W471" s="87" t="s">
        <v>3100</v>
      </c>
      <c r="X471" s="90" t="s">
        <v>3478</v>
      </c>
      <c r="Y471" s="89"/>
      <c r="Z471" s="89">
        <v>3</v>
      </c>
      <c r="AA471" s="89" t="s">
        <v>3207</v>
      </c>
      <c r="AB471" s="89"/>
    </row>
    <row r="472" spans="1:28" s="31" customFormat="1" ht="60" customHeight="1" x14ac:dyDescent="0.2">
      <c r="A472" s="76">
        <v>471</v>
      </c>
      <c r="B472" s="77">
        <v>50000893</v>
      </c>
      <c r="C472" s="78" t="s">
        <v>1242</v>
      </c>
      <c r="D472" s="79">
        <v>0.05</v>
      </c>
      <c r="E472" s="80">
        <v>30049099</v>
      </c>
      <c r="F472" s="81" t="s">
        <v>1243</v>
      </c>
      <c r="G472" s="82" t="s">
        <v>1244</v>
      </c>
      <c r="H472" s="82" t="s">
        <v>3891</v>
      </c>
      <c r="I472" s="79" t="s">
        <v>2693</v>
      </c>
      <c r="J472" s="83">
        <v>199.5</v>
      </c>
      <c r="K472" s="83">
        <v>152</v>
      </c>
      <c r="L472" s="83">
        <v>138.18181818181819</v>
      </c>
      <c r="M472" s="84">
        <v>124.36363636363642</v>
      </c>
      <c r="N472" s="59">
        <f t="shared" si="7"/>
        <v>0.37662337662337636</v>
      </c>
      <c r="O472" s="85" t="s">
        <v>1091</v>
      </c>
      <c r="P472" s="86" t="s">
        <v>48</v>
      </c>
      <c r="Q472" s="87" t="s">
        <v>3208</v>
      </c>
      <c r="R472" s="87">
        <v>10</v>
      </c>
      <c r="S472" s="88">
        <v>19.95</v>
      </c>
      <c r="T472" s="88">
        <v>13.818181818181818</v>
      </c>
      <c r="U472" s="88">
        <v>12.436363636363641</v>
      </c>
      <c r="V472" s="87" t="s">
        <v>3061</v>
      </c>
      <c r="W472" s="87" t="s">
        <v>3108</v>
      </c>
      <c r="X472" s="90" t="s">
        <v>3478</v>
      </c>
      <c r="Y472" s="89"/>
      <c r="Z472" s="89">
        <v>4</v>
      </c>
      <c r="AA472" s="89"/>
      <c r="AB472" s="89"/>
    </row>
    <row r="473" spans="1:28" s="31" customFormat="1" ht="60" customHeight="1" x14ac:dyDescent="0.2">
      <c r="A473" s="76">
        <v>472</v>
      </c>
      <c r="B473" s="77">
        <v>50000286</v>
      </c>
      <c r="C473" s="78" t="s">
        <v>1245</v>
      </c>
      <c r="D473" s="79">
        <v>0.05</v>
      </c>
      <c r="E473" s="80">
        <v>30049099</v>
      </c>
      <c r="F473" s="81" t="s">
        <v>1246</v>
      </c>
      <c r="G473" s="82" t="s">
        <v>1247</v>
      </c>
      <c r="H473" s="82" t="s">
        <v>3892</v>
      </c>
      <c r="I473" s="79" t="s">
        <v>2687</v>
      </c>
      <c r="J473" s="83">
        <v>272.24</v>
      </c>
      <c r="K473" s="83">
        <v>207.4209523809524</v>
      </c>
      <c r="L473" s="83">
        <v>172.85079365079366</v>
      </c>
      <c r="M473" s="84">
        <v>155.56571428571425</v>
      </c>
      <c r="N473" s="59">
        <f t="shared" si="7"/>
        <v>0.42857142857142871</v>
      </c>
      <c r="O473" s="85" t="s">
        <v>1091</v>
      </c>
      <c r="P473" s="86" t="s">
        <v>1248</v>
      </c>
      <c r="Q473" s="87" t="s">
        <v>3208</v>
      </c>
      <c r="R473" s="87">
        <v>1</v>
      </c>
      <c r="S473" s="88">
        <v>272.24</v>
      </c>
      <c r="T473" s="88">
        <v>172.85079365079366</v>
      </c>
      <c r="U473" s="88">
        <v>155.56571428571425</v>
      </c>
      <c r="V473" s="87" t="s">
        <v>3062</v>
      </c>
      <c r="W473" s="87" t="s">
        <v>3108</v>
      </c>
      <c r="X473" s="90" t="s">
        <v>3480</v>
      </c>
      <c r="Y473" s="89"/>
      <c r="Z473" s="89">
        <v>1</v>
      </c>
      <c r="AA473" s="89"/>
      <c r="AB473" s="89"/>
    </row>
    <row r="474" spans="1:28" s="31" customFormat="1" ht="60" customHeight="1" x14ac:dyDescent="0.2">
      <c r="A474" s="76">
        <v>473</v>
      </c>
      <c r="B474" s="77">
        <v>50002840</v>
      </c>
      <c r="C474" s="78" t="s">
        <v>1249</v>
      </c>
      <c r="D474" s="79">
        <v>0.05</v>
      </c>
      <c r="E474" s="80">
        <v>30049087</v>
      </c>
      <c r="F474" s="81" t="s">
        <v>1250</v>
      </c>
      <c r="G474" s="82" t="s">
        <v>1251</v>
      </c>
      <c r="H474" s="82" t="s">
        <v>3718</v>
      </c>
      <c r="I474" s="79" t="s">
        <v>2666</v>
      </c>
      <c r="J474" s="83">
        <v>181</v>
      </c>
      <c r="K474" s="83">
        <v>137.9047619047619</v>
      </c>
      <c r="L474" s="83">
        <v>126.41269841269842</v>
      </c>
      <c r="M474" s="84">
        <v>113.77142857142857</v>
      </c>
      <c r="N474" s="59">
        <f t="shared" si="7"/>
        <v>0.37142857142857144</v>
      </c>
      <c r="O474" s="85" t="s">
        <v>1091</v>
      </c>
      <c r="P474" s="86" t="s">
        <v>68</v>
      </c>
      <c r="Q474" s="87" t="s">
        <v>3208</v>
      </c>
      <c r="R474" s="87">
        <v>10</v>
      </c>
      <c r="S474" s="88">
        <v>18.100000000000001</v>
      </c>
      <c r="T474" s="88">
        <v>12.641269841269843</v>
      </c>
      <c r="U474" s="88">
        <v>11.377142857142857</v>
      </c>
      <c r="V474" s="87" t="s">
        <v>3061</v>
      </c>
      <c r="W474" s="87" t="s">
        <v>3102</v>
      </c>
      <c r="X474" s="90" t="s">
        <v>3477</v>
      </c>
      <c r="Y474" s="89"/>
      <c r="Z474" s="89">
        <v>4</v>
      </c>
      <c r="AA474" s="89"/>
      <c r="AB474" s="89"/>
    </row>
    <row r="475" spans="1:28" s="31" customFormat="1" ht="60" customHeight="1" x14ac:dyDescent="0.2">
      <c r="A475" s="76">
        <v>474</v>
      </c>
      <c r="B475" s="77">
        <v>50002841</v>
      </c>
      <c r="C475" s="78" t="s">
        <v>1252</v>
      </c>
      <c r="D475" s="79">
        <v>0.05</v>
      </c>
      <c r="E475" s="80">
        <v>30049087</v>
      </c>
      <c r="F475" s="81" t="s">
        <v>1253</v>
      </c>
      <c r="G475" s="82" t="s">
        <v>1254</v>
      </c>
      <c r="H475" s="82" t="s">
        <v>3719</v>
      </c>
      <c r="I475" s="79" t="s">
        <v>2666</v>
      </c>
      <c r="J475" s="83">
        <v>182.96</v>
      </c>
      <c r="K475" s="83">
        <v>139.39809523809524</v>
      </c>
      <c r="L475" s="83">
        <v>108.42074074074074</v>
      </c>
      <c r="M475" s="84">
        <v>105.8039027611253</v>
      </c>
      <c r="N475" s="59">
        <f t="shared" si="7"/>
        <v>0.42171019479052635</v>
      </c>
      <c r="O475" s="85" t="s">
        <v>1091</v>
      </c>
      <c r="P475" s="86" t="s">
        <v>2676</v>
      </c>
      <c r="Q475" s="87" t="s">
        <v>3207</v>
      </c>
      <c r="R475" s="87">
        <v>10</v>
      </c>
      <c r="S475" s="88">
        <v>18.295999999999999</v>
      </c>
      <c r="T475" s="88">
        <v>10.842074074074073</v>
      </c>
      <c r="U475" s="88">
        <v>10.58039027611253</v>
      </c>
      <c r="V475" s="87" t="s">
        <v>3061</v>
      </c>
      <c r="W475" s="87" t="s">
        <v>3102</v>
      </c>
      <c r="X475" s="90" t="s">
        <v>3477</v>
      </c>
      <c r="Y475" s="89"/>
      <c r="Z475" s="89">
        <v>6</v>
      </c>
      <c r="AA475" s="89"/>
      <c r="AB475" s="89"/>
    </row>
    <row r="476" spans="1:28" s="31" customFormat="1" ht="60" customHeight="1" x14ac:dyDescent="0.2">
      <c r="A476" s="76">
        <v>475</v>
      </c>
      <c r="B476" s="77">
        <v>50002842</v>
      </c>
      <c r="C476" s="78" t="s">
        <v>1255</v>
      </c>
      <c r="D476" s="79">
        <v>0.05</v>
      </c>
      <c r="E476" s="80">
        <v>30049087</v>
      </c>
      <c r="F476" s="81" t="s">
        <v>1256</v>
      </c>
      <c r="G476" s="82" t="s">
        <v>1257</v>
      </c>
      <c r="H476" s="82" t="s">
        <v>3721</v>
      </c>
      <c r="I476" s="79" t="s">
        <v>2666</v>
      </c>
      <c r="J476" s="83">
        <v>115.43</v>
      </c>
      <c r="K476" s="83">
        <v>87.946666666666673</v>
      </c>
      <c r="L476" s="83">
        <v>80.617777777777789</v>
      </c>
      <c r="M476" s="84">
        <v>72.556000000000012</v>
      </c>
      <c r="N476" s="59">
        <f t="shared" si="7"/>
        <v>0.37142857142857139</v>
      </c>
      <c r="O476" s="85" t="s">
        <v>1091</v>
      </c>
      <c r="P476" s="86" t="s">
        <v>68</v>
      </c>
      <c r="Q476" s="87" t="s">
        <v>3208</v>
      </c>
      <c r="R476" s="87">
        <v>10</v>
      </c>
      <c r="S476" s="88">
        <v>11.543000000000001</v>
      </c>
      <c r="T476" s="88">
        <v>8.0617777777777793</v>
      </c>
      <c r="U476" s="88">
        <v>7.2556000000000012</v>
      </c>
      <c r="V476" s="87" t="s">
        <v>3061</v>
      </c>
      <c r="W476" s="87" t="s">
        <v>3102</v>
      </c>
      <c r="X476" s="90" t="s">
        <v>3477</v>
      </c>
      <c r="Y476" s="89"/>
      <c r="Z476" s="89">
        <v>4</v>
      </c>
      <c r="AA476" s="89"/>
      <c r="AB476" s="89"/>
    </row>
    <row r="477" spans="1:28" s="31" customFormat="1" ht="60" customHeight="1" x14ac:dyDescent="0.2">
      <c r="A477" s="76">
        <v>476</v>
      </c>
      <c r="B477" s="77">
        <v>50001453</v>
      </c>
      <c r="C477" s="78" t="s">
        <v>1258</v>
      </c>
      <c r="D477" s="79">
        <v>0.05</v>
      </c>
      <c r="E477" s="80">
        <v>30049087</v>
      </c>
      <c r="F477" s="81" t="s">
        <v>1259</v>
      </c>
      <c r="G477" s="82" t="s">
        <v>1257</v>
      </c>
      <c r="H477" s="82" t="s">
        <v>3722</v>
      </c>
      <c r="I477" s="79" t="s">
        <v>2678</v>
      </c>
      <c r="J477" s="83">
        <v>64.39</v>
      </c>
      <c r="K477" s="83">
        <v>49.059047619047618</v>
      </c>
      <c r="L477" s="83">
        <v>40.882539682539679</v>
      </c>
      <c r="M477" s="84">
        <v>40.882539682539679</v>
      </c>
      <c r="N477" s="59">
        <f t="shared" si="7"/>
        <v>0.36507936507936511</v>
      </c>
      <c r="O477" s="85" t="s">
        <v>1091</v>
      </c>
      <c r="P477" s="86" t="s">
        <v>2703</v>
      </c>
      <c r="Q477" s="87" t="s">
        <v>3207</v>
      </c>
      <c r="R477" s="87">
        <v>1</v>
      </c>
      <c r="S477" s="88">
        <v>64.39</v>
      </c>
      <c r="T477" s="88">
        <v>40.882539682539679</v>
      </c>
      <c r="U477" s="88">
        <v>40.882539682539679</v>
      </c>
      <c r="V477" s="87" t="s">
        <v>3062</v>
      </c>
      <c r="W477" s="87" t="s">
        <v>3102</v>
      </c>
      <c r="X477" s="90" t="s">
        <v>3480</v>
      </c>
      <c r="Y477" s="89"/>
      <c r="Z477" s="89">
        <v>1</v>
      </c>
      <c r="AA477" s="89"/>
      <c r="AB477" s="89"/>
    </row>
    <row r="478" spans="1:28" s="31" customFormat="1" ht="60" customHeight="1" x14ac:dyDescent="0.2">
      <c r="A478" s="76">
        <v>477</v>
      </c>
      <c r="B478" s="77">
        <v>50004551</v>
      </c>
      <c r="C478" s="78" t="s">
        <v>1260</v>
      </c>
      <c r="D478" s="79">
        <v>0.05</v>
      </c>
      <c r="E478" s="80">
        <v>30049087</v>
      </c>
      <c r="F478" s="81" t="s">
        <v>1261</v>
      </c>
      <c r="G478" s="82" t="s">
        <v>1262</v>
      </c>
      <c r="H478" s="82" t="s">
        <v>3893</v>
      </c>
      <c r="I478" s="79" t="s">
        <v>2678</v>
      </c>
      <c r="J478" s="83">
        <v>180.92</v>
      </c>
      <c r="K478" s="83">
        <v>137.84380952380951</v>
      </c>
      <c r="L478" s="83">
        <v>114.86984126984127</v>
      </c>
      <c r="M478" s="84">
        <v>103.38285714285713</v>
      </c>
      <c r="N478" s="59">
        <f t="shared" si="7"/>
        <v>0.4285714285714286</v>
      </c>
      <c r="O478" s="85" t="s">
        <v>1091</v>
      </c>
      <c r="P478" s="86" t="s">
        <v>2676</v>
      </c>
      <c r="Q478" s="87" t="s">
        <v>3208</v>
      </c>
      <c r="R478" s="87">
        <v>1</v>
      </c>
      <c r="S478" s="88">
        <v>180.92</v>
      </c>
      <c r="T478" s="88">
        <v>114.86984126984127</v>
      </c>
      <c r="U478" s="88">
        <v>103.38285714285713</v>
      </c>
      <c r="V478" s="87" t="s">
        <v>3062</v>
      </c>
      <c r="W478" s="87" t="s">
        <v>3102</v>
      </c>
      <c r="X478" s="90" t="s">
        <v>3480</v>
      </c>
      <c r="Y478" s="89"/>
      <c r="Z478" s="89">
        <v>1</v>
      </c>
      <c r="AA478" s="89"/>
      <c r="AB478" s="89"/>
    </row>
    <row r="479" spans="1:28" s="31" customFormat="1" ht="60" customHeight="1" x14ac:dyDescent="0.2">
      <c r="A479" s="76">
        <v>478</v>
      </c>
      <c r="B479" s="77">
        <v>50001978</v>
      </c>
      <c r="C479" s="78" t="s">
        <v>1263</v>
      </c>
      <c r="D479" s="79">
        <v>0.05</v>
      </c>
      <c r="E479" s="80">
        <v>30049099</v>
      </c>
      <c r="F479" s="81" t="s">
        <v>1264</v>
      </c>
      <c r="G479" s="82" t="s">
        <v>1265</v>
      </c>
      <c r="H479" s="82" t="s">
        <v>3894</v>
      </c>
      <c r="I479" s="79" t="s">
        <v>2693</v>
      </c>
      <c r="J479" s="83">
        <v>103.01</v>
      </c>
      <c r="K479" s="83">
        <v>78.483809523809526</v>
      </c>
      <c r="L479" s="83">
        <v>65.403174603174605</v>
      </c>
      <c r="M479" s="84">
        <v>58.862857142857152</v>
      </c>
      <c r="N479" s="59">
        <f t="shared" si="7"/>
        <v>0.42857142857142849</v>
      </c>
      <c r="O479" s="85" t="s">
        <v>1091</v>
      </c>
      <c r="P479" s="86" t="s">
        <v>2816</v>
      </c>
      <c r="Q479" s="87" t="s">
        <v>3208</v>
      </c>
      <c r="R479" s="87">
        <v>10</v>
      </c>
      <c r="S479" s="88">
        <v>10.301</v>
      </c>
      <c r="T479" s="88">
        <v>6.5403174603174605</v>
      </c>
      <c r="U479" s="88">
        <v>5.886285714285715</v>
      </c>
      <c r="V479" s="87" t="s">
        <v>3061</v>
      </c>
      <c r="W479" s="87" t="s">
        <v>3108</v>
      </c>
      <c r="X479" s="90" t="s">
        <v>3478</v>
      </c>
      <c r="Y479" s="89"/>
      <c r="Z479" s="89">
        <v>6</v>
      </c>
      <c r="AA479" s="89" t="s">
        <v>3207</v>
      </c>
      <c r="AB479" s="89"/>
    </row>
    <row r="480" spans="1:28" s="31" customFormat="1" ht="60" customHeight="1" x14ac:dyDescent="0.2">
      <c r="A480" s="76">
        <v>479</v>
      </c>
      <c r="B480" s="77">
        <v>50000209</v>
      </c>
      <c r="C480" s="78" t="s">
        <v>1266</v>
      </c>
      <c r="D480" s="79">
        <v>0.05</v>
      </c>
      <c r="E480" s="80">
        <v>30045090</v>
      </c>
      <c r="F480" s="81" t="s">
        <v>1267</v>
      </c>
      <c r="G480" s="82" t="s">
        <v>1268</v>
      </c>
      <c r="H480" s="82" t="s">
        <v>3895</v>
      </c>
      <c r="I480" s="79" t="s">
        <v>2717</v>
      </c>
      <c r="J480" s="83">
        <v>33.61</v>
      </c>
      <c r="K480" s="83">
        <v>25.60761904761905</v>
      </c>
      <c r="L480" s="83">
        <v>21.339682539682542</v>
      </c>
      <c r="M480" s="84">
        <v>19.205714285714283</v>
      </c>
      <c r="N480" s="59">
        <f t="shared" si="7"/>
        <v>0.42857142857142866</v>
      </c>
      <c r="O480" s="85" t="s">
        <v>1091</v>
      </c>
      <c r="P480" s="86" t="s">
        <v>3404</v>
      </c>
      <c r="Q480" s="87" t="s">
        <v>3208</v>
      </c>
      <c r="R480" s="87">
        <v>1</v>
      </c>
      <c r="S480" s="88">
        <v>33.61</v>
      </c>
      <c r="T480" s="88">
        <v>21.339682539682542</v>
      </c>
      <c r="U480" s="88">
        <v>19.205714285714283</v>
      </c>
      <c r="V480" s="87" t="s">
        <v>3065</v>
      </c>
      <c r="W480" s="87" t="s">
        <v>3108</v>
      </c>
      <c r="X480" s="90" t="s">
        <v>3479</v>
      </c>
      <c r="Y480" s="89"/>
      <c r="Z480" s="89">
        <v>12</v>
      </c>
      <c r="AA480" s="89" t="s">
        <v>3207</v>
      </c>
      <c r="AB480" s="89"/>
    </row>
    <row r="481" spans="1:28" s="31" customFormat="1" ht="60" customHeight="1" x14ac:dyDescent="0.2">
      <c r="A481" s="76">
        <v>480</v>
      </c>
      <c r="B481" s="77">
        <v>50001777</v>
      </c>
      <c r="C481" s="78" t="s">
        <v>1269</v>
      </c>
      <c r="D481" s="79">
        <v>0.05</v>
      </c>
      <c r="E481" s="80">
        <v>30049099</v>
      </c>
      <c r="F481" s="81" t="s">
        <v>1270</v>
      </c>
      <c r="G481" s="82" t="s">
        <v>1271</v>
      </c>
      <c r="H481" s="82" t="s">
        <v>3896</v>
      </c>
      <c r="I481" s="79" t="s">
        <v>2724</v>
      </c>
      <c r="J481" s="83">
        <v>55</v>
      </c>
      <c r="K481" s="83">
        <v>41.904761904761905</v>
      </c>
      <c r="L481" s="83">
        <v>38.412698412698411</v>
      </c>
      <c r="M481" s="84">
        <v>34.571428571428555</v>
      </c>
      <c r="N481" s="59">
        <f t="shared" si="7"/>
        <v>0.37142857142857172</v>
      </c>
      <c r="O481" s="85" t="s">
        <v>1091</v>
      </c>
      <c r="P481" s="86" t="s">
        <v>385</v>
      </c>
      <c r="Q481" s="87" t="s">
        <v>3208</v>
      </c>
      <c r="R481" s="87">
        <v>1</v>
      </c>
      <c r="S481" s="88">
        <v>55</v>
      </c>
      <c r="T481" s="88">
        <v>38.412698412698411</v>
      </c>
      <c r="U481" s="88">
        <v>34.571428571428555</v>
      </c>
      <c r="V481" s="87" t="s">
        <v>3064</v>
      </c>
      <c r="W481" s="87" t="s">
        <v>3108</v>
      </c>
      <c r="X481" s="90" t="s">
        <v>3489</v>
      </c>
      <c r="Y481" s="89"/>
      <c r="Z481" s="89">
        <v>6</v>
      </c>
      <c r="AA481" s="89" t="s">
        <v>3207</v>
      </c>
      <c r="AB481" s="89"/>
    </row>
    <row r="482" spans="1:28" s="31" customFormat="1" ht="60" customHeight="1" x14ac:dyDescent="0.2">
      <c r="A482" s="76">
        <v>481</v>
      </c>
      <c r="B482" s="77">
        <v>50005288</v>
      </c>
      <c r="C482" s="78" t="s">
        <v>3357</v>
      </c>
      <c r="D482" s="79">
        <v>0.05</v>
      </c>
      <c r="E482" s="80">
        <v>21069099</v>
      </c>
      <c r="F482" s="81" t="s">
        <v>3374</v>
      </c>
      <c r="G482" s="82" t="s">
        <v>3374</v>
      </c>
      <c r="H482" s="82" t="s">
        <v>3673</v>
      </c>
      <c r="I482" s="79" t="s">
        <v>2687</v>
      </c>
      <c r="J482" s="83">
        <v>169</v>
      </c>
      <c r="K482" s="83">
        <v>128.76190476190476</v>
      </c>
      <c r="L482" s="83">
        <v>107.3015873015873</v>
      </c>
      <c r="M482" s="84">
        <v>101.93650793650795</v>
      </c>
      <c r="N482" s="59">
        <f t="shared" si="7"/>
        <v>0.39682539682539675</v>
      </c>
      <c r="O482" s="85" t="s">
        <v>1091</v>
      </c>
      <c r="P482" s="86" t="s">
        <v>2781</v>
      </c>
      <c r="Q482" s="87" t="s">
        <v>3208</v>
      </c>
      <c r="R482" s="87">
        <v>1</v>
      </c>
      <c r="S482" s="88">
        <v>169</v>
      </c>
      <c r="T482" s="88">
        <v>107.3015873015873</v>
      </c>
      <c r="U482" s="88">
        <v>101.93650793650795</v>
      </c>
      <c r="V482" s="87" t="s">
        <v>3062</v>
      </c>
      <c r="W482" s="87" t="s">
        <v>3108</v>
      </c>
      <c r="X482" s="90" t="s">
        <v>3484</v>
      </c>
      <c r="Y482" s="89"/>
      <c r="Z482" s="89">
        <v>1</v>
      </c>
      <c r="AA482" s="89" t="s">
        <v>3207</v>
      </c>
      <c r="AB482" s="89"/>
    </row>
    <row r="483" spans="1:28" s="31" customFormat="1" ht="60" customHeight="1" x14ac:dyDescent="0.2">
      <c r="A483" s="76">
        <v>482</v>
      </c>
      <c r="B483" s="77">
        <v>50000656</v>
      </c>
      <c r="C483" s="78" t="s">
        <v>1272</v>
      </c>
      <c r="D483" s="79">
        <v>0.05</v>
      </c>
      <c r="E483" s="80">
        <v>30049079</v>
      </c>
      <c r="F483" s="81" t="s">
        <v>1273</v>
      </c>
      <c r="G483" s="82" t="s">
        <v>1274</v>
      </c>
      <c r="H483" s="82" t="s">
        <v>294</v>
      </c>
      <c r="I483" s="79" t="s">
        <v>2666</v>
      </c>
      <c r="J483" s="83">
        <v>88.2</v>
      </c>
      <c r="K483" s="83">
        <v>67.2</v>
      </c>
      <c r="L483" s="83">
        <v>67.2</v>
      </c>
      <c r="M483" s="84">
        <v>60.48</v>
      </c>
      <c r="N483" s="59">
        <f t="shared" si="7"/>
        <v>0.31428571428571433</v>
      </c>
      <c r="O483" s="85" t="s">
        <v>1091</v>
      </c>
      <c r="P483" s="86" t="s">
        <v>2817</v>
      </c>
      <c r="Q483" s="87" t="s">
        <v>3208</v>
      </c>
      <c r="R483" s="87">
        <v>10</v>
      </c>
      <c r="S483" s="88">
        <v>8.82</v>
      </c>
      <c r="T483" s="88">
        <v>6.7200000000000006</v>
      </c>
      <c r="U483" s="88">
        <v>6.048</v>
      </c>
      <c r="V483" s="87" t="s">
        <v>3061</v>
      </c>
      <c r="W483" s="87" t="s">
        <v>3100</v>
      </c>
      <c r="X483" s="90" t="s">
        <v>3477</v>
      </c>
      <c r="Y483" s="89" t="s">
        <v>3455</v>
      </c>
      <c r="Z483" s="89">
        <v>4</v>
      </c>
      <c r="AA483" s="89" t="s">
        <v>3207</v>
      </c>
      <c r="AB483" s="89"/>
    </row>
    <row r="484" spans="1:28" s="31" customFormat="1" ht="60" customHeight="1" x14ac:dyDescent="0.2">
      <c r="A484" s="76">
        <v>483</v>
      </c>
      <c r="B484" s="77">
        <v>50000657</v>
      </c>
      <c r="C484" s="78" t="s">
        <v>1275</v>
      </c>
      <c r="D484" s="79">
        <v>0.05</v>
      </c>
      <c r="E484" s="80">
        <v>30049079</v>
      </c>
      <c r="F484" s="81" t="s">
        <v>1276</v>
      </c>
      <c r="G484" s="82" t="s">
        <v>1277</v>
      </c>
      <c r="H484" s="82" t="s">
        <v>115</v>
      </c>
      <c r="I484" s="79" t="s">
        <v>2666</v>
      </c>
      <c r="J484" s="83">
        <v>147</v>
      </c>
      <c r="K484" s="83">
        <v>112</v>
      </c>
      <c r="L484" s="83">
        <v>112</v>
      </c>
      <c r="M484" s="84">
        <v>100.8</v>
      </c>
      <c r="N484" s="59">
        <f t="shared" si="7"/>
        <v>0.31428571428571428</v>
      </c>
      <c r="O484" s="85" t="s">
        <v>1091</v>
      </c>
      <c r="P484" s="86" t="s">
        <v>37</v>
      </c>
      <c r="Q484" s="87" t="s">
        <v>3208</v>
      </c>
      <c r="R484" s="87">
        <v>10</v>
      </c>
      <c r="S484" s="88">
        <v>14.7</v>
      </c>
      <c r="T484" s="88">
        <v>11.2</v>
      </c>
      <c r="U484" s="88">
        <v>10.08</v>
      </c>
      <c r="V484" s="87" t="s">
        <v>3061</v>
      </c>
      <c r="W484" s="87" t="s">
        <v>3100</v>
      </c>
      <c r="X484" s="90" t="s">
        <v>3477</v>
      </c>
      <c r="Y484" s="89" t="s">
        <v>3455</v>
      </c>
      <c r="Z484" s="89">
        <v>4</v>
      </c>
      <c r="AA484" s="89" t="s">
        <v>3207</v>
      </c>
      <c r="AB484" s="89"/>
    </row>
    <row r="485" spans="1:28" s="31" customFormat="1" ht="60" customHeight="1" x14ac:dyDescent="0.2">
      <c r="A485" s="76">
        <v>484</v>
      </c>
      <c r="B485" s="77">
        <v>50001775</v>
      </c>
      <c r="C485" s="78" t="s">
        <v>1278</v>
      </c>
      <c r="D485" s="79">
        <v>0.05</v>
      </c>
      <c r="E485" s="80">
        <v>30049079</v>
      </c>
      <c r="F485" s="81" t="s">
        <v>1279</v>
      </c>
      <c r="G485" s="82" t="s">
        <v>1280</v>
      </c>
      <c r="H485" s="82" t="s">
        <v>3897</v>
      </c>
      <c r="I485" s="79" t="s">
        <v>2666</v>
      </c>
      <c r="J485" s="83">
        <v>109.29</v>
      </c>
      <c r="K485" s="83">
        <v>83.268571428571434</v>
      </c>
      <c r="L485" s="83">
        <v>83.268571428571434</v>
      </c>
      <c r="M485" s="84">
        <v>74.941714285714284</v>
      </c>
      <c r="N485" s="59">
        <f t="shared" si="7"/>
        <v>0.31428571428571433</v>
      </c>
      <c r="O485" s="85" t="s">
        <v>1091</v>
      </c>
      <c r="P485" s="86" t="s">
        <v>2818</v>
      </c>
      <c r="Q485" s="87" t="s">
        <v>3208</v>
      </c>
      <c r="R485" s="87">
        <v>10</v>
      </c>
      <c r="S485" s="88">
        <v>10.929</v>
      </c>
      <c r="T485" s="88">
        <v>8.3268571428571434</v>
      </c>
      <c r="U485" s="88">
        <v>7.4941714285714287</v>
      </c>
      <c r="V485" s="87" t="s">
        <v>3061</v>
      </c>
      <c r="W485" s="87" t="s">
        <v>3100</v>
      </c>
      <c r="X485" s="90" t="s">
        <v>3477</v>
      </c>
      <c r="Y485" s="89"/>
      <c r="Z485" s="89">
        <v>4</v>
      </c>
      <c r="AA485" s="89" t="s">
        <v>3207</v>
      </c>
      <c r="AB485" s="89"/>
    </row>
    <row r="486" spans="1:28" s="31" customFormat="1" ht="60" customHeight="1" x14ac:dyDescent="0.2">
      <c r="A486" s="76">
        <v>485</v>
      </c>
      <c r="B486" s="77">
        <v>50001776</v>
      </c>
      <c r="C486" s="78" t="s">
        <v>1282</v>
      </c>
      <c r="D486" s="79">
        <v>0.05</v>
      </c>
      <c r="E486" s="80">
        <v>30049079</v>
      </c>
      <c r="F486" s="81" t="s">
        <v>1283</v>
      </c>
      <c r="G486" s="82" t="s">
        <v>1284</v>
      </c>
      <c r="H486" s="82" t="s">
        <v>3736</v>
      </c>
      <c r="I486" s="79" t="s">
        <v>2666</v>
      </c>
      <c r="J486" s="83">
        <v>191.77</v>
      </c>
      <c r="K486" s="83">
        <v>146.11047619047619</v>
      </c>
      <c r="L486" s="83">
        <v>146.11047619047619</v>
      </c>
      <c r="M486" s="84">
        <v>131.49942857142855</v>
      </c>
      <c r="N486" s="59">
        <f t="shared" si="7"/>
        <v>0.31428571428571445</v>
      </c>
      <c r="O486" s="85" t="s">
        <v>1091</v>
      </c>
      <c r="P486" s="86" t="s">
        <v>2819</v>
      </c>
      <c r="Q486" s="87" t="s">
        <v>3208</v>
      </c>
      <c r="R486" s="87">
        <v>10</v>
      </c>
      <c r="S486" s="88">
        <v>19.177</v>
      </c>
      <c r="T486" s="88">
        <v>14.61104761904762</v>
      </c>
      <c r="U486" s="88">
        <v>13.149942857142856</v>
      </c>
      <c r="V486" s="87" t="s">
        <v>3061</v>
      </c>
      <c r="W486" s="87" t="s">
        <v>3100</v>
      </c>
      <c r="X486" s="90" t="s">
        <v>3477</v>
      </c>
      <c r="Y486" s="89"/>
      <c r="Z486" s="89">
        <v>3</v>
      </c>
      <c r="AA486" s="89" t="s">
        <v>3207</v>
      </c>
      <c r="AB486" s="89"/>
    </row>
    <row r="487" spans="1:28" s="31" customFormat="1" ht="60" customHeight="1" x14ac:dyDescent="0.2">
      <c r="A487" s="76">
        <v>486</v>
      </c>
      <c r="B487" s="77">
        <v>50001949</v>
      </c>
      <c r="C487" s="78" t="s">
        <v>1285</v>
      </c>
      <c r="D487" s="79">
        <v>0.05</v>
      </c>
      <c r="E487" s="80">
        <v>30049079</v>
      </c>
      <c r="F487" s="81" t="s">
        <v>1286</v>
      </c>
      <c r="G487" s="82" t="s">
        <v>1287</v>
      </c>
      <c r="H487" s="82" t="s">
        <v>3898</v>
      </c>
      <c r="I487" s="79" t="s">
        <v>2666</v>
      </c>
      <c r="J487" s="83">
        <v>132.59</v>
      </c>
      <c r="K487" s="83">
        <v>101.02095238095238</v>
      </c>
      <c r="L487" s="83">
        <v>101.02095238095238</v>
      </c>
      <c r="M487" s="84">
        <v>90.918857142857121</v>
      </c>
      <c r="N487" s="59">
        <f t="shared" si="7"/>
        <v>0.31428571428571445</v>
      </c>
      <c r="O487" s="85" t="s">
        <v>1091</v>
      </c>
      <c r="P487" s="86" t="s">
        <v>2695</v>
      </c>
      <c r="Q487" s="87" t="s">
        <v>3208</v>
      </c>
      <c r="R487" s="87">
        <v>10</v>
      </c>
      <c r="S487" s="88">
        <v>13.259</v>
      </c>
      <c r="T487" s="88">
        <v>10.102095238095238</v>
      </c>
      <c r="U487" s="88">
        <v>9.0918857142857128</v>
      </c>
      <c r="V487" s="87" t="s">
        <v>3061</v>
      </c>
      <c r="W487" s="87" t="s">
        <v>3100</v>
      </c>
      <c r="X487" s="90" t="s">
        <v>3477</v>
      </c>
      <c r="Y487" s="89" t="s">
        <v>3455</v>
      </c>
      <c r="Z487" s="89">
        <v>4</v>
      </c>
      <c r="AA487" s="89" t="s">
        <v>3207</v>
      </c>
      <c r="AB487" s="89"/>
    </row>
    <row r="488" spans="1:28" s="31" customFormat="1" ht="60" customHeight="1" x14ac:dyDescent="0.2">
      <c r="A488" s="76">
        <v>487</v>
      </c>
      <c r="B488" s="77">
        <v>50003143</v>
      </c>
      <c r="C488" s="78" t="s">
        <v>1288</v>
      </c>
      <c r="D488" s="79">
        <v>0.05</v>
      </c>
      <c r="E488" s="80">
        <v>30049079</v>
      </c>
      <c r="F488" s="81" t="s">
        <v>1289</v>
      </c>
      <c r="G488" s="82" t="s">
        <v>1290</v>
      </c>
      <c r="H488" s="82" t="s">
        <v>3738</v>
      </c>
      <c r="I488" s="79" t="s">
        <v>2666</v>
      </c>
      <c r="J488" s="83">
        <v>199</v>
      </c>
      <c r="K488" s="83">
        <v>151.61904761904762</v>
      </c>
      <c r="L488" s="83">
        <v>151.61904761904762</v>
      </c>
      <c r="M488" s="84">
        <v>136.45714285714288</v>
      </c>
      <c r="N488" s="59">
        <f t="shared" si="7"/>
        <v>0.31428571428571417</v>
      </c>
      <c r="O488" s="85" t="s">
        <v>1091</v>
      </c>
      <c r="P488" s="86" t="s">
        <v>37</v>
      </c>
      <c r="Q488" s="87" t="s">
        <v>3208</v>
      </c>
      <c r="R488" s="87">
        <v>10</v>
      </c>
      <c r="S488" s="88">
        <v>19.899999999999999</v>
      </c>
      <c r="T488" s="88">
        <v>15.161904761904761</v>
      </c>
      <c r="U488" s="88">
        <v>13.645714285714288</v>
      </c>
      <c r="V488" s="87" t="s">
        <v>3061</v>
      </c>
      <c r="W488" s="87" t="s">
        <v>3100</v>
      </c>
      <c r="X488" s="90" t="s">
        <v>3477</v>
      </c>
      <c r="Y488" s="89" t="s">
        <v>3455</v>
      </c>
      <c r="Z488" s="89">
        <v>2</v>
      </c>
      <c r="AA488" s="89" t="s">
        <v>3207</v>
      </c>
      <c r="AB488" s="89"/>
    </row>
    <row r="489" spans="1:28" s="31" customFormat="1" ht="60" customHeight="1" x14ac:dyDescent="0.2">
      <c r="A489" s="76">
        <v>488</v>
      </c>
      <c r="B489" s="77">
        <v>50003144</v>
      </c>
      <c r="C489" s="78" t="s">
        <v>1291</v>
      </c>
      <c r="D489" s="79">
        <v>0.05</v>
      </c>
      <c r="E489" s="80">
        <v>30049079</v>
      </c>
      <c r="F489" s="81" t="s">
        <v>1292</v>
      </c>
      <c r="G489" s="82" t="s">
        <v>1293</v>
      </c>
      <c r="H489" s="82" t="s">
        <v>3899</v>
      </c>
      <c r="I489" s="79" t="s">
        <v>2666</v>
      </c>
      <c r="J489" s="83">
        <v>115.89</v>
      </c>
      <c r="K489" s="83">
        <v>88.297142857142859</v>
      </c>
      <c r="L489" s="83">
        <v>73.580952380952382</v>
      </c>
      <c r="M489" s="84">
        <v>66.222857142857151</v>
      </c>
      <c r="N489" s="59">
        <f t="shared" si="7"/>
        <v>0.42857142857142849</v>
      </c>
      <c r="O489" s="85" t="s">
        <v>1091</v>
      </c>
      <c r="P489" s="86" t="s">
        <v>2820</v>
      </c>
      <c r="Q489" s="87" t="s">
        <v>3208</v>
      </c>
      <c r="R489" s="87">
        <v>10</v>
      </c>
      <c r="S489" s="88">
        <v>11.589</v>
      </c>
      <c r="T489" s="88">
        <v>7.3580952380952382</v>
      </c>
      <c r="U489" s="88">
        <v>6.6222857142857148</v>
      </c>
      <c r="V489" s="87" t="s">
        <v>3061</v>
      </c>
      <c r="W489" s="87" t="s">
        <v>3100</v>
      </c>
      <c r="X489" s="90" t="s">
        <v>3477</v>
      </c>
      <c r="Y489" s="89" t="s">
        <v>3455</v>
      </c>
      <c r="Z489" s="89">
        <v>3</v>
      </c>
      <c r="AA489" s="89" t="s">
        <v>3207</v>
      </c>
      <c r="AB489" s="89"/>
    </row>
    <row r="490" spans="1:28" s="31" customFormat="1" ht="60" customHeight="1" x14ac:dyDescent="0.2">
      <c r="A490" s="76">
        <v>489</v>
      </c>
      <c r="B490" s="77">
        <v>50003145</v>
      </c>
      <c r="C490" s="78" t="s">
        <v>1294</v>
      </c>
      <c r="D490" s="79">
        <v>0.05</v>
      </c>
      <c r="E490" s="80">
        <v>30049079</v>
      </c>
      <c r="F490" s="81" t="s">
        <v>1295</v>
      </c>
      <c r="G490" s="82" t="s">
        <v>1296</v>
      </c>
      <c r="H490" s="82" t="s">
        <v>3740</v>
      </c>
      <c r="I490" s="79" t="s">
        <v>2666</v>
      </c>
      <c r="J490" s="83">
        <v>182.66</v>
      </c>
      <c r="K490" s="83">
        <v>139.16952380952381</v>
      </c>
      <c r="L490" s="83">
        <v>115.97460317460316</v>
      </c>
      <c r="M490" s="84">
        <v>104.37714285714287</v>
      </c>
      <c r="N490" s="59">
        <f t="shared" si="7"/>
        <v>0.42857142857142849</v>
      </c>
      <c r="O490" s="85" t="s">
        <v>1091</v>
      </c>
      <c r="P490" s="86" t="s">
        <v>2821</v>
      </c>
      <c r="Q490" s="87" t="s">
        <v>3208</v>
      </c>
      <c r="R490" s="87">
        <v>10</v>
      </c>
      <c r="S490" s="88">
        <v>18.265999999999998</v>
      </c>
      <c r="T490" s="88">
        <v>11.597460317460316</v>
      </c>
      <c r="U490" s="88">
        <v>10.437714285714287</v>
      </c>
      <c r="V490" s="87" t="s">
        <v>3061</v>
      </c>
      <c r="W490" s="87" t="s">
        <v>3100</v>
      </c>
      <c r="X490" s="90" t="s">
        <v>3477</v>
      </c>
      <c r="Y490" s="89" t="s">
        <v>3455</v>
      </c>
      <c r="Z490" s="89">
        <v>3</v>
      </c>
      <c r="AA490" s="89" t="s">
        <v>3207</v>
      </c>
      <c r="AB490" s="89"/>
    </row>
    <row r="491" spans="1:28" s="31" customFormat="1" ht="60" customHeight="1" x14ac:dyDescent="0.2">
      <c r="A491" s="76">
        <v>490</v>
      </c>
      <c r="B491" s="77">
        <v>50001460</v>
      </c>
      <c r="C491" s="78" t="s">
        <v>1297</v>
      </c>
      <c r="D491" s="79">
        <v>0.05</v>
      </c>
      <c r="E491" s="80">
        <v>30049079</v>
      </c>
      <c r="F491" s="81" t="s">
        <v>1298</v>
      </c>
      <c r="G491" s="82" t="s">
        <v>1299</v>
      </c>
      <c r="H491" s="82" t="s">
        <v>3899</v>
      </c>
      <c r="I491" s="79" t="s">
        <v>2666</v>
      </c>
      <c r="J491" s="83">
        <v>106.66</v>
      </c>
      <c r="K491" s="83">
        <v>81.264761904761912</v>
      </c>
      <c r="L491" s="83">
        <v>81.264761904761912</v>
      </c>
      <c r="M491" s="84">
        <v>73.138285714285729</v>
      </c>
      <c r="N491" s="59">
        <f t="shared" si="7"/>
        <v>0.31428571428571411</v>
      </c>
      <c r="O491" s="85" t="s">
        <v>1091</v>
      </c>
      <c r="P491" s="86" t="s">
        <v>2822</v>
      </c>
      <c r="Q491" s="87" t="s">
        <v>3208</v>
      </c>
      <c r="R491" s="87">
        <v>10</v>
      </c>
      <c r="S491" s="88">
        <v>10.666</v>
      </c>
      <c r="T491" s="88">
        <v>8.1264761904761915</v>
      </c>
      <c r="U491" s="88">
        <v>7.3138285714285729</v>
      </c>
      <c r="V491" s="87" t="s">
        <v>3061</v>
      </c>
      <c r="W491" s="87" t="s">
        <v>3100</v>
      </c>
      <c r="X491" s="90" t="s">
        <v>3477</v>
      </c>
      <c r="Y491" s="89" t="s">
        <v>3455</v>
      </c>
      <c r="Z491" s="89">
        <v>4</v>
      </c>
      <c r="AA491" s="89" t="s">
        <v>3207</v>
      </c>
      <c r="AB491" s="89"/>
    </row>
    <row r="492" spans="1:28" s="31" customFormat="1" ht="60" customHeight="1" x14ac:dyDescent="0.2">
      <c r="A492" s="76">
        <v>491</v>
      </c>
      <c r="B492" s="77">
        <v>50001461</v>
      </c>
      <c r="C492" s="78" t="s">
        <v>1300</v>
      </c>
      <c r="D492" s="79">
        <v>0.05</v>
      </c>
      <c r="E492" s="80">
        <v>30049079</v>
      </c>
      <c r="F492" s="81" t="s">
        <v>1301</v>
      </c>
      <c r="G492" s="82" t="s">
        <v>1302</v>
      </c>
      <c r="H492" s="82" t="s">
        <v>3740</v>
      </c>
      <c r="I492" s="79" t="s">
        <v>2666</v>
      </c>
      <c r="J492" s="83">
        <v>162.21</v>
      </c>
      <c r="K492" s="83">
        <v>123.58857142857144</v>
      </c>
      <c r="L492" s="83">
        <v>123.58857142857144</v>
      </c>
      <c r="M492" s="84">
        <v>111.22971428571429</v>
      </c>
      <c r="N492" s="59">
        <f t="shared" si="7"/>
        <v>0.31428571428571428</v>
      </c>
      <c r="O492" s="85" t="s">
        <v>1091</v>
      </c>
      <c r="P492" s="86" t="s">
        <v>2695</v>
      </c>
      <c r="Q492" s="87" t="s">
        <v>3208</v>
      </c>
      <c r="R492" s="87">
        <v>10</v>
      </c>
      <c r="S492" s="88">
        <v>16.221</v>
      </c>
      <c r="T492" s="88">
        <v>12.358857142857143</v>
      </c>
      <c r="U492" s="88">
        <v>11.122971428571429</v>
      </c>
      <c r="V492" s="87" t="s">
        <v>3061</v>
      </c>
      <c r="W492" s="87" t="s">
        <v>3100</v>
      </c>
      <c r="X492" s="90" t="s">
        <v>3477</v>
      </c>
      <c r="Y492" s="89" t="s">
        <v>3455</v>
      </c>
      <c r="Z492" s="89">
        <v>3</v>
      </c>
      <c r="AA492" s="89" t="s">
        <v>3207</v>
      </c>
      <c r="AB492" s="89"/>
    </row>
    <row r="493" spans="1:28" s="31" customFormat="1" ht="60" customHeight="1" x14ac:dyDescent="0.2">
      <c r="A493" s="76">
        <v>492</v>
      </c>
      <c r="B493" s="77">
        <v>50001773</v>
      </c>
      <c r="C493" s="78" t="s">
        <v>1303</v>
      </c>
      <c r="D493" s="79">
        <v>0.05</v>
      </c>
      <c r="E493" s="80">
        <v>30049099</v>
      </c>
      <c r="F493" s="81" t="s">
        <v>1304</v>
      </c>
      <c r="G493" s="82" t="s">
        <v>1305</v>
      </c>
      <c r="H493" s="82" t="s">
        <v>3900</v>
      </c>
      <c r="I493" s="79" t="s">
        <v>2722</v>
      </c>
      <c r="J493" s="83">
        <v>96.07</v>
      </c>
      <c r="K493" s="83">
        <v>73.19619047619048</v>
      </c>
      <c r="L493" s="83">
        <v>67.340495238095244</v>
      </c>
      <c r="M493" s="84">
        <v>60.606445714285712</v>
      </c>
      <c r="N493" s="59">
        <f t="shared" si="7"/>
        <v>0.36914285714285711</v>
      </c>
      <c r="O493" s="85" t="s">
        <v>1091</v>
      </c>
      <c r="P493" s="86" t="s">
        <v>235</v>
      </c>
      <c r="Q493" s="87" t="s">
        <v>3208</v>
      </c>
      <c r="R493" s="87">
        <v>1</v>
      </c>
      <c r="S493" s="88">
        <v>96.07</v>
      </c>
      <c r="T493" s="88">
        <v>67.340495238095244</v>
      </c>
      <c r="U493" s="88">
        <v>60.606445714285712</v>
      </c>
      <c r="V493" s="87" t="s">
        <v>3062</v>
      </c>
      <c r="W493" s="87" t="s">
        <v>3109</v>
      </c>
      <c r="X493" s="90" t="s">
        <v>3486</v>
      </c>
      <c r="Y493" s="89"/>
      <c r="Z493" s="89">
        <v>1</v>
      </c>
      <c r="AA493" s="89"/>
      <c r="AB493" s="89"/>
    </row>
    <row r="494" spans="1:28" s="31" customFormat="1" ht="60" customHeight="1" x14ac:dyDescent="0.2">
      <c r="A494" s="76">
        <v>493</v>
      </c>
      <c r="B494" s="77">
        <v>50002516</v>
      </c>
      <c r="C494" s="78" t="s">
        <v>1306</v>
      </c>
      <c r="D494" s="79">
        <v>0.05</v>
      </c>
      <c r="E494" s="80">
        <v>30049087</v>
      </c>
      <c r="F494" s="81" t="s">
        <v>1307</v>
      </c>
      <c r="G494" s="82" t="s">
        <v>1308</v>
      </c>
      <c r="H494" s="82" t="s">
        <v>3901</v>
      </c>
      <c r="I494" s="79" t="s">
        <v>2771</v>
      </c>
      <c r="J494" s="83">
        <v>86.2</v>
      </c>
      <c r="K494" s="83">
        <v>65.676190476190484</v>
      </c>
      <c r="L494" s="83">
        <v>60.20317460317461</v>
      </c>
      <c r="M494" s="84">
        <v>54.182857142857159</v>
      </c>
      <c r="N494" s="59">
        <f t="shared" si="7"/>
        <v>0.37142857142857127</v>
      </c>
      <c r="O494" s="85" t="s">
        <v>1091</v>
      </c>
      <c r="P494" s="86" t="s">
        <v>1309</v>
      </c>
      <c r="Q494" s="87" t="s">
        <v>3208</v>
      </c>
      <c r="R494" s="87">
        <v>1</v>
      </c>
      <c r="S494" s="88">
        <v>86.2</v>
      </c>
      <c r="T494" s="88">
        <v>60.20317460317461</v>
      </c>
      <c r="U494" s="88">
        <v>54.182857142857159</v>
      </c>
      <c r="V494" s="87" t="s">
        <v>3066</v>
      </c>
      <c r="W494" s="87" t="s">
        <v>3109</v>
      </c>
      <c r="X494" s="90" t="s">
        <v>3486</v>
      </c>
      <c r="Y494" s="89"/>
      <c r="Z494" s="89">
        <v>1</v>
      </c>
      <c r="AA494" s="89"/>
      <c r="AB494" s="89"/>
    </row>
    <row r="495" spans="1:28" s="31" customFormat="1" ht="60" customHeight="1" x14ac:dyDescent="0.2">
      <c r="A495" s="76">
        <v>494</v>
      </c>
      <c r="B495" s="77">
        <v>50000415</v>
      </c>
      <c r="C495" s="78" t="s">
        <v>1310</v>
      </c>
      <c r="D495" s="79">
        <v>0.05</v>
      </c>
      <c r="E495" s="80">
        <v>30049039</v>
      </c>
      <c r="F495" s="81" t="s">
        <v>1311</v>
      </c>
      <c r="G495" s="82" t="s">
        <v>1312</v>
      </c>
      <c r="H495" s="82" t="s">
        <v>3902</v>
      </c>
      <c r="I495" s="79" t="s">
        <v>2693</v>
      </c>
      <c r="J495" s="83">
        <v>124.46</v>
      </c>
      <c r="K495" s="83">
        <v>94.826666666666668</v>
      </c>
      <c r="L495" s="83">
        <v>86.924444444444433</v>
      </c>
      <c r="M495" s="84">
        <v>78.231999999999985</v>
      </c>
      <c r="N495" s="59">
        <f t="shared" si="7"/>
        <v>0.3714285714285715</v>
      </c>
      <c r="O495" s="85" t="s">
        <v>1091</v>
      </c>
      <c r="P495" s="86" t="s">
        <v>2726</v>
      </c>
      <c r="Q495" s="87" t="s">
        <v>3208</v>
      </c>
      <c r="R495" s="87">
        <v>10</v>
      </c>
      <c r="S495" s="88">
        <v>12.446</v>
      </c>
      <c r="T495" s="88">
        <v>8.692444444444444</v>
      </c>
      <c r="U495" s="88">
        <v>7.8231999999999982</v>
      </c>
      <c r="V495" s="87" t="s">
        <v>3061</v>
      </c>
      <c r="W495" s="87" t="s">
        <v>3105</v>
      </c>
      <c r="X495" s="90" t="s">
        <v>3478</v>
      </c>
      <c r="Y495" s="89"/>
      <c r="Z495" s="89">
        <v>6</v>
      </c>
      <c r="AA495" s="89"/>
      <c r="AB495" s="89"/>
    </row>
    <row r="496" spans="1:28" s="31" customFormat="1" ht="60" customHeight="1" x14ac:dyDescent="0.2">
      <c r="A496" s="76">
        <v>495</v>
      </c>
      <c r="B496" s="77">
        <v>50002034</v>
      </c>
      <c r="C496" s="78" t="s">
        <v>1313</v>
      </c>
      <c r="D496" s="79">
        <v>0.05</v>
      </c>
      <c r="E496" s="80">
        <v>30049099</v>
      </c>
      <c r="F496" s="81" t="s">
        <v>1314</v>
      </c>
      <c r="G496" s="82" t="s">
        <v>1315</v>
      </c>
      <c r="H496" s="82" t="s">
        <v>3903</v>
      </c>
      <c r="I496" s="79" t="s">
        <v>2772</v>
      </c>
      <c r="J496" s="83">
        <v>180.35</v>
      </c>
      <c r="K496" s="83">
        <v>137.40952380952382</v>
      </c>
      <c r="L496" s="83">
        <v>125.95873015873018</v>
      </c>
      <c r="M496" s="84">
        <v>109.92212266666665</v>
      </c>
      <c r="N496" s="59">
        <f t="shared" si="7"/>
        <v>0.39050666666666672</v>
      </c>
      <c r="O496" s="85" t="s">
        <v>1091</v>
      </c>
      <c r="P496" s="86" t="s">
        <v>3199</v>
      </c>
      <c r="Q496" s="87" t="s">
        <v>3208</v>
      </c>
      <c r="R496" s="87">
        <v>1</v>
      </c>
      <c r="S496" s="88">
        <v>180.35</v>
      </c>
      <c r="T496" s="88">
        <v>125.95873015873018</v>
      </c>
      <c r="U496" s="88">
        <v>109.92212266666665</v>
      </c>
      <c r="V496" s="87" t="s">
        <v>3066</v>
      </c>
      <c r="W496" s="87" t="s">
        <v>3105</v>
      </c>
      <c r="X496" s="90" t="s">
        <v>3481</v>
      </c>
      <c r="Y496" s="89"/>
      <c r="Z496" s="89">
        <v>1</v>
      </c>
      <c r="AA496" s="89" t="s">
        <v>3207</v>
      </c>
      <c r="AB496" s="89"/>
    </row>
    <row r="497" spans="1:28" s="31" customFormat="1" ht="60" customHeight="1" x14ac:dyDescent="0.2">
      <c r="A497" s="76">
        <v>496</v>
      </c>
      <c r="B497" s="77">
        <v>50004746</v>
      </c>
      <c r="C497" s="78" t="s">
        <v>1316</v>
      </c>
      <c r="D497" s="79">
        <v>0.05</v>
      </c>
      <c r="E497" s="80">
        <v>30049099</v>
      </c>
      <c r="F497" s="81" t="s">
        <v>1317</v>
      </c>
      <c r="G497" s="82" t="s">
        <v>1318</v>
      </c>
      <c r="H497" s="82" t="s">
        <v>1319</v>
      </c>
      <c r="I497" s="79" t="s">
        <v>2772</v>
      </c>
      <c r="J497" s="83">
        <v>236.25</v>
      </c>
      <c r="K497" s="83">
        <v>180</v>
      </c>
      <c r="L497" s="83">
        <v>162</v>
      </c>
      <c r="M497" s="84">
        <v>143.99280000000002</v>
      </c>
      <c r="N497" s="59">
        <f t="shared" si="7"/>
        <v>0.39050666666666661</v>
      </c>
      <c r="O497" s="85" t="s">
        <v>1091</v>
      </c>
      <c r="P497" s="86" t="s">
        <v>3465</v>
      </c>
      <c r="Q497" s="87" t="s">
        <v>3208</v>
      </c>
      <c r="R497" s="87">
        <v>1</v>
      </c>
      <c r="S497" s="88">
        <v>236.25</v>
      </c>
      <c r="T497" s="88">
        <v>162</v>
      </c>
      <c r="U497" s="88">
        <v>143.99280000000002</v>
      </c>
      <c r="V497" s="87" t="s">
        <v>3066</v>
      </c>
      <c r="W497" s="87" t="s">
        <v>3105</v>
      </c>
      <c r="X497" s="90" t="s">
        <v>3481</v>
      </c>
      <c r="Y497" s="89"/>
      <c r="Z497" s="89">
        <v>1</v>
      </c>
      <c r="AA497" s="89" t="s">
        <v>3207</v>
      </c>
      <c r="AB497" s="89" t="s">
        <v>4613</v>
      </c>
    </row>
    <row r="498" spans="1:28" s="31" customFormat="1" ht="60" customHeight="1" x14ac:dyDescent="0.2">
      <c r="A498" s="76">
        <v>497</v>
      </c>
      <c r="B498" s="77">
        <v>50004736</v>
      </c>
      <c r="C498" s="78" t="s">
        <v>1320</v>
      </c>
      <c r="D498" s="79">
        <v>0.05</v>
      </c>
      <c r="E498" s="80">
        <v>30049099</v>
      </c>
      <c r="F498" s="81" t="s">
        <v>1321</v>
      </c>
      <c r="G498" s="82" t="s">
        <v>1322</v>
      </c>
      <c r="H498" s="82" t="s">
        <v>323</v>
      </c>
      <c r="I498" s="79" t="s">
        <v>2670</v>
      </c>
      <c r="J498" s="83">
        <v>398.72</v>
      </c>
      <c r="K498" s="83">
        <v>303.78666666666669</v>
      </c>
      <c r="L498" s="83">
        <v>273.40800000000002</v>
      </c>
      <c r="M498" s="84">
        <v>243.0171818666667</v>
      </c>
      <c r="N498" s="59">
        <f t="shared" si="7"/>
        <v>0.39050666666666661</v>
      </c>
      <c r="O498" s="85" t="s">
        <v>1091</v>
      </c>
      <c r="P498" s="86" t="s">
        <v>37</v>
      </c>
      <c r="Q498" s="87" t="s">
        <v>3208</v>
      </c>
      <c r="R498" s="87">
        <v>7</v>
      </c>
      <c r="S498" s="88">
        <v>56.96</v>
      </c>
      <c r="T498" s="88">
        <v>39.058285714285716</v>
      </c>
      <c r="U498" s="88">
        <v>34.716740266666669</v>
      </c>
      <c r="V498" s="87" t="s">
        <v>3061</v>
      </c>
      <c r="W498" s="87" t="s">
        <v>3105</v>
      </c>
      <c r="X498" s="90" t="s">
        <v>3477</v>
      </c>
      <c r="Y498" s="89"/>
      <c r="Z498" s="89">
        <v>10</v>
      </c>
      <c r="AA498" s="89" t="s">
        <v>3207</v>
      </c>
      <c r="AB498" s="89" t="s">
        <v>4613</v>
      </c>
    </row>
    <row r="499" spans="1:28" s="31" customFormat="1" ht="60" customHeight="1" x14ac:dyDescent="0.2">
      <c r="A499" s="76">
        <v>498</v>
      </c>
      <c r="B499" s="77">
        <v>50005111</v>
      </c>
      <c r="C499" s="78" t="s">
        <v>3173</v>
      </c>
      <c r="D499" s="79">
        <v>0.05</v>
      </c>
      <c r="E499" s="80">
        <v>30045090</v>
      </c>
      <c r="F499" s="81" t="s">
        <v>3174</v>
      </c>
      <c r="G499" s="82" t="s">
        <v>3189</v>
      </c>
      <c r="H499" s="82" t="s">
        <v>3904</v>
      </c>
      <c r="I499" s="79" t="s">
        <v>2670</v>
      </c>
      <c r="J499" s="83">
        <v>495.69</v>
      </c>
      <c r="K499" s="83">
        <v>377.66857142857145</v>
      </c>
      <c r="L499" s="83">
        <v>339.90171428571432</v>
      </c>
      <c r="M499" s="84">
        <v>305.91154285714288</v>
      </c>
      <c r="N499" s="59">
        <f t="shared" si="7"/>
        <v>0.38285714285714284</v>
      </c>
      <c r="O499" s="85" t="s">
        <v>1091</v>
      </c>
      <c r="P499" s="86" t="s">
        <v>37</v>
      </c>
      <c r="Q499" s="87" t="s">
        <v>3208</v>
      </c>
      <c r="R499" s="87">
        <v>7</v>
      </c>
      <c r="S499" s="88">
        <v>70.812857142857141</v>
      </c>
      <c r="T499" s="88">
        <v>48.557387755102049</v>
      </c>
      <c r="U499" s="88">
        <v>43.701648979591837</v>
      </c>
      <c r="V499" s="87" t="s">
        <v>3061</v>
      </c>
      <c r="W499" s="87" t="s">
        <v>3105</v>
      </c>
      <c r="X499" s="90" t="s">
        <v>3477</v>
      </c>
      <c r="Y499" s="89"/>
      <c r="Z499" s="89">
        <v>2</v>
      </c>
      <c r="AA499" s="89" t="s">
        <v>3207</v>
      </c>
      <c r="AB499" s="89" t="s">
        <v>4613</v>
      </c>
    </row>
    <row r="500" spans="1:28" s="31" customFormat="1" ht="60" customHeight="1" x14ac:dyDescent="0.2">
      <c r="A500" s="76">
        <v>499</v>
      </c>
      <c r="B500" s="77">
        <v>50003065</v>
      </c>
      <c r="C500" s="78" t="s">
        <v>1323</v>
      </c>
      <c r="D500" s="79">
        <v>0.05</v>
      </c>
      <c r="E500" s="80">
        <v>30049071</v>
      </c>
      <c r="F500" s="81" t="s">
        <v>1324</v>
      </c>
      <c r="G500" s="82" t="s">
        <v>1325</v>
      </c>
      <c r="H500" s="82" t="s">
        <v>20</v>
      </c>
      <c r="I500" s="79" t="s">
        <v>2693</v>
      </c>
      <c r="J500" s="83">
        <v>49.27</v>
      </c>
      <c r="K500" s="83">
        <v>37.539047619047622</v>
      </c>
      <c r="L500" s="83">
        <v>37.539047619047622</v>
      </c>
      <c r="M500" s="84">
        <v>33.785142857142866</v>
      </c>
      <c r="N500" s="59">
        <f t="shared" si="7"/>
        <v>0.31428571428571417</v>
      </c>
      <c r="O500" s="85" t="s">
        <v>1091</v>
      </c>
      <c r="P500" s="86" t="s">
        <v>81</v>
      </c>
      <c r="Q500" s="87" t="s">
        <v>3207</v>
      </c>
      <c r="R500" s="87">
        <v>10</v>
      </c>
      <c r="S500" s="88">
        <v>4.9270000000000005</v>
      </c>
      <c r="T500" s="88">
        <v>3.7539047619047623</v>
      </c>
      <c r="U500" s="88">
        <v>3.3785142857142865</v>
      </c>
      <c r="V500" s="87" t="s">
        <v>3061</v>
      </c>
      <c r="W500" s="87" t="s">
        <v>3100</v>
      </c>
      <c r="X500" s="90" t="s">
        <v>3478</v>
      </c>
      <c r="Y500" s="89"/>
      <c r="Z500" s="89">
        <v>6</v>
      </c>
      <c r="AA500" s="89"/>
      <c r="AB500" s="89"/>
    </row>
    <row r="501" spans="1:28" s="31" customFormat="1" ht="60" customHeight="1" x14ac:dyDescent="0.2">
      <c r="A501" s="76">
        <v>500</v>
      </c>
      <c r="B501" s="77">
        <v>50003066</v>
      </c>
      <c r="C501" s="78" t="s">
        <v>1326</v>
      </c>
      <c r="D501" s="79">
        <v>0.05</v>
      </c>
      <c r="E501" s="80">
        <v>30049071</v>
      </c>
      <c r="F501" s="81" t="s">
        <v>1327</v>
      </c>
      <c r="G501" s="82" t="s">
        <v>1328</v>
      </c>
      <c r="H501" s="82" t="s">
        <v>26</v>
      </c>
      <c r="I501" s="79" t="s">
        <v>2693</v>
      </c>
      <c r="J501" s="83">
        <v>63.52</v>
      </c>
      <c r="K501" s="83">
        <v>48.396190476190476</v>
      </c>
      <c r="L501" s="83">
        <v>48.396190476190476</v>
      </c>
      <c r="M501" s="84">
        <v>43.556571428571424</v>
      </c>
      <c r="N501" s="59">
        <f t="shared" si="7"/>
        <v>0.31428571428571439</v>
      </c>
      <c r="O501" s="85" t="s">
        <v>1091</v>
      </c>
      <c r="P501" s="86" t="s">
        <v>81</v>
      </c>
      <c r="Q501" s="87" t="s">
        <v>3207</v>
      </c>
      <c r="R501" s="87">
        <v>10</v>
      </c>
      <c r="S501" s="88">
        <v>6.3520000000000003</v>
      </c>
      <c r="T501" s="88">
        <v>4.8396190476190473</v>
      </c>
      <c r="U501" s="88">
        <v>4.355657142857142</v>
      </c>
      <c r="V501" s="87" t="s">
        <v>3061</v>
      </c>
      <c r="W501" s="87" t="s">
        <v>3100</v>
      </c>
      <c r="X501" s="90" t="s">
        <v>3478</v>
      </c>
      <c r="Y501" s="89"/>
      <c r="Z501" s="89">
        <v>4</v>
      </c>
      <c r="AA501" s="89"/>
      <c r="AB501" s="89"/>
    </row>
    <row r="502" spans="1:28" s="31" customFormat="1" ht="60" customHeight="1" x14ac:dyDescent="0.2">
      <c r="A502" s="76">
        <v>501</v>
      </c>
      <c r="B502" s="77">
        <v>50000288</v>
      </c>
      <c r="C502" s="78" t="s">
        <v>1329</v>
      </c>
      <c r="D502" s="79">
        <v>0.05</v>
      </c>
      <c r="E502" s="80">
        <v>30049079</v>
      </c>
      <c r="F502" s="81" t="s">
        <v>1330</v>
      </c>
      <c r="G502" s="82" t="s">
        <v>1331</v>
      </c>
      <c r="H502" s="82" t="s">
        <v>3905</v>
      </c>
      <c r="I502" s="79" t="s">
        <v>2666</v>
      </c>
      <c r="J502" s="83">
        <v>116.03</v>
      </c>
      <c r="K502" s="83">
        <v>88.403809523809528</v>
      </c>
      <c r="L502" s="83">
        <v>88.403809523809528</v>
      </c>
      <c r="M502" s="84">
        <v>79.563428571428574</v>
      </c>
      <c r="N502" s="59">
        <f t="shared" si="7"/>
        <v>0.31428571428571428</v>
      </c>
      <c r="O502" s="85" t="s">
        <v>1091</v>
      </c>
      <c r="P502" s="86" t="s">
        <v>819</v>
      </c>
      <c r="Q502" s="87" t="s">
        <v>3208</v>
      </c>
      <c r="R502" s="87">
        <v>10</v>
      </c>
      <c r="S502" s="88">
        <v>11.603</v>
      </c>
      <c r="T502" s="88">
        <v>8.8403809523809525</v>
      </c>
      <c r="U502" s="88">
        <v>7.9563428571428574</v>
      </c>
      <c r="V502" s="87" t="s">
        <v>3061</v>
      </c>
      <c r="W502" s="87" t="s">
        <v>3100</v>
      </c>
      <c r="X502" s="90" t="s">
        <v>3477</v>
      </c>
      <c r="Y502" s="89"/>
      <c r="Z502" s="89">
        <v>2</v>
      </c>
      <c r="AA502" s="89"/>
      <c r="AB502" s="89"/>
    </row>
    <row r="503" spans="1:28" s="31" customFormat="1" ht="60" customHeight="1" x14ac:dyDescent="0.2">
      <c r="A503" s="76">
        <v>502</v>
      </c>
      <c r="B503" s="77">
        <v>50000289</v>
      </c>
      <c r="C503" s="78" t="s">
        <v>1332</v>
      </c>
      <c r="D503" s="79">
        <v>0.05</v>
      </c>
      <c r="E503" s="80">
        <v>30049079</v>
      </c>
      <c r="F503" s="81" t="s">
        <v>1333</v>
      </c>
      <c r="G503" s="82" t="s">
        <v>1334</v>
      </c>
      <c r="H503" s="82" t="s">
        <v>3700</v>
      </c>
      <c r="I503" s="79" t="s">
        <v>2666</v>
      </c>
      <c r="J503" s="83">
        <v>174.36</v>
      </c>
      <c r="K503" s="83">
        <v>132.84571428571428</v>
      </c>
      <c r="L503" s="83">
        <v>132.84571428571428</v>
      </c>
      <c r="M503" s="84">
        <v>119.56114285714285</v>
      </c>
      <c r="N503" s="59">
        <f t="shared" si="7"/>
        <v>0.31428571428571433</v>
      </c>
      <c r="O503" s="85" t="s">
        <v>1091</v>
      </c>
      <c r="P503" s="86" t="s">
        <v>819</v>
      </c>
      <c r="Q503" s="87" t="s">
        <v>3208</v>
      </c>
      <c r="R503" s="87">
        <v>10</v>
      </c>
      <c r="S503" s="88">
        <v>17.436</v>
      </c>
      <c r="T503" s="88">
        <v>13.284571428571429</v>
      </c>
      <c r="U503" s="88">
        <v>11.956114285714285</v>
      </c>
      <c r="V503" s="87" t="s">
        <v>3061</v>
      </c>
      <c r="W503" s="87" t="s">
        <v>3100</v>
      </c>
      <c r="X503" s="90" t="s">
        <v>3477</v>
      </c>
      <c r="Y503" s="89"/>
      <c r="Z503" s="89">
        <v>2</v>
      </c>
      <c r="AA503" s="89"/>
      <c r="AB503" s="89" t="s">
        <v>4613</v>
      </c>
    </row>
    <row r="504" spans="1:28" s="31" customFormat="1" ht="60" customHeight="1" x14ac:dyDescent="0.2">
      <c r="A504" s="76">
        <v>503</v>
      </c>
      <c r="B504" s="77">
        <v>50002890</v>
      </c>
      <c r="C504" s="78" t="s">
        <v>1335</v>
      </c>
      <c r="D504" s="79">
        <v>0.05</v>
      </c>
      <c r="E504" s="80">
        <v>30049039</v>
      </c>
      <c r="F504" s="81" t="s">
        <v>3527</v>
      </c>
      <c r="G504" s="82" t="s">
        <v>1336</v>
      </c>
      <c r="H504" s="82" t="s">
        <v>3906</v>
      </c>
      <c r="I504" s="79" t="s">
        <v>2823</v>
      </c>
      <c r="J504" s="83">
        <v>130</v>
      </c>
      <c r="K504" s="83">
        <v>99.047619047619051</v>
      </c>
      <c r="L504" s="83">
        <v>82.539682539682545</v>
      </c>
      <c r="M504" s="84">
        <v>74.285714285714263</v>
      </c>
      <c r="N504" s="59">
        <f t="shared" si="7"/>
        <v>0.42857142857142877</v>
      </c>
      <c r="O504" s="85" t="s">
        <v>1091</v>
      </c>
      <c r="P504" s="86" t="s">
        <v>2747</v>
      </c>
      <c r="Q504" s="87" t="s">
        <v>3208</v>
      </c>
      <c r="R504" s="87">
        <v>1</v>
      </c>
      <c r="S504" s="88">
        <v>130</v>
      </c>
      <c r="T504" s="88">
        <v>82.539682539682545</v>
      </c>
      <c r="U504" s="88">
        <v>74.285714285714263</v>
      </c>
      <c r="V504" s="87" t="s">
        <v>3062</v>
      </c>
      <c r="W504" s="87" t="s">
        <v>3105</v>
      </c>
      <c r="X504" s="90" t="s">
        <v>3484</v>
      </c>
      <c r="Y504" s="89"/>
      <c r="Z504" s="89">
        <v>1</v>
      </c>
      <c r="AA504" s="89" t="s">
        <v>3207</v>
      </c>
      <c r="AB504" s="89"/>
    </row>
    <row r="505" spans="1:28" s="31" customFormat="1" ht="60" customHeight="1" x14ac:dyDescent="0.2">
      <c r="A505" s="76">
        <v>504</v>
      </c>
      <c r="B505" s="77">
        <v>50000930</v>
      </c>
      <c r="C505" s="78" t="s">
        <v>1337</v>
      </c>
      <c r="D505" s="79">
        <v>0.05</v>
      </c>
      <c r="E505" s="80">
        <v>30049039</v>
      </c>
      <c r="F505" s="81" t="s">
        <v>1338</v>
      </c>
      <c r="G505" s="82" t="s">
        <v>1339</v>
      </c>
      <c r="H505" s="82" t="s">
        <v>3907</v>
      </c>
      <c r="I505" s="79" t="s">
        <v>2687</v>
      </c>
      <c r="J505" s="83">
        <v>177.36</v>
      </c>
      <c r="K505" s="83">
        <v>135.13142857142856</v>
      </c>
      <c r="L505" s="83">
        <v>112.60952380952381</v>
      </c>
      <c r="M505" s="84">
        <v>101.34857142857146</v>
      </c>
      <c r="N505" s="59">
        <f t="shared" si="7"/>
        <v>0.42857142857142844</v>
      </c>
      <c r="O505" s="85" t="s">
        <v>1091</v>
      </c>
      <c r="P505" s="86" t="s">
        <v>2824</v>
      </c>
      <c r="Q505" s="87" t="s">
        <v>3208</v>
      </c>
      <c r="R505" s="87">
        <v>1</v>
      </c>
      <c r="S505" s="88">
        <v>177.36</v>
      </c>
      <c r="T505" s="88">
        <v>112.60952380952381</v>
      </c>
      <c r="U505" s="88">
        <v>101.34857142857146</v>
      </c>
      <c r="V505" s="87" t="s">
        <v>3062</v>
      </c>
      <c r="W505" s="87" t="s">
        <v>3105</v>
      </c>
      <c r="X505" s="90" t="s">
        <v>3484</v>
      </c>
      <c r="Y505" s="89"/>
      <c r="Z505" s="89">
        <v>1</v>
      </c>
      <c r="AA505" s="89" t="s">
        <v>3207</v>
      </c>
      <c r="AB505" s="89"/>
    </row>
    <row r="506" spans="1:28" s="31" customFormat="1" ht="60" customHeight="1" x14ac:dyDescent="0.2">
      <c r="A506" s="76">
        <v>505</v>
      </c>
      <c r="B506" s="77">
        <v>50004745</v>
      </c>
      <c r="C506" s="78" t="s">
        <v>1340</v>
      </c>
      <c r="D506" s="79">
        <v>0.05</v>
      </c>
      <c r="E506" s="80">
        <v>30049039</v>
      </c>
      <c r="F506" s="81" t="s">
        <v>1341</v>
      </c>
      <c r="G506" s="82" t="s">
        <v>1342</v>
      </c>
      <c r="H506" s="82" t="s">
        <v>3908</v>
      </c>
      <c r="I506" s="79" t="s">
        <v>2687</v>
      </c>
      <c r="J506" s="83">
        <v>203.26</v>
      </c>
      <c r="K506" s="83">
        <v>154.86476190476191</v>
      </c>
      <c r="L506" s="83">
        <v>129.05396825396826</v>
      </c>
      <c r="M506" s="84">
        <v>122.60126984126987</v>
      </c>
      <c r="N506" s="59">
        <f t="shared" si="7"/>
        <v>0.39682539682539669</v>
      </c>
      <c r="O506" s="85" t="s">
        <v>1091</v>
      </c>
      <c r="P506" s="86" t="s">
        <v>4863</v>
      </c>
      <c r="Q506" s="87" t="s">
        <v>3208</v>
      </c>
      <c r="R506" s="87">
        <v>1</v>
      </c>
      <c r="S506" s="88">
        <v>203.26</v>
      </c>
      <c r="T506" s="88">
        <v>129.05396825396826</v>
      </c>
      <c r="U506" s="88">
        <v>122.60126984126987</v>
      </c>
      <c r="V506" s="87" t="s">
        <v>3062</v>
      </c>
      <c r="W506" s="87" t="s">
        <v>3105</v>
      </c>
      <c r="X506" s="90" t="s">
        <v>3484</v>
      </c>
      <c r="Y506" s="89"/>
      <c r="Z506" s="89">
        <v>1</v>
      </c>
      <c r="AA506" s="89" t="s">
        <v>3207</v>
      </c>
      <c r="AB506" s="89"/>
    </row>
    <row r="507" spans="1:28" s="31" customFormat="1" ht="60" customHeight="1" x14ac:dyDescent="0.2">
      <c r="A507" s="76">
        <v>506</v>
      </c>
      <c r="B507" s="77">
        <v>50002642</v>
      </c>
      <c r="C507" s="78" t="s">
        <v>1343</v>
      </c>
      <c r="D507" s="79">
        <v>0.05</v>
      </c>
      <c r="E507" s="80">
        <v>30049099</v>
      </c>
      <c r="F507" s="81" t="s">
        <v>1344</v>
      </c>
      <c r="G507" s="82" t="s">
        <v>1345</v>
      </c>
      <c r="H507" s="82" t="s">
        <v>3909</v>
      </c>
      <c r="I507" s="79" t="s">
        <v>2666</v>
      </c>
      <c r="J507" s="83">
        <v>319</v>
      </c>
      <c r="K507" s="83">
        <v>243.04761904761904</v>
      </c>
      <c r="L507" s="83">
        <v>243.04761904761904</v>
      </c>
      <c r="M507" s="84">
        <v>218.7428571428571</v>
      </c>
      <c r="N507" s="59">
        <f t="shared" si="7"/>
        <v>0.31428571428571439</v>
      </c>
      <c r="O507" s="85" t="s">
        <v>1091</v>
      </c>
      <c r="P507" s="86" t="s">
        <v>2729</v>
      </c>
      <c r="Q507" s="87" t="s">
        <v>3208</v>
      </c>
      <c r="R507" s="87">
        <v>10</v>
      </c>
      <c r="S507" s="88">
        <v>31.9</v>
      </c>
      <c r="T507" s="88">
        <v>24.304761904761904</v>
      </c>
      <c r="U507" s="88">
        <v>21.874285714285712</v>
      </c>
      <c r="V507" s="87" t="s">
        <v>3061</v>
      </c>
      <c r="W507" s="87" t="s">
        <v>3119</v>
      </c>
      <c r="X507" s="90" t="s">
        <v>3477</v>
      </c>
      <c r="Y507" s="89"/>
      <c r="Z507" s="89">
        <v>4</v>
      </c>
      <c r="AA507" s="89"/>
      <c r="AB507" s="89"/>
    </row>
    <row r="508" spans="1:28" s="31" customFormat="1" ht="60" customHeight="1" x14ac:dyDescent="0.2">
      <c r="A508" s="76">
        <v>507</v>
      </c>
      <c r="B508" s="77">
        <v>50003292</v>
      </c>
      <c r="C508" s="78" t="s">
        <v>1346</v>
      </c>
      <c r="D508" s="79">
        <v>0.05</v>
      </c>
      <c r="E508" s="80">
        <v>21069099</v>
      </c>
      <c r="F508" s="81" t="s">
        <v>1347</v>
      </c>
      <c r="G508" s="82" t="s">
        <v>1348</v>
      </c>
      <c r="H508" s="82" t="s">
        <v>3910</v>
      </c>
      <c r="I508" s="79" t="s">
        <v>2687</v>
      </c>
      <c r="J508" s="83">
        <v>177</v>
      </c>
      <c r="K508" s="83">
        <v>134.85714285714286</v>
      </c>
      <c r="L508" s="83">
        <v>123.61904761904763</v>
      </c>
      <c r="M508" s="84">
        <v>111.25714285714287</v>
      </c>
      <c r="N508" s="59">
        <f t="shared" si="7"/>
        <v>0.37142857142857139</v>
      </c>
      <c r="O508" s="85" t="s">
        <v>1091</v>
      </c>
      <c r="P508" s="86" t="s">
        <v>2781</v>
      </c>
      <c r="Q508" s="87" t="s">
        <v>3208</v>
      </c>
      <c r="R508" s="87">
        <v>1</v>
      </c>
      <c r="S508" s="88">
        <v>177</v>
      </c>
      <c r="T508" s="88">
        <v>123.61904761904763</v>
      </c>
      <c r="U508" s="88">
        <v>111.25714285714287</v>
      </c>
      <c r="V508" s="87" t="s">
        <v>3062</v>
      </c>
      <c r="W508" s="87" t="s">
        <v>3119</v>
      </c>
      <c r="X508" s="90" t="s">
        <v>3484</v>
      </c>
      <c r="Y508" s="89"/>
      <c r="Z508" s="89">
        <v>1</v>
      </c>
      <c r="AA508" s="89"/>
      <c r="AB508" s="89"/>
    </row>
    <row r="509" spans="1:28" s="31" customFormat="1" ht="60" customHeight="1" x14ac:dyDescent="0.2">
      <c r="A509" s="76">
        <v>508</v>
      </c>
      <c r="B509" s="77">
        <v>50005734</v>
      </c>
      <c r="C509" s="78" t="s">
        <v>3628</v>
      </c>
      <c r="D509" s="79">
        <v>0.05</v>
      </c>
      <c r="E509" s="80">
        <v>30049036</v>
      </c>
      <c r="F509" s="81" t="s">
        <v>3641</v>
      </c>
      <c r="G509" s="82" t="s">
        <v>2042</v>
      </c>
      <c r="H509" s="82" t="s">
        <v>242</v>
      </c>
      <c r="I509" s="79" t="s">
        <v>2666</v>
      </c>
      <c r="J509" s="83">
        <v>229.9</v>
      </c>
      <c r="K509" s="83">
        <v>175.16190476190476</v>
      </c>
      <c r="L509" s="83">
        <v>175.16190476190476</v>
      </c>
      <c r="M509" s="84">
        <v>157.64571428571429</v>
      </c>
      <c r="N509" s="59">
        <f t="shared" si="7"/>
        <v>0.31428571428571428</v>
      </c>
      <c r="O509" s="85" t="s">
        <v>1091</v>
      </c>
      <c r="P509" s="86" t="s">
        <v>22</v>
      </c>
      <c r="Q509" s="87" t="s">
        <v>3208</v>
      </c>
      <c r="R509" s="87">
        <v>10</v>
      </c>
      <c r="S509" s="88">
        <v>22.990000000000002</v>
      </c>
      <c r="T509" s="88">
        <v>17.516190476190477</v>
      </c>
      <c r="U509" s="88">
        <v>15.764571428571429</v>
      </c>
      <c r="V509" s="87" t="s">
        <v>3061</v>
      </c>
      <c r="W509" s="87" t="s">
        <v>3119</v>
      </c>
      <c r="X509" s="90" t="s">
        <v>3477</v>
      </c>
      <c r="Y509" s="89"/>
      <c r="Z509" s="89"/>
      <c r="AA509" s="89"/>
      <c r="AB509" s="89"/>
    </row>
    <row r="510" spans="1:28" s="31" customFormat="1" ht="60" customHeight="1" x14ac:dyDescent="0.2">
      <c r="A510" s="76">
        <v>509</v>
      </c>
      <c r="B510" s="77">
        <v>50005735</v>
      </c>
      <c r="C510" s="78" t="s">
        <v>3629</v>
      </c>
      <c r="D510" s="79">
        <v>0.05</v>
      </c>
      <c r="E510" s="80">
        <v>30049036</v>
      </c>
      <c r="F510" s="81" t="s">
        <v>3642</v>
      </c>
      <c r="G510" s="82" t="s">
        <v>2045</v>
      </c>
      <c r="H510" s="82" t="s">
        <v>1081</v>
      </c>
      <c r="I510" s="79" t="s">
        <v>2666</v>
      </c>
      <c r="J510" s="83">
        <v>423.5</v>
      </c>
      <c r="K510" s="83">
        <v>322.66666666666663</v>
      </c>
      <c r="L510" s="83">
        <v>322.66666666666663</v>
      </c>
      <c r="M510" s="84">
        <v>290.40000000000009</v>
      </c>
      <c r="N510" s="59">
        <f t="shared" si="7"/>
        <v>0.31428571428571406</v>
      </c>
      <c r="O510" s="85" t="s">
        <v>1091</v>
      </c>
      <c r="P510" s="86" t="s">
        <v>22</v>
      </c>
      <c r="Q510" s="87" t="s">
        <v>3208</v>
      </c>
      <c r="R510" s="87">
        <v>10</v>
      </c>
      <c r="S510" s="88">
        <v>42.35</v>
      </c>
      <c r="T510" s="88">
        <v>32.266666666666666</v>
      </c>
      <c r="U510" s="88">
        <v>29.04000000000001</v>
      </c>
      <c r="V510" s="87" t="s">
        <v>3061</v>
      </c>
      <c r="W510" s="87" t="s">
        <v>3119</v>
      </c>
      <c r="X510" s="90" t="s">
        <v>3477</v>
      </c>
      <c r="Y510" s="89"/>
      <c r="Z510" s="89"/>
      <c r="AA510" s="89"/>
      <c r="AB510" s="89"/>
    </row>
    <row r="511" spans="1:28" s="31" customFormat="1" ht="60" customHeight="1" x14ac:dyDescent="0.2">
      <c r="A511" s="76">
        <v>510</v>
      </c>
      <c r="B511" s="77">
        <v>50000269</v>
      </c>
      <c r="C511" s="78" t="s">
        <v>1349</v>
      </c>
      <c r="D511" s="79">
        <v>0.05</v>
      </c>
      <c r="E511" s="80">
        <v>30049079</v>
      </c>
      <c r="F511" s="81" t="s">
        <v>1350</v>
      </c>
      <c r="G511" s="82" t="s">
        <v>1351</v>
      </c>
      <c r="H511" s="82" t="s">
        <v>3911</v>
      </c>
      <c r="I511" s="79" t="s">
        <v>2666</v>
      </c>
      <c r="J511" s="83">
        <v>44.9</v>
      </c>
      <c r="K511" s="83">
        <v>34.209523809523809</v>
      </c>
      <c r="L511" s="83">
        <v>31.358730158730157</v>
      </c>
      <c r="M511" s="84">
        <v>28.222857142857134</v>
      </c>
      <c r="N511" s="59">
        <f t="shared" si="7"/>
        <v>0.37142857142857161</v>
      </c>
      <c r="O511" s="85" t="s">
        <v>1091</v>
      </c>
      <c r="P511" s="86" t="s">
        <v>2826</v>
      </c>
      <c r="Q511" s="87" t="s">
        <v>3208</v>
      </c>
      <c r="R511" s="87">
        <v>10</v>
      </c>
      <c r="S511" s="88">
        <v>4.49</v>
      </c>
      <c r="T511" s="88">
        <v>3.1358730158730159</v>
      </c>
      <c r="U511" s="88">
        <v>2.8222857142857132</v>
      </c>
      <c r="V511" s="87" t="s">
        <v>3061</v>
      </c>
      <c r="W511" s="87" t="s">
        <v>3100</v>
      </c>
      <c r="X511" s="90" t="s">
        <v>3477</v>
      </c>
      <c r="Y511" s="89"/>
      <c r="Z511" s="89">
        <v>10</v>
      </c>
      <c r="AA511" s="89"/>
      <c r="AB511" s="89" t="s">
        <v>4672</v>
      </c>
    </row>
    <row r="512" spans="1:28" s="31" customFormat="1" ht="60" customHeight="1" x14ac:dyDescent="0.2">
      <c r="A512" s="76">
        <v>511</v>
      </c>
      <c r="B512" s="77">
        <v>50002968</v>
      </c>
      <c r="C512" s="78" t="s">
        <v>1352</v>
      </c>
      <c r="D512" s="79">
        <v>0.05</v>
      </c>
      <c r="E512" s="80">
        <v>30049069</v>
      </c>
      <c r="F512" s="81" t="s">
        <v>1353</v>
      </c>
      <c r="G512" s="82" t="s">
        <v>1354</v>
      </c>
      <c r="H512" s="82" t="s">
        <v>3912</v>
      </c>
      <c r="I512" s="79" t="s">
        <v>2666</v>
      </c>
      <c r="J512" s="83">
        <v>87.1</v>
      </c>
      <c r="K512" s="83">
        <v>66.361904761904754</v>
      </c>
      <c r="L512" s="83">
        <v>60.831746031746029</v>
      </c>
      <c r="M512" s="84">
        <v>54.748571428571424</v>
      </c>
      <c r="N512" s="59">
        <f t="shared" si="7"/>
        <v>0.37142857142857144</v>
      </c>
      <c r="O512" s="85" t="s">
        <v>1091</v>
      </c>
      <c r="P512" s="86" t="s">
        <v>4262</v>
      </c>
      <c r="Q512" s="87" t="s">
        <v>3208</v>
      </c>
      <c r="R512" s="87">
        <v>10</v>
      </c>
      <c r="S512" s="88">
        <v>8.7099999999999991</v>
      </c>
      <c r="T512" s="88">
        <v>6.0831746031746032</v>
      </c>
      <c r="U512" s="88">
        <v>5.4748571428571422</v>
      </c>
      <c r="V512" s="87" t="s">
        <v>3061</v>
      </c>
      <c r="W512" s="87" t="s">
        <v>3106</v>
      </c>
      <c r="X512" s="90" t="s">
        <v>3477</v>
      </c>
      <c r="Y512" s="89"/>
      <c r="Z512" s="89">
        <v>4</v>
      </c>
      <c r="AA512" s="89"/>
      <c r="AB512" s="89"/>
    </row>
    <row r="513" spans="1:28" s="31" customFormat="1" ht="60" customHeight="1" x14ac:dyDescent="0.2">
      <c r="A513" s="76">
        <v>512</v>
      </c>
      <c r="B513" s="77">
        <v>50000576</v>
      </c>
      <c r="C513" s="78" t="s">
        <v>1355</v>
      </c>
      <c r="D513" s="79">
        <v>0.05</v>
      </c>
      <c r="E513" s="80">
        <v>30049099</v>
      </c>
      <c r="F513" s="81" t="s">
        <v>1356</v>
      </c>
      <c r="G513" s="82" t="s">
        <v>1357</v>
      </c>
      <c r="H513" s="82" t="s">
        <v>1358</v>
      </c>
      <c r="I513" s="79" t="s">
        <v>2717</v>
      </c>
      <c r="J513" s="83">
        <v>25.14</v>
      </c>
      <c r="K513" s="83">
        <v>19.154285714285713</v>
      </c>
      <c r="L513" s="83">
        <v>9.5771428571428565</v>
      </c>
      <c r="M513" s="84">
        <v>8.6194285714285694</v>
      </c>
      <c r="N513" s="59">
        <f t="shared" si="7"/>
        <v>0.65714285714285714</v>
      </c>
      <c r="O513" s="85" t="s">
        <v>1091</v>
      </c>
      <c r="P513" s="86" t="s">
        <v>210</v>
      </c>
      <c r="Q513" s="87" t="s">
        <v>3207</v>
      </c>
      <c r="R513" s="87">
        <v>1</v>
      </c>
      <c r="S513" s="88">
        <v>25.14</v>
      </c>
      <c r="T513" s="88">
        <v>9.5771428571428565</v>
      </c>
      <c r="U513" s="88">
        <v>8.6194285714285694</v>
      </c>
      <c r="V513" s="87" t="s">
        <v>3065</v>
      </c>
      <c r="W513" s="87" t="s">
        <v>3106</v>
      </c>
      <c r="X513" s="90" t="s">
        <v>3479</v>
      </c>
      <c r="Y513" s="89"/>
      <c r="Z513" s="89">
        <v>12</v>
      </c>
      <c r="AA513" s="89"/>
      <c r="AB513" s="89"/>
    </row>
    <row r="514" spans="1:28" s="31" customFormat="1" ht="60" customHeight="1" x14ac:dyDescent="0.2">
      <c r="A514" s="76">
        <v>513</v>
      </c>
      <c r="B514" s="77">
        <v>50005140</v>
      </c>
      <c r="C514" s="78" t="s">
        <v>4157</v>
      </c>
      <c r="D514" s="79">
        <v>0.05</v>
      </c>
      <c r="E514" s="80">
        <v>33061020</v>
      </c>
      <c r="F514" s="81" t="s">
        <v>4158</v>
      </c>
      <c r="G514" s="82" t="s">
        <v>85</v>
      </c>
      <c r="H514" s="82" t="s">
        <v>85</v>
      </c>
      <c r="I514" s="79" t="s">
        <v>2828</v>
      </c>
      <c r="J514" s="83">
        <v>257</v>
      </c>
      <c r="K514" s="83">
        <v>195.8095238095238</v>
      </c>
      <c r="L514" s="83">
        <v>179.49206349206349</v>
      </c>
      <c r="M514" s="84">
        <v>161.54285714285714</v>
      </c>
      <c r="N514" s="59">
        <f t="shared" ref="N514:N577" si="8">(J514-M514)/J514</f>
        <v>0.37142857142857144</v>
      </c>
      <c r="O514" s="85" t="s">
        <v>1091</v>
      </c>
      <c r="P514" s="86" t="s">
        <v>4186</v>
      </c>
      <c r="Q514" s="87" t="s">
        <v>3208</v>
      </c>
      <c r="R514" s="87">
        <v>1</v>
      </c>
      <c r="S514" s="88">
        <v>257</v>
      </c>
      <c r="T514" s="88">
        <v>179.49206349206349</v>
      </c>
      <c r="U514" s="88">
        <v>161.54285714285714</v>
      </c>
      <c r="V514" s="87" t="s">
        <v>3066</v>
      </c>
      <c r="W514" s="87" t="s">
        <v>3112</v>
      </c>
      <c r="X514" s="90" t="s">
        <v>4193</v>
      </c>
      <c r="Y514" s="89"/>
      <c r="Z514" s="89"/>
      <c r="AA514" s="89" t="s">
        <v>3207</v>
      </c>
      <c r="AB514" s="89"/>
    </row>
    <row r="515" spans="1:28" s="31" customFormat="1" ht="60" customHeight="1" x14ac:dyDescent="0.2">
      <c r="A515" s="76">
        <v>514</v>
      </c>
      <c r="B515" s="77">
        <v>50000909</v>
      </c>
      <c r="C515" s="78" t="s">
        <v>1359</v>
      </c>
      <c r="D515" s="79">
        <v>0.05</v>
      </c>
      <c r="E515" s="80">
        <v>30049099</v>
      </c>
      <c r="F515" s="81" t="s">
        <v>1360</v>
      </c>
      <c r="G515" s="82" t="s">
        <v>1361</v>
      </c>
      <c r="H515" s="82" t="s">
        <v>3913</v>
      </c>
      <c r="I515" s="79" t="s">
        <v>2827</v>
      </c>
      <c r="J515" s="83">
        <v>99.82</v>
      </c>
      <c r="K515" s="83">
        <v>76.053333333333327</v>
      </c>
      <c r="L515" s="83">
        <v>69.715555555555554</v>
      </c>
      <c r="M515" s="84">
        <v>62.744000000000007</v>
      </c>
      <c r="N515" s="59">
        <f t="shared" si="8"/>
        <v>0.37142857142857133</v>
      </c>
      <c r="O515" s="85" t="s">
        <v>1091</v>
      </c>
      <c r="P515" s="86" t="s">
        <v>4122</v>
      </c>
      <c r="Q515" s="87" t="s">
        <v>3208</v>
      </c>
      <c r="R515" s="87">
        <v>1</v>
      </c>
      <c r="S515" s="88">
        <v>99.82</v>
      </c>
      <c r="T515" s="88">
        <v>69.715555555555554</v>
      </c>
      <c r="U515" s="88">
        <v>62.744000000000007</v>
      </c>
      <c r="V515" s="87" t="s">
        <v>3066</v>
      </c>
      <c r="W515" s="87" t="s">
        <v>3109</v>
      </c>
      <c r="X515" s="90" t="s">
        <v>3486</v>
      </c>
      <c r="Y515" s="89"/>
      <c r="Z515" s="89">
        <v>1</v>
      </c>
      <c r="AA515" s="89" t="s">
        <v>3207</v>
      </c>
      <c r="AB515" s="89"/>
    </row>
    <row r="516" spans="1:28" s="31" customFormat="1" ht="60" customHeight="1" x14ac:dyDescent="0.2">
      <c r="A516" s="76">
        <v>515</v>
      </c>
      <c r="B516" s="77">
        <v>50000850</v>
      </c>
      <c r="C516" s="78" t="s">
        <v>1359</v>
      </c>
      <c r="D516" s="79">
        <v>0.05</v>
      </c>
      <c r="E516" s="80">
        <v>30049099</v>
      </c>
      <c r="F516" s="81" t="s">
        <v>1360</v>
      </c>
      <c r="G516" s="82" t="s">
        <v>1362</v>
      </c>
      <c r="H516" s="82" t="s">
        <v>3913</v>
      </c>
      <c r="I516" s="79" t="s">
        <v>2828</v>
      </c>
      <c r="J516" s="83">
        <v>154.68</v>
      </c>
      <c r="K516" s="83">
        <v>117.85142857142857</v>
      </c>
      <c r="L516" s="83">
        <v>108.03047619047619</v>
      </c>
      <c r="M516" s="84">
        <v>97.227428571428575</v>
      </c>
      <c r="N516" s="59">
        <f t="shared" si="8"/>
        <v>0.37142857142857144</v>
      </c>
      <c r="O516" s="85" t="s">
        <v>1091</v>
      </c>
      <c r="P516" s="86" t="s">
        <v>4263</v>
      </c>
      <c r="Q516" s="87" t="s">
        <v>3208</v>
      </c>
      <c r="R516" s="87">
        <v>1</v>
      </c>
      <c r="S516" s="88">
        <v>154.68</v>
      </c>
      <c r="T516" s="88">
        <v>108.03047619047619</v>
      </c>
      <c r="U516" s="88">
        <v>97.227428571428575</v>
      </c>
      <c r="V516" s="87" t="s">
        <v>3066</v>
      </c>
      <c r="W516" s="87" t="s">
        <v>3109</v>
      </c>
      <c r="X516" s="90" t="s">
        <v>3486</v>
      </c>
      <c r="Y516" s="89"/>
      <c r="Z516" s="89">
        <v>1</v>
      </c>
      <c r="AA516" s="89" t="s">
        <v>3207</v>
      </c>
      <c r="AB516" s="89"/>
    </row>
    <row r="517" spans="1:28" s="31" customFormat="1" ht="60" customHeight="1" x14ac:dyDescent="0.2">
      <c r="A517" s="76">
        <v>516</v>
      </c>
      <c r="B517" s="77">
        <v>50002982</v>
      </c>
      <c r="C517" s="78" t="s">
        <v>1363</v>
      </c>
      <c r="D517" s="79">
        <v>0.05</v>
      </c>
      <c r="E517" s="80">
        <v>30049099</v>
      </c>
      <c r="F517" s="81" t="s">
        <v>1364</v>
      </c>
      <c r="G517" s="82" t="s">
        <v>1365</v>
      </c>
      <c r="H517" s="82" t="s">
        <v>3914</v>
      </c>
      <c r="I517" s="79" t="s">
        <v>2829</v>
      </c>
      <c r="J517" s="83">
        <v>175.02</v>
      </c>
      <c r="K517" s="83">
        <v>133.34857142857143</v>
      </c>
      <c r="L517" s="83">
        <v>111.12380952380953</v>
      </c>
      <c r="M517" s="84">
        <v>100.01142857142858</v>
      </c>
      <c r="N517" s="59">
        <f t="shared" si="8"/>
        <v>0.42857142857142855</v>
      </c>
      <c r="O517" s="85" t="s">
        <v>1091</v>
      </c>
      <c r="P517" s="86" t="s">
        <v>53</v>
      </c>
      <c r="Q517" s="87" t="s">
        <v>3208</v>
      </c>
      <c r="R517" s="87">
        <v>1</v>
      </c>
      <c r="S517" s="88">
        <v>175.02</v>
      </c>
      <c r="T517" s="88">
        <v>111.12380952380953</v>
      </c>
      <c r="U517" s="88">
        <v>100.01142857142858</v>
      </c>
      <c r="V517" s="87" t="s">
        <v>3062</v>
      </c>
      <c r="W517" s="87" t="s">
        <v>3109</v>
      </c>
      <c r="X517" s="90" t="s">
        <v>3498</v>
      </c>
      <c r="Y517" s="89"/>
      <c r="Z517" s="89">
        <v>1</v>
      </c>
      <c r="AA517" s="89" t="s">
        <v>3207</v>
      </c>
      <c r="AB517" s="89"/>
    </row>
    <row r="518" spans="1:28" s="31" customFormat="1" ht="60" customHeight="1" x14ac:dyDescent="0.2">
      <c r="A518" s="76">
        <v>517</v>
      </c>
      <c r="B518" s="77">
        <v>50000236</v>
      </c>
      <c r="C518" s="78" t="s">
        <v>1366</v>
      </c>
      <c r="D518" s="79">
        <v>0.05</v>
      </c>
      <c r="E518" s="80">
        <v>30049099</v>
      </c>
      <c r="F518" s="81" t="s">
        <v>1367</v>
      </c>
      <c r="G518" s="82" t="s">
        <v>1368</v>
      </c>
      <c r="H518" s="82" t="s">
        <v>246</v>
      </c>
      <c r="I518" s="79" t="s">
        <v>2666</v>
      </c>
      <c r="J518" s="83">
        <v>230.72</v>
      </c>
      <c r="K518" s="83">
        <v>175.78666666666666</v>
      </c>
      <c r="L518" s="83">
        <v>161.13777777777776</v>
      </c>
      <c r="M518" s="84">
        <v>145.02399999999997</v>
      </c>
      <c r="N518" s="59">
        <f t="shared" si="8"/>
        <v>0.37142857142857155</v>
      </c>
      <c r="O518" s="85" t="s">
        <v>1091</v>
      </c>
      <c r="P518" s="86" t="s">
        <v>2830</v>
      </c>
      <c r="Q518" s="87" t="s">
        <v>3208</v>
      </c>
      <c r="R518" s="87">
        <v>10</v>
      </c>
      <c r="S518" s="88">
        <v>23.071999999999999</v>
      </c>
      <c r="T518" s="88">
        <v>16.113777777777777</v>
      </c>
      <c r="U518" s="88">
        <v>14.502399999999998</v>
      </c>
      <c r="V518" s="87" t="s">
        <v>3061</v>
      </c>
      <c r="W518" s="87" t="s">
        <v>3116</v>
      </c>
      <c r="X518" s="90" t="s">
        <v>3477</v>
      </c>
      <c r="Y518" s="89"/>
      <c r="Z518" s="89">
        <v>6</v>
      </c>
      <c r="AA518" s="89"/>
      <c r="AB518" s="89"/>
    </row>
    <row r="519" spans="1:28" s="31" customFormat="1" ht="60" customHeight="1" x14ac:dyDescent="0.2">
      <c r="A519" s="76">
        <v>518</v>
      </c>
      <c r="B519" s="77">
        <v>50002512</v>
      </c>
      <c r="C519" s="78" t="s">
        <v>1369</v>
      </c>
      <c r="D519" s="79">
        <v>0.05</v>
      </c>
      <c r="E519" s="80">
        <v>30045090</v>
      </c>
      <c r="F519" s="81" t="s">
        <v>1370</v>
      </c>
      <c r="G519" s="82" t="s">
        <v>1371</v>
      </c>
      <c r="H519" s="82" t="s">
        <v>3915</v>
      </c>
      <c r="I519" s="79" t="s">
        <v>2666</v>
      </c>
      <c r="J519" s="83">
        <v>134.97999999999999</v>
      </c>
      <c r="K519" s="83">
        <v>102.84190476190474</v>
      </c>
      <c r="L519" s="83">
        <v>94.271746031746019</v>
      </c>
      <c r="M519" s="84">
        <v>84.844571428571427</v>
      </c>
      <c r="N519" s="59">
        <f t="shared" si="8"/>
        <v>0.37142857142857139</v>
      </c>
      <c r="O519" s="85" t="s">
        <v>1091</v>
      </c>
      <c r="P519" s="86" t="s">
        <v>2729</v>
      </c>
      <c r="Q519" s="87" t="s">
        <v>3208</v>
      </c>
      <c r="R519" s="87">
        <v>10</v>
      </c>
      <c r="S519" s="88">
        <v>13.497999999999999</v>
      </c>
      <c r="T519" s="88">
        <v>9.4271746031746027</v>
      </c>
      <c r="U519" s="88">
        <v>8.484457142857142</v>
      </c>
      <c r="V519" s="87" t="s">
        <v>3061</v>
      </c>
      <c r="W519" s="87" t="s">
        <v>3108</v>
      </c>
      <c r="X519" s="90" t="s">
        <v>3477</v>
      </c>
      <c r="Y519" s="89"/>
      <c r="Z519" s="89">
        <v>6</v>
      </c>
      <c r="AA519" s="89"/>
      <c r="AB519" s="89"/>
    </row>
    <row r="520" spans="1:28" s="31" customFormat="1" ht="60" customHeight="1" x14ac:dyDescent="0.2">
      <c r="A520" s="76">
        <v>519</v>
      </c>
      <c r="B520" s="77">
        <v>50000065</v>
      </c>
      <c r="C520" s="78" t="s">
        <v>1372</v>
      </c>
      <c r="D520" s="79">
        <v>0.05</v>
      </c>
      <c r="E520" s="80">
        <v>30042064</v>
      </c>
      <c r="F520" s="81" t="s">
        <v>1373</v>
      </c>
      <c r="G520" s="82" t="s">
        <v>1374</v>
      </c>
      <c r="H520" s="82" t="s">
        <v>323</v>
      </c>
      <c r="I520" s="79" t="s">
        <v>2831</v>
      </c>
      <c r="J520" s="83">
        <v>32.5</v>
      </c>
      <c r="K520" s="83">
        <v>24.761904761904763</v>
      </c>
      <c r="L520" s="83">
        <v>22.698412698412699</v>
      </c>
      <c r="M520" s="84">
        <v>20.428571428571427</v>
      </c>
      <c r="N520" s="59">
        <f t="shared" si="8"/>
        <v>0.3714285714285715</v>
      </c>
      <c r="O520" s="85" t="s">
        <v>1091</v>
      </c>
      <c r="P520" s="86" t="s">
        <v>21</v>
      </c>
      <c r="Q520" s="87" t="s">
        <v>3208</v>
      </c>
      <c r="R520" s="87">
        <v>3</v>
      </c>
      <c r="S520" s="88">
        <v>10.833333333333334</v>
      </c>
      <c r="T520" s="88">
        <v>7.5661375661375665</v>
      </c>
      <c r="U520" s="88">
        <v>6.8095238095238093</v>
      </c>
      <c r="V520" s="87" t="s">
        <v>3061</v>
      </c>
      <c r="W520" s="87" t="s">
        <v>3102</v>
      </c>
      <c r="X520" s="90" t="s">
        <v>3477</v>
      </c>
      <c r="Y520" s="89"/>
      <c r="Z520" s="89">
        <v>8</v>
      </c>
      <c r="AA520" s="89"/>
      <c r="AB520" s="89"/>
    </row>
    <row r="521" spans="1:28" s="31" customFormat="1" ht="60" customHeight="1" x14ac:dyDescent="0.2">
      <c r="A521" s="76">
        <v>520</v>
      </c>
      <c r="B521" s="77">
        <v>50003245</v>
      </c>
      <c r="C521" s="78" t="s">
        <v>1375</v>
      </c>
      <c r="D521" s="79">
        <v>0.05</v>
      </c>
      <c r="E521" s="80">
        <v>30042064</v>
      </c>
      <c r="F521" s="81" t="s">
        <v>1376</v>
      </c>
      <c r="G521" s="82" t="s">
        <v>1377</v>
      </c>
      <c r="H521" s="82" t="s">
        <v>66</v>
      </c>
      <c r="I521" s="79" t="s">
        <v>2666</v>
      </c>
      <c r="J521" s="83">
        <v>124.33</v>
      </c>
      <c r="K521" s="83">
        <v>94.727619047619044</v>
      </c>
      <c r="L521" s="83">
        <v>78.939682539682536</v>
      </c>
      <c r="M521" s="84">
        <v>78.939682539682536</v>
      </c>
      <c r="N521" s="59">
        <f t="shared" si="8"/>
        <v>0.36507936507936511</v>
      </c>
      <c r="O521" s="85" t="s">
        <v>1091</v>
      </c>
      <c r="P521" s="86" t="s">
        <v>2689</v>
      </c>
      <c r="Q521" s="87" t="s">
        <v>3207</v>
      </c>
      <c r="R521" s="87">
        <v>10</v>
      </c>
      <c r="S521" s="88">
        <v>12.433</v>
      </c>
      <c r="T521" s="88">
        <v>7.8939682539682536</v>
      </c>
      <c r="U521" s="88">
        <v>7.8939682539682536</v>
      </c>
      <c r="V521" s="87" t="s">
        <v>3061</v>
      </c>
      <c r="W521" s="87" t="s">
        <v>3102</v>
      </c>
      <c r="X521" s="90" t="s">
        <v>3477</v>
      </c>
      <c r="Y521" s="89"/>
      <c r="Z521" s="89">
        <v>4</v>
      </c>
      <c r="AA521" s="89"/>
      <c r="AB521" s="89"/>
    </row>
    <row r="522" spans="1:28" s="31" customFormat="1" ht="60" customHeight="1" x14ac:dyDescent="0.2">
      <c r="A522" s="76">
        <v>521</v>
      </c>
      <c r="B522" s="77">
        <v>50002984</v>
      </c>
      <c r="C522" s="78" t="s">
        <v>1378</v>
      </c>
      <c r="D522" s="79">
        <v>0.05</v>
      </c>
      <c r="E522" s="80">
        <v>30042064</v>
      </c>
      <c r="F522" s="81" t="s">
        <v>1379</v>
      </c>
      <c r="G522" s="82" t="s">
        <v>1380</v>
      </c>
      <c r="H522" s="82" t="s">
        <v>72</v>
      </c>
      <c r="I522" s="79" t="s">
        <v>2752</v>
      </c>
      <c r="J522" s="83">
        <v>125.82</v>
      </c>
      <c r="K522" s="83">
        <v>95.862857142857138</v>
      </c>
      <c r="L522" s="83">
        <v>79.885714285714286</v>
      </c>
      <c r="M522" s="84">
        <v>79.885714285714286</v>
      </c>
      <c r="N522" s="59">
        <f t="shared" si="8"/>
        <v>0.36507936507936506</v>
      </c>
      <c r="O522" s="85" t="s">
        <v>1091</v>
      </c>
      <c r="P522" s="86" t="s">
        <v>2689</v>
      </c>
      <c r="Q522" s="87" t="s">
        <v>3207</v>
      </c>
      <c r="R522" s="87">
        <v>5</v>
      </c>
      <c r="S522" s="88">
        <v>25.163999999999998</v>
      </c>
      <c r="T522" s="88">
        <v>15.977142857142857</v>
      </c>
      <c r="U522" s="88">
        <v>15.977142857142857</v>
      </c>
      <c r="V522" s="87" t="s">
        <v>3061</v>
      </c>
      <c r="W522" s="87" t="s">
        <v>3102</v>
      </c>
      <c r="X522" s="90" t="s">
        <v>3477</v>
      </c>
      <c r="Y522" s="89"/>
      <c r="Z522" s="89">
        <v>6</v>
      </c>
      <c r="AA522" s="89"/>
      <c r="AB522" s="89"/>
    </row>
    <row r="523" spans="1:28" s="31" customFormat="1" ht="60" customHeight="1" x14ac:dyDescent="0.2">
      <c r="A523" s="76">
        <v>522</v>
      </c>
      <c r="B523" s="77">
        <v>50004795</v>
      </c>
      <c r="C523" s="78" t="s">
        <v>1381</v>
      </c>
      <c r="D523" s="79">
        <v>0.05</v>
      </c>
      <c r="E523" s="80">
        <v>30042064</v>
      </c>
      <c r="F523" s="81" t="s">
        <v>1382</v>
      </c>
      <c r="G523" s="82" t="s">
        <v>1374</v>
      </c>
      <c r="H523" s="82" t="s">
        <v>569</v>
      </c>
      <c r="I523" s="79" t="s">
        <v>2678</v>
      </c>
      <c r="J523" s="83">
        <v>90.62</v>
      </c>
      <c r="K523" s="83">
        <v>69.043809523809529</v>
      </c>
      <c r="L523" s="83">
        <v>63.290158730158737</v>
      </c>
      <c r="M523" s="84">
        <v>56.961142857142889</v>
      </c>
      <c r="N523" s="59">
        <f t="shared" si="8"/>
        <v>0.37142857142857111</v>
      </c>
      <c r="O523" s="85" t="s">
        <v>1091</v>
      </c>
      <c r="P523" s="86" t="s">
        <v>3465</v>
      </c>
      <c r="Q523" s="87" t="s">
        <v>3208</v>
      </c>
      <c r="R523" s="87">
        <v>1</v>
      </c>
      <c r="S523" s="88">
        <v>90.62</v>
      </c>
      <c r="T523" s="88">
        <v>63.290158730158737</v>
      </c>
      <c r="U523" s="88">
        <v>56.961142857142889</v>
      </c>
      <c r="V523" s="87" t="s">
        <v>3062</v>
      </c>
      <c r="W523" s="87" t="s">
        <v>3102</v>
      </c>
      <c r="X523" s="90" t="s">
        <v>3480</v>
      </c>
      <c r="Y523" s="89"/>
      <c r="Z523" s="89">
        <v>1</v>
      </c>
      <c r="AA523" s="89"/>
      <c r="AB523" s="89"/>
    </row>
    <row r="524" spans="1:28" s="31" customFormat="1" ht="60" customHeight="1" x14ac:dyDescent="0.2">
      <c r="A524" s="76">
        <v>523</v>
      </c>
      <c r="B524" s="77">
        <v>50003023</v>
      </c>
      <c r="C524" s="78" t="s">
        <v>1383</v>
      </c>
      <c r="D524" s="79">
        <v>0.05</v>
      </c>
      <c r="E524" s="80">
        <v>30042064</v>
      </c>
      <c r="F524" s="81" t="s">
        <v>1384</v>
      </c>
      <c r="G524" s="82" t="s">
        <v>1385</v>
      </c>
      <c r="H524" s="82" t="s">
        <v>52</v>
      </c>
      <c r="I524" s="79" t="s">
        <v>2678</v>
      </c>
      <c r="J524" s="83">
        <v>108.94</v>
      </c>
      <c r="K524" s="83">
        <v>83.001904761904754</v>
      </c>
      <c r="L524" s="83">
        <v>76.085079365079352</v>
      </c>
      <c r="M524" s="84">
        <v>68.476571428571404</v>
      </c>
      <c r="N524" s="59">
        <f t="shared" si="8"/>
        <v>0.37142857142857166</v>
      </c>
      <c r="O524" s="85" t="s">
        <v>1091</v>
      </c>
      <c r="P524" s="86" t="s">
        <v>81</v>
      </c>
      <c r="Q524" s="87" t="s">
        <v>3207</v>
      </c>
      <c r="R524" s="87">
        <v>1</v>
      </c>
      <c r="S524" s="88">
        <v>108.94</v>
      </c>
      <c r="T524" s="88">
        <v>76.085079365079352</v>
      </c>
      <c r="U524" s="88">
        <v>68.476571428571404</v>
      </c>
      <c r="V524" s="87" t="s">
        <v>3062</v>
      </c>
      <c r="W524" s="87" t="s">
        <v>3102</v>
      </c>
      <c r="X524" s="90" t="s">
        <v>3480</v>
      </c>
      <c r="Y524" s="89"/>
      <c r="Z524" s="89">
        <v>1</v>
      </c>
      <c r="AA524" s="89"/>
      <c r="AB524" s="89"/>
    </row>
    <row r="525" spans="1:28" s="31" customFormat="1" ht="60" customHeight="1" x14ac:dyDescent="0.2">
      <c r="A525" s="76">
        <v>524</v>
      </c>
      <c r="B525" s="77">
        <v>50000500</v>
      </c>
      <c r="C525" s="78" t="s">
        <v>1386</v>
      </c>
      <c r="D525" s="79">
        <v>0.05</v>
      </c>
      <c r="E525" s="80">
        <v>30049099</v>
      </c>
      <c r="F525" s="81" t="s">
        <v>1387</v>
      </c>
      <c r="G525" s="82" t="s">
        <v>1388</v>
      </c>
      <c r="H525" s="82" t="s">
        <v>30</v>
      </c>
      <c r="I525" s="79" t="s">
        <v>2666</v>
      </c>
      <c r="J525" s="83">
        <v>48.12</v>
      </c>
      <c r="K525" s="83">
        <v>36.662857142857142</v>
      </c>
      <c r="L525" s="83">
        <v>36.662857142857142</v>
      </c>
      <c r="M525" s="84">
        <v>32.996571428571436</v>
      </c>
      <c r="N525" s="59">
        <f t="shared" si="8"/>
        <v>0.31428571428571411</v>
      </c>
      <c r="O525" s="85" t="s">
        <v>1091</v>
      </c>
      <c r="P525" s="86" t="s">
        <v>95</v>
      </c>
      <c r="Q525" s="87" t="s">
        <v>3207</v>
      </c>
      <c r="R525" s="87">
        <v>10</v>
      </c>
      <c r="S525" s="88">
        <v>4.8119999999999994</v>
      </c>
      <c r="T525" s="88">
        <v>3.6662857142857144</v>
      </c>
      <c r="U525" s="88">
        <v>3.2996571428571437</v>
      </c>
      <c r="V525" s="87" t="s">
        <v>3061</v>
      </c>
      <c r="W525" s="87" t="s">
        <v>3107</v>
      </c>
      <c r="X525" s="90" t="s">
        <v>3477</v>
      </c>
      <c r="Y525" s="89"/>
      <c r="Z525" s="89">
        <v>4</v>
      </c>
      <c r="AA525" s="89"/>
      <c r="AB525" s="89"/>
    </row>
    <row r="526" spans="1:28" s="31" customFormat="1" ht="60" customHeight="1" x14ac:dyDescent="0.2">
      <c r="A526" s="76">
        <v>525</v>
      </c>
      <c r="B526" s="77">
        <v>50003194</v>
      </c>
      <c r="C526" s="78" t="s">
        <v>1389</v>
      </c>
      <c r="D526" s="79">
        <v>0.05</v>
      </c>
      <c r="E526" s="80">
        <v>30049099</v>
      </c>
      <c r="F526" s="81" t="s">
        <v>1390</v>
      </c>
      <c r="G526" s="82" t="s">
        <v>1391</v>
      </c>
      <c r="H526" s="82" t="s">
        <v>3916</v>
      </c>
      <c r="I526" s="79" t="s">
        <v>2666</v>
      </c>
      <c r="J526" s="83">
        <v>87.08</v>
      </c>
      <c r="K526" s="83">
        <v>66.346666666666664</v>
      </c>
      <c r="L526" s="83">
        <v>60.817777777777771</v>
      </c>
      <c r="M526" s="84">
        <v>54.736000000000018</v>
      </c>
      <c r="N526" s="59">
        <f t="shared" si="8"/>
        <v>0.37142857142857122</v>
      </c>
      <c r="O526" s="85" t="s">
        <v>1091</v>
      </c>
      <c r="P526" s="86" t="s">
        <v>4776</v>
      </c>
      <c r="Q526" s="87" t="s">
        <v>3208</v>
      </c>
      <c r="R526" s="87">
        <v>10</v>
      </c>
      <c r="S526" s="88">
        <v>8.7080000000000002</v>
      </c>
      <c r="T526" s="88">
        <v>6.0817777777777771</v>
      </c>
      <c r="U526" s="88">
        <v>5.473600000000002</v>
      </c>
      <c r="V526" s="87" t="s">
        <v>3061</v>
      </c>
      <c r="W526" s="87" t="s">
        <v>3107</v>
      </c>
      <c r="X526" s="90" t="s">
        <v>3477</v>
      </c>
      <c r="Y526" s="89"/>
      <c r="Z526" s="89">
        <v>4</v>
      </c>
      <c r="AA526" s="89"/>
      <c r="AB526" s="89"/>
    </row>
    <row r="527" spans="1:28" s="31" customFormat="1" ht="60" customHeight="1" x14ac:dyDescent="0.2">
      <c r="A527" s="76">
        <v>526</v>
      </c>
      <c r="B527" s="77">
        <v>50000525</v>
      </c>
      <c r="C527" s="78" t="s">
        <v>1392</v>
      </c>
      <c r="D527" s="79">
        <v>0.05</v>
      </c>
      <c r="E527" s="80">
        <v>30045020</v>
      </c>
      <c r="F527" s="81" t="s">
        <v>1393</v>
      </c>
      <c r="G527" s="82" t="s">
        <v>1394</v>
      </c>
      <c r="H527" s="82" t="s">
        <v>1395</v>
      </c>
      <c r="I527" s="79" t="s">
        <v>2704</v>
      </c>
      <c r="J527" s="83">
        <v>84.52</v>
      </c>
      <c r="K527" s="83">
        <v>64.396190476190469</v>
      </c>
      <c r="L527" s="83">
        <v>53.663492063492058</v>
      </c>
      <c r="M527" s="84">
        <v>48.297142857142845</v>
      </c>
      <c r="N527" s="59">
        <f t="shared" si="8"/>
        <v>0.42857142857142871</v>
      </c>
      <c r="O527" s="85" t="s">
        <v>1091</v>
      </c>
      <c r="P527" s="86" t="s">
        <v>4661</v>
      </c>
      <c r="Q527" s="87" t="s">
        <v>3208</v>
      </c>
      <c r="R527" s="87">
        <v>1</v>
      </c>
      <c r="S527" s="88">
        <v>84.52</v>
      </c>
      <c r="T527" s="88">
        <v>53.663492063492058</v>
      </c>
      <c r="U527" s="88">
        <v>48.297142857142845</v>
      </c>
      <c r="V527" s="87" t="s">
        <v>3062</v>
      </c>
      <c r="W527" s="87" t="s">
        <v>3108</v>
      </c>
      <c r="X527" s="90" t="s">
        <v>3480</v>
      </c>
      <c r="Y527" s="89"/>
      <c r="Z527" s="89">
        <v>1</v>
      </c>
      <c r="AA527" s="89"/>
      <c r="AB527" s="89"/>
    </row>
    <row r="528" spans="1:28" s="31" customFormat="1" ht="60" customHeight="1" x14ac:dyDescent="0.2">
      <c r="A528" s="76">
        <v>527</v>
      </c>
      <c r="B528" s="77">
        <v>50002169</v>
      </c>
      <c r="C528" s="78" t="s">
        <v>1396</v>
      </c>
      <c r="D528" s="79">
        <v>0.18</v>
      </c>
      <c r="E528" s="80">
        <v>33049910</v>
      </c>
      <c r="F528" s="81" t="s">
        <v>1397</v>
      </c>
      <c r="G528" s="82" t="s">
        <v>1398</v>
      </c>
      <c r="H528" s="82" t="s">
        <v>3917</v>
      </c>
      <c r="I528" s="79" t="s">
        <v>2827</v>
      </c>
      <c r="J528" s="83">
        <v>220</v>
      </c>
      <c r="K528" s="83">
        <v>149.15254237288136</v>
      </c>
      <c r="L528" s="83">
        <v>124.29378531073446</v>
      </c>
      <c r="M528" s="84">
        <v>114.73272490221643</v>
      </c>
      <c r="N528" s="59">
        <f t="shared" si="8"/>
        <v>0.4784876140808344</v>
      </c>
      <c r="O528" s="85" t="s">
        <v>1399</v>
      </c>
      <c r="P528" s="86" t="s">
        <v>1400</v>
      </c>
      <c r="Q528" s="87" t="s">
        <v>3208</v>
      </c>
      <c r="R528" s="87">
        <v>1</v>
      </c>
      <c r="S528" s="88">
        <v>220</v>
      </c>
      <c r="T528" s="88">
        <v>124.29378531073446</v>
      </c>
      <c r="U528" s="88">
        <v>114.73272490221643</v>
      </c>
      <c r="V528" s="87" t="s">
        <v>3068</v>
      </c>
      <c r="W528" s="87" t="s">
        <v>3104</v>
      </c>
      <c r="X528" s="90" t="s">
        <v>3481</v>
      </c>
      <c r="Y528" s="89"/>
      <c r="Z528" s="89">
        <v>1</v>
      </c>
      <c r="AA528" s="89"/>
      <c r="AB528" s="89"/>
    </row>
    <row r="529" spans="1:28" s="31" customFormat="1" ht="60" customHeight="1" x14ac:dyDescent="0.2">
      <c r="A529" s="76">
        <v>528</v>
      </c>
      <c r="B529" s="77">
        <v>50002452</v>
      </c>
      <c r="C529" s="78" t="s">
        <v>1401</v>
      </c>
      <c r="D529" s="79">
        <v>0.18</v>
      </c>
      <c r="E529" s="80">
        <v>34011190</v>
      </c>
      <c r="F529" s="81" t="s">
        <v>1402</v>
      </c>
      <c r="G529" s="82" t="s">
        <v>1402</v>
      </c>
      <c r="H529" s="82" t="s">
        <v>85</v>
      </c>
      <c r="I529" s="79" t="s">
        <v>2684</v>
      </c>
      <c r="J529" s="83">
        <v>189</v>
      </c>
      <c r="K529" s="83">
        <v>128.13559322033899</v>
      </c>
      <c r="L529" s="83">
        <v>106.77966101694915</v>
      </c>
      <c r="M529" s="84">
        <v>98.565840938722303</v>
      </c>
      <c r="N529" s="59">
        <f t="shared" si="8"/>
        <v>0.4784876140808344</v>
      </c>
      <c r="O529" s="85" t="s">
        <v>1399</v>
      </c>
      <c r="P529" s="86" t="s">
        <v>235</v>
      </c>
      <c r="Q529" s="87" t="s">
        <v>3208</v>
      </c>
      <c r="R529" s="87">
        <v>1</v>
      </c>
      <c r="S529" s="88">
        <v>189</v>
      </c>
      <c r="T529" s="88">
        <v>106.77966101694915</v>
      </c>
      <c r="U529" s="88">
        <v>98.565840938722303</v>
      </c>
      <c r="V529" s="87" t="s">
        <v>3063</v>
      </c>
      <c r="W529" s="87" t="s">
        <v>3104</v>
      </c>
      <c r="X529" s="90" t="s">
        <v>3488</v>
      </c>
      <c r="Y529" s="89"/>
      <c r="Z529" s="89">
        <v>1</v>
      </c>
      <c r="AA529" s="89"/>
      <c r="AB529" s="89"/>
    </row>
    <row r="530" spans="1:28" s="31" customFormat="1" ht="60" customHeight="1" x14ac:dyDescent="0.2">
      <c r="A530" s="76">
        <v>529</v>
      </c>
      <c r="B530" s="77">
        <v>50001995</v>
      </c>
      <c r="C530" s="78" t="s">
        <v>1403</v>
      </c>
      <c r="D530" s="79">
        <v>0.05</v>
      </c>
      <c r="E530" s="80">
        <v>30049099</v>
      </c>
      <c r="F530" s="81" t="s">
        <v>1404</v>
      </c>
      <c r="G530" s="82" t="s">
        <v>1405</v>
      </c>
      <c r="H530" s="82" t="s">
        <v>3918</v>
      </c>
      <c r="I530" s="79" t="s">
        <v>2832</v>
      </c>
      <c r="J530" s="83">
        <v>66.91</v>
      </c>
      <c r="K530" s="83">
        <v>50.97904761904762</v>
      </c>
      <c r="L530" s="83">
        <v>36.413605442176873</v>
      </c>
      <c r="M530" s="84">
        <v>36.413605442176866</v>
      </c>
      <c r="N530" s="59">
        <f t="shared" si="8"/>
        <v>0.45578231292517013</v>
      </c>
      <c r="O530" s="85" t="s">
        <v>1399</v>
      </c>
      <c r="P530" s="86" t="s">
        <v>4740</v>
      </c>
      <c r="Q530" s="87" t="s">
        <v>3208</v>
      </c>
      <c r="R530" s="87">
        <v>1</v>
      </c>
      <c r="S530" s="88">
        <v>66.91</v>
      </c>
      <c r="T530" s="88">
        <v>36.413605442176873</v>
      </c>
      <c r="U530" s="88">
        <v>36.413605442176866</v>
      </c>
      <c r="V530" s="87" t="s">
        <v>3064</v>
      </c>
      <c r="W530" s="87" t="s">
        <v>3108</v>
      </c>
      <c r="X530" s="90" t="s">
        <v>3489</v>
      </c>
      <c r="Y530" s="89"/>
      <c r="Z530" s="89">
        <v>18</v>
      </c>
      <c r="AA530" s="89" t="s">
        <v>3207</v>
      </c>
      <c r="AB530" s="89"/>
    </row>
    <row r="531" spans="1:28" s="31" customFormat="1" ht="60" customHeight="1" x14ac:dyDescent="0.2">
      <c r="A531" s="76">
        <v>530</v>
      </c>
      <c r="B531" s="77">
        <v>50001153</v>
      </c>
      <c r="C531" s="78" t="s">
        <v>1406</v>
      </c>
      <c r="D531" s="79">
        <v>0.05</v>
      </c>
      <c r="E531" s="80">
        <v>30049099</v>
      </c>
      <c r="F531" s="81" t="s">
        <v>1407</v>
      </c>
      <c r="G531" s="82" t="s">
        <v>1408</v>
      </c>
      <c r="H531" s="82" t="s">
        <v>3919</v>
      </c>
      <c r="I531" s="79" t="s">
        <v>2666</v>
      </c>
      <c r="J531" s="83">
        <v>48.07</v>
      </c>
      <c r="K531" s="83">
        <v>36.624761904761904</v>
      </c>
      <c r="L531" s="83">
        <v>36.624761904761904</v>
      </c>
      <c r="M531" s="84">
        <v>32.962285714285713</v>
      </c>
      <c r="N531" s="59">
        <f t="shared" si="8"/>
        <v>0.31428571428571433</v>
      </c>
      <c r="O531" s="85" t="s">
        <v>1399</v>
      </c>
      <c r="P531" s="86" t="s">
        <v>3655</v>
      </c>
      <c r="Q531" s="87" t="s">
        <v>3208</v>
      </c>
      <c r="R531" s="87">
        <v>10</v>
      </c>
      <c r="S531" s="88">
        <v>4.8070000000000004</v>
      </c>
      <c r="T531" s="88">
        <v>3.6624761904761902</v>
      </c>
      <c r="U531" s="88">
        <v>3.2962285714285713</v>
      </c>
      <c r="V531" s="87" t="s">
        <v>3061</v>
      </c>
      <c r="W531" s="87" t="s">
        <v>3103</v>
      </c>
      <c r="X531" s="90" t="s">
        <v>3477</v>
      </c>
      <c r="Y531" s="89"/>
      <c r="Z531" s="89">
        <v>10</v>
      </c>
      <c r="AA531" s="89" t="s">
        <v>3207</v>
      </c>
      <c r="AB531" s="89" t="s">
        <v>4613</v>
      </c>
    </row>
    <row r="532" spans="1:28" s="31" customFormat="1" ht="60" customHeight="1" x14ac:dyDescent="0.2">
      <c r="A532" s="76">
        <v>531</v>
      </c>
      <c r="B532" s="77">
        <v>50001021</v>
      </c>
      <c r="C532" s="78" t="s">
        <v>1409</v>
      </c>
      <c r="D532" s="79">
        <v>0.05</v>
      </c>
      <c r="E532" s="80">
        <v>30049099</v>
      </c>
      <c r="F532" s="81" t="s">
        <v>1410</v>
      </c>
      <c r="G532" s="82" t="s">
        <v>1411</v>
      </c>
      <c r="H532" s="82" t="s">
        <v>4085</v>
      </c>
      <c r="I532" s="79" t="s">
        <v>2680</v>
      </c>
      <c r="J532" s="83">
        <v>80.12</v>
      </c>
      <c r="K532" s="83">
        <v>61.043809523809522</v>
      </c>
      <c r="L532" s="83">
        <v>46.509569160997728</v>
      </c>
      <c r="M532" s="84">
        <v>41.858612244897962</v>
      </c>
      <c r="N532" s="59">
        <f t="shared" si="8"/>
        <v>0.47755102040816327</v>
      </c>
      <c r="O532" s="85" t="s">
        <v>1399</v>
      </c>
      <c r="P532" s="86" t="s">
        <v>82</v>
      </c>
      <c r="Q532" s="87" t="s">
        <v>3208</v>
      </c>
      <c r="R532" s="87">
        <v>1</v>
      </c>
      <c r="S532" s="88">
        <v>80.12</v>
      </c>
      <c r="T532" s="88">
        <v>46.509569160997728</v>
      </c>
      <c r="U532" s="88">
        <v>41.858612244897962</v>
      </c>
      <c r="V532" s="87" t="s">
        <v>3062</v>
      </c>
      <c r="W532" s="87" t="s">
        <v>3103</v>
      </c>
      <c r="X532" s="90" t="s">
        <v>3480</v>
      </c>
      <c r="Y532" s="89"/>
      <c r="Z532" s="89">
        <v>1</v>
      </c>
      <c r="AA532" s="89" t="s">
        <v>3207</v>
      </c>
      <c r="AB532" s="89"/>
    </row>
    <row r="533" spans="1:28" s="31" customFormat="1" ht="60" customHeight="1" x14ac:dyDescent="0.2">
      <c r="A533" s="76">
        <v>532</v>
      </c>
      <c r="B533" s="77">
        <v>50001064</v>
      </c>
      <c r="C533" s="78" t="s">
        <v>1409</v>
      </c>
      <c r="D533" s="79">
        <v>0.05</v>
      </c>
      <c r="E533" s="80">
        <v>30049099</v>
      </c>
      <c r="F533" s="81" t="s">
        <v>1410</v>
      </c>
      <c r="G533" s="82" t="s">
        <v>1412</v>
      </c>
      <c r="H533" s="82" t="s">
        <v>4085</v>
      </c>
      <c r="I533" s="79" t="s">
        <v>2682</v>
      </c>
      <c r="J533" s="83">
        <v>113.43</v>
      </c>
      <c r="K533" s="83">
        <v>86.42285714285714</v>
      </c>
      <c r="L533" s="83">
        <v>66.257523809523803</v>
      </c>
      <c r="M533" s="84">
        <v>60.234112554112528</v>
      </c>
      <c r="N533" s="59">
        <f t="shared" si="8"/>
        <v>0.46897546897546921</v>
      </c>
      <c r="O533" s="85" t="s">
        <v>1399</v>
      </c>
      <c r="P533" s="86" t="s">
        <v>82</v>
      </c>
      <c r="Q533" s="87" t="s">
        <v>3208</v>
      </c>
      <c r="R533" s="87">
        <v>1</v>
      </c>
      <c r="S533" s="88">
        <v>113.43</v>
      </c>
      <c r="T533" s="88">
        <v>66.257523809523803</v>
      </c>
      <c r="U533" s="88">
        <v>60.234112554112528</v>
      </c>
      <c r="V533" s="87" t="s">
        <v>3062</v>
      </c>
      <c r="W533" s="87" t="s">
        <v>3103</v>
      </c>
      <c r="X533" s="90" t="s">
        <v>3480</v>
      </c>
      <c r="Y533" s="89"/>
      <c r="Z533" s="89">
        <v>1</v>
      </c>
      <c r="AA533" s="89" t="s">
        <v>3207</v>
      </c>
      <c r="AB533" s="89"/>
    </row>
    <row r="534" spans="1:28" s="31" customFormat="1" ht="60" customHeight="1" x14ac:dyDescent="0.2">
      <c r="A534" s="76">
        <v>533</v>
      </c>
      <c r="B534" s="77">
        <v>50001156</v>
      </c>
      <c r="C534" s="78" t="s">
        <v>1413</v>
      </c>
      <c r="D534" s="79">
        <v>0.05</v>
      </c>
      <c r="E534" s="80">
        <v>30049099</v>
      </c>
      <c r="F534" s="81" t="s">
        <v>1414</v>
      </c>
      <c r="G534" s="82" t="s">
        <v>1415</v>
      </c>
      <c r="H534" s="82" t="s">
        <v>3920</v>
      </c>
      <c r="I534" s="79" t="s">
        <v>2680</v>
      </c>
      <c r="J534" s="83">
        <v>79.849999999999994</v>
      </c>
      <c r="K534" s="83">
        <v>60.838095238095228</v>
      </c>
      <c r="L534" s="83">
        <v>46.352834467120175</v>
      </c>
      <c r="M534" s="84">
        <v>46.352834467120175</v>
      </c>
      <c r="N534" s="59">
        <f t="shared" si="8"/>
        <v>0.41950113378684811</v>
      </c>
      <c r="O534" s="85" t="s">
        <v>1399</v>
      </c>
      <c r="P534" s="86" t="s">
        <v>2833</v>
      </c>
      <c r="Q534" s="87" t="s">
        <v>3208</v>
      </c>
      <c r="R534" s="87">
        <v>1</v>
      </c>
      <c r="S534" s="88">
        <v>79.849999999999994</v>
      </c>
      <c r="T534" s="88">
        <v>46.352834467120175</v>
      </c>
      <c r="U534" s="88">
        <v>46.352834467120175</v>
      </c>
      <c r="V534" s="87" t="s">
        <v>3062</v>
      </c>
      <c r="W534" s="87" t="s">
        <v>3103</v>
      </c>
      <c r="X534" s="90" t="s">
        <v>3480</v>
      </c>
      <c r="Y534" s="89"/>
      <c r="Z534" s="89">
        <v>1</v>
      </c>
      <c r="AA534" s="89" t="s">
        <v>3207</v>
      </c>
      <c r="AB534" s="89"/>
    </row>
    <row r="535" spans="1:28" s="31" customFormat="1" ht="60" customHeight="1" x14ac:dyDescent="0.2">
      <c r="A535" s="76">
        <v>534</v>
      </c>
      <c r="B535" s="77">
        <v>50001141</v>
      </c>
      <c r="C535" s="78" t="s">
        <v>1413</v>
      </c>
      <c r="D535" s="79">
        <v>0.05</v>
      </c>
      <c r="E535" s="80">
        <v>30049099</v>
      </c>
      <c r="F535" s="81" t="s">
        <v>1416</v>
      </c>
      <c r="G535" s="82" t="s">
        <v>1417</v>
      </c>
      <c r="H535" s="82" t="s">
        <v>3920</v>
      </c>
      <c r="I535" s="79" t="s">
        <v>2682</v>
      </c>
      <c r="J535" s="83">
        <v>113.43</v>
      </c>
      <c r="K535" s="83">
        <v>86.42285714285714</v>
      </c>
      <c r="L535" s="83">
        <v>66.257523809523803</v>
      </c>
      <c r="M535" s="84">
        <v>65.845986394557812</v>
      </c>
      <c r="N535" s="59">
        <f t="shared" si="8"/>
        <v>0.41950113378684822</v>
      </c>
      <c r="O535" s="85" t="s">
        <v>1399</v>
      </c>
      <c r="P535" s="86" t="s">
        <v>2834</v>
      </c>
      <c r="Q535" s="87" t="s">
        <v>3208</v>
      </c>
      <c r="R535" s="87">
        <v>1</v>
      </c>
      <c r="S535" s="88">
        <v>113.43</v>
      </c>
      <c r="T535" s="88">
        <v>66.257523809523803</v>
      </c>
      <c r="U535" s="88">
        <v>65.845986394557812</v>
      </c>
      <c r="V535" s="87" t="s">
        <v>3062</v>
      </c>
      <c r="W535" s="87" t="s">
        <v>3103</v>
      </c>
      <c r="X535" s="90" t="s">
        <v>3480</v>
      </c>
      <c r="Y535" s="89"/>
      <c r="Z535" s="89">
        <v>1</v>
      </c>
      <c r="AA535" s="89" t="s">
        <v>3207</v>
      </c>
      <c r="AB535" s="89"/>
    </row>
    <row r="536" spans="1:28" s="31" customFormat="1" ht="60" customHeight="1" x14ac:dyDescent="0.2">
      <c r="A536" s="76">
        <v>535</v>
      </c>
      <c r="B536" s="77">
        <v>50003339</v>
      </c>
      <c r="C536" s="78" t="s">
        <v>1418</v>
      </c>
      <c r="D536" s="79">
        <v>0.05</v>
      </c>
      <c r="E536" s="80">
        <v>30049099</v>
      </c>
      <c r="F536" s="81" t="s">
        <v>1419</v>
      </c>
      <c r="G536" s="82" t="s">
        <v>1420</v>
      </c>
      <c r="H536" s="82" t="s">
        <v>3921</v>
      </c>
      <c r="I536" s="79" t="s">
        <v>2680</v>
      </c>
      <c r="J536" s="83">
        <v>75.48</v>
      </c>
      <c r="K536" s="83">
        <v>57.508571428571429</v>
      </c>
      <c r="L536" s="83">
        <v>43.816054421768705</v>
      </c>
      <c r="M536" s="84">
        <v>41.419924137757789</v>
      </c>
      <c r="N536" s="59">
        <f t="shared" si="8"/>
        <v>0.45124636807422114</v>
      </c>
      <c r="O536" s="85" t="s">
        <v>1399</v>
      </c>
      <c r="P536" s="86" t="s">
        <v>2747</v>
      </c>
      <c r="Q536" s="87" t="s">
        <v>3208</v>
      </c>
      <c r="R536" s="87">
        <v>1</v>
      </c>
      <c r="S536" s="88">
        <v>75.48</v>
      </c>
      <c r="T536" s="88">
        <v>43.816054421768705</v>
      </c>
      <c r="U536" s="88">
        <v>41.419924137757789</v>
      </c>
      <c r="V536" s="87" t="s">
        <v>3062</v>
      </c>
      <c r="W536" s="87" t="s">
        <v>3103</v>
      </c>
      <c r="X536" s="90" t="s">
        <v>3480</v>
      </c>
      <c r="Y536" s="89"/>
      <c r="Z536" s="89">
        <v>1</v>
      </c>
      <c r="AA536" s="89" t="s">
        <v>3207</v>
      </c>
      <c r="AB536" s="89"/>
    </row>
    <row r="537" spans="1:28" s="31" customFormat="1" ht="60" customHeight="1" x14ac:dyDescent="0.2">
      <c r="A537" s="76">
        <v>536</v>
      </c>
      <c r="B537" s="77">
        <v>50001397</v>
      </c>
      <c r="C537" s="78" t="s">
        <v>1421</v>
      </c>
      <c r="D537" s="79">
        <v>0.05</v>
      </c>
      <c r="E537" s="80">
        <v>30049099</v>
      </c>
      <c r="F537" s="81" t="s">
        <v>1422</v>
      </c>
      <c r="G537" s="82" t="s">
        <v>417</v>
      </c>
      <c r="H537" s="82" t="s">
        <v>3761</v>
      </c>
      <c r="I537" s="79" t="s">
        <v>3140</v>
      </c>
      <c r="J537" s="83">
        <v>85.08</v>
      </c>
      <c r="K537" s="83">
        <v>64.822857142857146</v>
      </c>
      <c r="L537" s="83">
        <v>54.019047619047626</v>
      </c>
      <c r="M537" s="84">
        <v>52.276497695852548</v>
      </c>
      <c r="N537" s="59">
        <f t="shared" si="8"/>
        <v>0.38556067588325638</v>
      </c>
      <c r="O537" s="85" t="s">
        <v>1399</v>
      </c>
      <c r="P537" s="86" t="s">
        <v>2835</v>
      </c>
      <c r="Q537" s="87" t="s">
        <v>3208</v>
      </c>
      <c r="R537" s="87">
        <v>1</v>
      </c>
      <c r="S537" s="88">
        <v>85.08</v>
      </c>
      <c r="T537" s="88">
        <v>54.019047619047626</v>
      </c>
      <c r="U537" s="88">
        <v>52.276497695852548</v>
      </c>
      <c r="V537" s="87" t="s">
        <v>3062</v>
      </c>
      <c r="W537" s="87" t="s">
        <v>3103</v>
      </c>
      <c r="X537" s="90" t="s">
        <v>3480</v>
      </c>
      <c r="Y537" s="89"/>
      <c r="Z537" s="89">
        <v>1</v>
      </c>
      <c r="AA537" s="89" t="s">
        <v>3207</v>
      </c>
      <c r="AB537" s="89"/>
    </row>
    <row r="538" spans="1:28" s="31" customFormat="1" ht="60" customHeight="1" x14ac:dyDescent="0.2">
      <c r="A538" s="76">
        <v>537</v>
      </c>
      <c r="B538" s="77">
        <v>50004917</v>
      </c>
      <c r="C538" s="78" t="s">
        <v>1423</v>
      </c>
      <c r="D538" s="79">
        <v>0.05</v>
      </c>
      <c r="E538" s="80">
        <v>30049099</v>
      </c>
      <c r="F538" s="81" t="s">
        <v>1424</v>
      </c>
      <c r="G538" s="82" t="s">
        <v>1425</v>
      </c>
      <c r="H538" s="82" t="s">
        <v>1426</v>
      </c>
      <c r="I538" s="79" t="s">
        <v>2682</v>
      </c>
      <c r="J538" s="83">
        <v>161.07</v>
      </c>
      <c r="K538" s="83">
        <v>122.72</v>
      </c>
      <c r="L538" s="83">
        <v>102.26666666666667</v>
      </c>
      <c r="M538" s="84">
        <v>94.669714285714278</v>
      </c>
      <c r="N538" s="59">
        <f t="shared" si="8"/>
        <v>0.41224489795918368</v>
      </c>
      <c r="O538" s="85" t="s">
        <v>1399</v>
      </c>
      <c r="P538" s="86" t="s">
        <v>2836</v>
      </c>
      <c r="Q538" s="87" t="s">
        <v>3208</v>
      </c>
      <c r="R538" s="87">
        <v>1</v>
      </c>
      <c r="S538" s="88">
        <v>161.07</v>
      </c>
      <c r="T538" s="88">
        <v>102.26666666666667</v>
      </c>
      <c r="U538" s="88">
        <v>94.669714285714278</v>
      </c>
      <c r="V538" s="87" t="s">
        <v>3062</v>
      </c>
      <c r="W538" s="87" t="s">
        <v>3103</v>
      </c>
      <c r="X538" s="90" t="s">
        <v>3484</v>
      </c>
      <c r="Y538" s="89"/>
      <c r="Z538" s="89">
        <v>1</v>
      </c>
      <c r="AA538" s="89" t="s">
        <v>3207</v>
      </c>
      <c r="AB538" s="89"/>
    </row>
    <row r="539" spans="1:28" s="31" customFormat="1" ht="60" customHeight="1" x14ac:dyDescent="0.2">
      <c r="A539" s="76">
        <v>538</v>
      </c>
      <c r="B539" s="77">
        <v>50001835</v>
      </c>
      <c r="C539" s="78" t="s">
        <v>1427</v>
      </c>
      <c r="D539" s="79">
        <v>0.05</v>
      </c>
      <c r="E539" s="80">
        <v>30049087</v>
      </c>
      <c r="F539" s="81" t="s">
        <v>1428</v>
      </c>
      <c r="G539" s="82" t="s">
        <v>1429</v>
      </c>
      <c r="H539" s="82" t="s">
        <v>3922</v>
      </c>
      <c r="I539" s="79" t="s">
        <v>2724</v>
      </c>
      <c r="J539" s="83">
        <v>52.48</v>
      </c>
      <c r="K539" s="83">
        <v>39.984761904761903</v>
      </c>
      <c r="L539" s="83">
        <v>36.652698412698413</v>
      </c>
      <c r="M539" s="84">
        <v>33.833260073260071</v>
      </c>
      <c r="N539" s="59">
        <f t="shared" si="8"/>
        <v>0.35531135531135533</v>
      </c>
      <c r="O539" s="85" t="s">
        <v>1399</v>
      </c>
      <c r="P539" s="86" t="s">
        <v>3154</v>
      </c>
      <c r="Q539" s="87" t="s">
        <v>3207</v>
      </c>
      <c r="R539" s="87">
        <v>1</v>
      </c>
      <c r="S539" s="88">
        <v>52.48</v>
      </c>
      <c r="T539" s="88">
        <v>36.652698412698413</v>
      </c>
      <c r="U539" s="88">
        <v>33.833260073260071</v>
      </c>
      <c r="V539" s="87" t="s">
        <v>3066</v>
      </c>
      <c r="W539" s="87" t="s">
        <v>3104</v>
      </c>
      <c r="X539" s="90" t="s">
        <v>3481</v>
      </c>
      <c r="Y539" s="89"/>
      <c r="Z539" s="89">
        <v>1</v>
      </c>
      <c r="AA539" s="89"/>
      <c r="AB539" s="89"/>
    </row>
    <row r="540" spans="1:28" s="31" customFormat="1" ht="60" customHeight="1" x14ac:dyDescent="0.2">
      <c r="A540" s="76">
        <v>539</v>
      </c>
      <c r="B540" s="77">
        <v>50000978</v>
      </c>
      <c r="C540" s="78" t="s">
        <v>1430</v>
      </c>
      <c r="D540" s="79">
        <v>0.05</v>
      </c>
      <c r="E540" s="80">
        <v>30045090</v>
      </c>
      <c r="F540" s="81" t="s">
        <v>1431</v>
      </c>
      <c r="G540" s="82" t="s">
        <v>1432</v>
      </c>
      <c r="H540" s="82" t="s">
        <v>3874</v>
      </c>
      <c r="I540" s="79" t="s">
        <v>2666</v>
      </c>
      <c r="J540" s="83">
        <v>105.93</v>
      </c>
      <c r="K540" s="83">
        <v>80.708571428571432</v>
      </c>
      <c r="L540" s="83">
        <v>73.982857142857142</v>
      </c>
      <c r="M540" s="84">
        <v>66.584571428571451</v>
      </c>
      <c r="N540" s="59">
        <f t="shared" si="8"/>
        <v>0.37142857142857127</v>
      </c>
      <c r="O540" s="85" t="s">
        <v>1399</v>
      </c>
      <c r="P540" s="86" t="s">
        <v>53</v>
      </c>
      <c r="Q540" s="87" t="s">
        <v>3208</v>
      </c>
      <c r="R540" s="87">
        <v>10</v>
      </c>
      <c r="S540" s="88">
        <v>10.593</v>
      </c>
      <c r="T540" s="88">
        <v>7.3982857142857146</v>
      </c>
      <c r="U540" s="88">
        <v>6.6584571428571451</v>
      </c>
      <c r="V540" s="87" t="s">
        <v>3061</v>
      </c>
      <c r="W540" s="87" t="s">
        <v>3108</v>
      </c>
      <c r="X540" s="90" t="s">
        <v>3477</v>
      </c>
      <c r="Y540" s="89"/>
      <c r="Z540" s="89">
        <v>6</v>
      </c>
      <c r="AA540" s="89"/>
      <c r="AB540" s="89"/>
    </row>
    <row r="541" spans="1:28" s="31" customFormat="1" ht="60" customHeight="1" x14ac:dyDescent="0.2">
      <c r="A541" s="76">
        <v>540</v>
      </c>
      <c r="B541" s="77">
        <v>50006009</v>
      </c>
      <c r="C541" s="78" t="s">
        <v>4789</v>
      </c>
      <c r="D541" s="79">
        <v>0.05</v>
      </c>
      <c r="E541" s="80">
        <v>30045090</v>
      </c>
      <c r="F541" s="81" t="s">
        <v>4808</v>
      </c>
      <c r="G541" s="82" t="s">
        <v>4840</v>
      </c>
      <c r="H541" s="82" t="s">
        <v>4841</v>
      </c>
      <c r="I541" s="79" t="s">
        <v>2663</v>
      </c>
      <c r="J541" s="83">
        <v>200</v>
      </c>
      <c r="K541" s="83">
        <v>152.38095238095238</v>
      </c>
      <c r="L541" s="83">
        <v>126.98412698412699</v>
      </c>
      <c r="M541" s="84">
        <v>114.28571428571429</v>
      </c>
      <c r="N541" s="59">
        <f t="shared" si="8"/>
        <v>0.42857142857142855</v>
      </c>
      <c r="O541" s="85" t="s">
        <v>1399</v>
      </c>
      <c r="P541" s="86" t="s">
        <v>2876</v>
      </c>
      <c r="Q541" s="87" t="s">
        <v>3208</v>
      </c>
      <c r="R541" s="87">
        <v>15</v>
      </c>
      <c r="S541" s="88">
        <v>13.333333333333334</v>
      </c>
      <c r="T541" s="88">
        <v>8.4656084656084651</v>
      </c>
      <c r="U541" s="88">
        <v>7.6190476190476195</v>
      </c>
      <c r="V541" s="87" t="s">
        <v>3061</v>
      </c>
      <c r="W541" s="87" t="s">
        <v>3108</v>
      </c>
      <c r="X541" s="90" t="s">
        <v>3477</v>
      </c>
      <c r="Y541" s="89"/>
      <c r="Z541" s="89"/>
      <c r="AA541" s="89"/>
      <c r="AB541" s="89" t="s">
        <v>3299</v>
      </c>
    </row>
    <row r="542" spans="1:28" s="31" customFormat="1" ht="60" customHeight="1" x14ac:dyDescent="0.2">
      <c r="A542" s="76">
        <v>541</v>
      </c>
      <c r="B542" s="77">
        <v>50002548</v>
      </c>
      <c r="C542" s="78" t="s">
        <v>1433</v>
      </c>
      <c r="D542" s="79">
        <v>0.18</v>
      </c>
      <c r="E542" s="80">
        <v>33049990</v>
      </c>
      <c r="F542" s="81" t="s">
        <v>1434</v>
      </c>
      <c r="G542" s="82" t="s">
        <v>1435</v>
      </c>
      <c r="H542" s="82" t="s">
        <v>3923</v>
      </c>
      <c r="I542" s="79" t="s">
        <v>2704</v>
      </c>
      <c r="J542" s="83">
        <v>143</v>
      </c>
      <c r="K542" s="83">
        <v>96.949152542372886</v>
      </c>
      <c r="L542" s="83">
        <v>88.870056497175142</v>
      </c>
      <c r="M542" s="84">
        <v>88.870056497175142</v>
      </c>
      <c r="N542" s="59">
        <f t="shared" si="8"/>
        <v>0.37853107344632769</v>
      </c>
      <c r="O542" s="85" t="s">
        <v>1399</v>
      </c>
      <c r="P542" s="86" t="s">
        <v>2837</v>
      </c>
      <c r="Q542" s="87" t="s">
        <v>3208</v>
      </c>
      <c r="R542" s="87">
        <v>1</v>
      </c>
      <c r="S542" s="88">
        <v>143</v>
      </c>
      <c r="T542" s="88">
        <v>88.870056497175142</v>
      </c>
      <c r="U542" s="88">
        <v>88.870056497175142</v>
      </c>
      <c r="V542" s="87" t="s">
        <v>3062</v>
      </c>
      <c r="W542" s="87" t="s">
        <v>3104</v>
      </c>
      <c r="X542" s="90" t="s">
        <v>3483</v>
      </c>
      <c r="Y542" s="89"/>
      <c r="Z542" s="89">
        <v>1</v>
      </c>
      <c r="AA542" s="89"/>
      <c r="AB542" s="89"/>
    </row>
    <row r="543" spans="1:28" s="31" customFormat="1" ht="60" customHeight="1" x14ac:dyDescent="0.2">
      <c r="A543" s="76">
        <v>542</v>
      </c>
      <c r="B543" s="77">
        <v>50002549</v>
      </c>
      <c r="C543" s="78" t="s">
        <v>1433</v>
      </c>
      <c r="D543" s="79">
        <v>0.18</v>
      </c>
      <c r="E543" s="80">
        <v>33049990</v>
      </c>
      <c r="F543" s="81" t="s">
        <v>1434</v>
      </c>
      <c r="G543" s="82" t="s">
        <v>1435</v>
      </c>
      <c r="H543" s="82" t="s">
        <v>3923</v>
      </c>
      <c r="I543" s="79" t="s">
        <v>2682</v>
      </c>
      <c r="J543" s="83">
        <v>259</v>
      </c>
      <c r="K543" s="83">
        <v>175.59322033898303</v>
      </c>
      <c r="L543" s="83">
        <v>146.32768361581918</v>
      </c>
      <c r="M543" s="84">
        <v>135.07170795306388</v>
      </c>
      <c r="N543" s="59">
        <f t="shared" si="8"/>
        <v>0.47848761408083446</v>
      </c>
      <c r="O543" s="85" t="s">
        <v>1399</v>
      </c>
      <c r="P543" s="86" t="s">
        <v>2838</v>
      </c>
      <c r="Q543" s="87" t="s">
        <v>3208</v>
      </c>
      <c r="R543" s="87">
        <v>1</v>
      </c>
      <c r="S543" s="88">
        <v>259</v>
      </c>
      <c r="T543" s="88">
        <v>146.32768361581918</v>
      </c>
      <c r="U543" s="88">
        <v>135.07170795306388</v>
      </c>
      <c r="V543" s="87" t="s">
        <v>3062</v>
      </c>
      <c r="W543" s="87" t="s">
        <v>3104</v>
      </c>
      <c r="X543" s="90" t="s">
        <v>3483</v>
      </c>
      <c r="Y543" s="89"/>
      <c r="Z543" s="89">
        <v>1</v>
      </c>
      <c r="AA543" s="89"/>
      <c r="AB543" s="89"/>
    </row>
    <row r="544" spans="1:28" s="31" customFormat="1" ht="60" customHeight="1" x14ac:dyDescent="0.2">
      <c r="A544" s="76">
        <v>543</v>
      </c>
      <c r="B544" s="77">
        <v>50001854</v>
      </c>
      <c r="C544" s="78" t="s">
        <v>1438</v>
      </c>
      <c r="D544" s="79">
        <v>0.05</v>
      </c>
      <c r="E544" s="80">
        <v>30049069</v>
      </c>
      <c r="F544" s="81" t="s">
        <v>1439</v>
      </c>
      <c r="G544" s="82" t="s">
        <v>1440</v>
      </c>
      <c r="H544" s="82" t="s">
        <v>3753</v>
      </c>
      <c r="I544" s="79" t="s">
        <v>2666</v>
      </c>
      <c r="J544" s="83">
        <v>32.25</v>
      </c>
      <c r="K544" s="83">
        <v>24.571428571428573</v>
      </c>
      <c r="L544" s="83">
        <v>18.838095238095242</v>
      </c>
      <c r="M544" s="84">
        <v>16.954285714285721</v>
      </c>
      <c r="N544" s="59">
        <f t="shared" si="8"/>
        <v>0.47428571428571409</v>
      </c>
      <c r="O544" s="85" t="s">
        <v>1399</v>
      </c>
      <c r="P544" s="86" t="s">
        <v>2839</v>
      </c>
      <c r="Q544" s="87" t="s">
        <v>3208</v>
      </c>
      <c r="R544" s="87">
        <v>10</v>
      </c>
      <c r="S544" s="88">
        <v>3.2250000000000001</v>
      </c>
      <c r="T544" s="88">
        <v>1.8838095238095243</v>
      </c>
      <c r="U544" s="88">
        <v>1.6954285714285722</v>
      </c>
      <c r="V544" s="87" t="s">
        <v>3061</v>
      </c>
      <c r="W544" s="87" t="s">
        <v>3106</v>
      </c>
      <c r="X544" s="90" t="s">
        <v>3477</v>
      </c>
      <c r="Y544" s="89"/>
      <c r="Z544" s="89">
        <v>10</v>
      </c>
      <c r="AA544" s="89"/>
      <c r="AB544" s="89" t="s">
        <v>4613</v>
      </c>
    </row>
    <row r="545" spans="1:28" s="31" customFormat="1" ht="60" customHeight="1" x14ac:dyDescent="0.2">
      <c r="A545" s="76">
        <v>544</v>
      </c>
      <c r="B545" s="77">
        <v>50003268</v>
      </c>
      <c r="C545" s="78" t="s">
        <v>1441</v>
      </c>
      <c r="D545" s="79">
        <v>0.05</v>
      </c>
      <c r="E545" s="80">
        <v>30043919</v>
      </c>
      <c r="F545" s="81" t="s">
        <v>1442</v>
      </c>
      <c r="G545" s="82" t="s">
        <v>1443</v>
      </c>
      <c r="H545" s="82" t="s">
        <v>30</v>
      </c>
      <c r="I545" s="79" t="s">
        <v>2666</v>
      </c>
      <c r="J545" s="83">
        <v>668.43</v>
      </c>
      <c r="K545" s="83">
        <v>509.28000000000003</v>
      </c>
      <c r="L545" s="83">
        <v>339.52000000000004</v>
      </c>
      <c r="M545" s="84">
        <v>339.52000000000004</v>
      </c>
      <c r="N545" s="59">
        <f t="shared" si="8"/>
        <v>0.49206349206349198</v>
      </c>
      <c r="O545" s="85" t="s">
        <v>1399</v>
      </c>
      <c r="P545" s="86" t="s">
        <v>2840</v>
      </c>
      <c r="Q545" s="87" t="s">
        <v>3208</v>
      </c>
      <c r="R545" s="87">
        <v>10</v>
      </c>
      <c r="S545" s="88">
        <v>66.842999999999989</v>
      </c>
      <c r="T545" s="88">
        <v>33.952000000000005</v>
      </c>
      <c r="U545" s="88">
        <v>33.952000000000005</v>
      </c>
      <c r="V545" s="87" t="s">
        <v>3061</v>
      </c>
      <c r="W545" s="87" t="s">
        <v>3113</v>
      </c>
      <c r="X545" s="90" t="s">
        <v>3477</v>
      </c>
      <c r="Y545" s="89"/>
      <c r="Z545" s="89">
        <v>10</v>
      </c>
      <c r="AA545" s="89" t="s">
        <v>3207</v>
      </c>
      <c r="AB545" s="89"/>
    </row>
    <row r="546" spans="1:28" s="31" customFormat="1" ht="60" customHeight="1" x14ac:dyDescent="0.2">
      <c r="A546" s="76">
        <v>545</v>
      </c>
      <c r="B546" s="77">
        <v>50004935</v>
      </c>
      <c r="C546" s="78" t="s">
        <v>3129</v>
      </c>
      <c r="D546" s="79">
        <v>0.05</v>
      </c>
      <c r="E546" s="80">
        <v>30043919</v>
      </c>
      <c r="F546" s="81" t="s">
        <v>3130</v>
      </c>
      <c r="G546" s="82" t="s">
        <v>3131</v>
      </c>
      <c r="H546" s="82" t="s">
        <v>294</v>
      </c>
      <c r="I546" s="79" t="s">
        <v>2666</v>
      </c>
      <c r="J546" s="83">
        <v>917.8</v>
      </c>
      <c r="K546" s="83">
        <v>699.27619047619044</v>
      </c>
      <c r="L546" s="83">
        <v>466.18412698412698</v>
      </c>
      <c r="M546" s="84">
        <v>466.18412698412698</v>
      </c>
      <c r="N546" s="59">
        <f t="shared" si="8"/>
        <v>0.49206349206349204</v>
      </c>
      <c r="O546" s="85" t="s">
        <v>1399</v>
      </c>
      <c r="P546" s="86" t="s">
        <v>2841</v>
      </c>
      <c r="Q546" s="87" t="s">
        <v>3208</v>
      </c>
      <c r="R546" s="87">
        <v>10</v>
      </c>
      <c r="S546" s="88">
        <v>91.78</v>
      </c>
      <c r="T546" s="88">
        <v>46.618412698412698</v>
      </c>
      <c r="U546" s="88">
        <v>46.618412698412698</v>
      </c>
      <c r="V546" s="87" t="s">
        <v>3061</v>
      </c>
      <c r="W546" s="87" t="s">
        <v>3113</v>
      </c>
      <c r="X546" s="90" t="s">
        <v>3477</v>
      </c>
      <c r="Y546" s="89"/>
      <c r="Z546" s="89">
        <v>10</v>
      </c>
      <c r="AA546" s="89" t="s">
        <v>3207</v>
      </c>
      <c r="AB546" s="89"/>
    </row>
    <row r="547" spans="1:28" s="31" customFormat="1" ht="60" customHeight="1" x14ac:dyDescent="0.2">
      <c r="A547" s="76">
        <v>546</v>
      </c>
      <c r="B547" s="77">
        <v>50004936</v>
      </c>
      <c r="C547" s="78" t="s">
        <v>1444</v>
      </c>
      <c r="D547" s="79">
        <v>0.05</v>
      </c>
      <c r="E547" s="80">
        <v>30043919</v>
      </c>
      <c r="F547" s="81" t="s">
        <v>1445</v>
      </c>
      <c r="G547" s="82" t="s">
        <v>1446</v>
      </c>
      <c r="H547" s="82" t="s">
        <v>677</v>
      </c>
      <c r="I547" s="79" t="s">
        <v>2666</v>
      </c>
      <c r="J547" s="83">
        <v>1222.02</v>
      </c>
      <c r="K547" s="83">
        <v>931.06285714285718</v>
      </c>
      <c r="L547" s="83">
        <v>620.70857142857142</v>
      </c>
      <c r="M547" s="84">
        <v>620.7085714285713</v>
      </c>
      <c r="N547" s="59">
        <f t="shared" si="8"/>
        <v>0.49206349206349215</v>
      </c>
      <c r="O547" s="85" t="s">
        <v>1399</v>
      </c>
      <c r="P547" s="86" t="s">
        <v>2841</v>
      </c>
      <c r="Q547" s="87" t="s">
        <v>3208</v>
      </c>
      <c r="R547" s="87">
        <v>10</v>
      </c>
      <c r="S547" s="88">
        <v>122.202</v>
      </c>
      <c r="T547" s="88">
        <v>62.070857142857143</v>
      </c>
      <c r="U547" s="88">
        <v>62.070857142857129</v>
      </c>
      <c r="V547" s="87" t="s">
        <v>3061</v>
      </c>
      <c r="W547" s="87" t="s">
        <v>3113</v>
      </c>
      <c r="X547" s="90" t="s">
        <v>3477</v>
      </c>
      <c r="Y547" s="89"/>
      <c r="Z547" s="89">
        <v>10</v>
      </c>
      <c r="AA547" s="89" t="s">
        <v>3207</v>
      </c>
      <c r="AB547" s="89"/>
    </row>
    <row r="548" spans="1:28" s="31" customFormat="1" ht="60" customHeight="1" x14ac:dyDescent="0.2">
      <c r="A548" s="76">
        <v>547</v>
      </c>
      <c r="B548" s="77">
        <v>50001098</v>
      </c>
      <c r="C548" s="78" t="s">
        <v>1447</v>
      </c>
      <c r="D548" s="79">
        <v>0.05</v>
      </c>
      <c r="E548" s="80">
        <v>30049099</v>
      </c>
      <c r="F548" s="81" t="s">
        <v>3439</v>
      </c>
      <c r="G548" s="82" t="s">
        <v>1448</v>
      </c>
      <c r="H548" s="82" t="s">
        <v>30</v>
      </c>
      <c r="I548" s="79" t="s">
        <v>2666</v>
      </c>
      <c r="J548" s="83">
        <v>43.15</v>
      </c>
      <c r="K548" s="83">
        <v>32.876190476190473</v>
      </c>
      <c r="L548" s="83">
        <v>32.876190476190473</v>
      </c>
      <c r="M548" s="84">
        <v>29.588571428571424</v>
      </c>
      <c r="N548" s="59">
        <f t="shared" si="8"/>
        <v>0.31428571428571439</v>
      </c>
      <c r="O548" s="85" t="s">
        <v>1399</v>
      </c>
      <c r="P548" s="86" t="s">
        <v>53</v>
      </c>
      <c r="Q548" s="87" t="s">
        <v>3208</v>
      </c>
      <c r="R548" s="87">
        <v>10</v>
      </c>
      <c r="S548" s="88">
        <v>4.3149999999999995</v>
      </c>
      <c r="T548" s="88">
        <v>3.2876190476190472</v>
      </c>
      <c r="U548" s="88">
        <v>2.9588571428571422</v>
      </c>
      <c r="V548" s="87" t="s">
        <v>3061</v>
      </c>
      <c r="W548" s="87" t="s">
        <v>3112</v>
      </c>
      <c r="X548" s="90" t="s">
        <v>3477</v>
      </c>
      <c r="Y548" s="89"/>
      <c r="Z548" s="89">
        <v>6</v>
      </c>
      <c r="AA548" s="89"/>
      <c r="AB548" s="89"/>
    </row>
    <row r="549" spans="1:28" s="31" customFormat="1" ht="60" customHeight="1" x14ac:dyDescent="0.2">
      <c r="A549" s="76">
        <v>548</v>
      </c>
      <c r="B549" s="77">
        <v>50001027</v>
      </c>
      <c r="C549" s="78" t="s">
        <v>1449</v>
      </c>
      <c r="D549" s="79">
        <v>0.05</v>
      </c>
      <c r="E549" s="80">
        <v>30049099</v>
      </c>
      <c r="F549" s="81" t="s">
        <v>1450</v>
      </c>
      <c r="G549" s="82" t="s">
        <v>1451</v>
      </c>
      <c r="H549" s="82" t="s">
        <v>115</v>
      </c>
      <c r="I549" s="79" t="s">
        <v>2666</v>
      </c>
      <c r="J549" s="83">
        <v>130.58000000000001</v>
      </c>
      <c r="K549" s="83">
        <v>99.489523809523831</v>
      </c>
      <c r="L549" s="83">
        <v>99.489523809523831</v>
      </c>
      <c r="M549" s="84">
        <v>89.540571428571425</v>
      </c>
      <c r="N549" s="59">
        <f t="shared" si="8"/>
        <v>0.31428571428571439</v>
      </c>
      <c r="O549" s="85" t="s">
        <v>1399</v>
      </c>
      <c r="P549" s="86" t="s">
        <v>53</v>
      </c>
      <c r="Q549" s="87" t="s">
        <v>3208</v>
      </c>
      <c r="R549" s="87">
        <v>10</v>
      </c>
      <c r="S549" s="88">
        <v>13.058000000000002</v>
      </c>
      <c r="T549" s="88">
        <v>9.9489523809523828</v>
      </c>
      <c r="U549" s="88">
        <v>8.9540571428571418</v>
      </c>
      <c r="V549" s="87" t="s">
        <v>3061</v>
      </c>
      <c r="W549" s="87" t="s">
        <v>3112</v>
      </c>
      <c r="X549" s="90" t="s">
        <v>3477</v>
      </c>
      <c r="Y549" s="89"/>
      <c r="Z549" s="89">
        <v>6</v>
      </c>
      <c r="AA549" s="89"/>
      <c r="AB549" s="89"/>
    </row>
    <row r="550" spans="1:28" s="31" customFormat="1" ht="60" customHeight="1" x14ac:dyDescent="0.2">
      <c r="A550" s="76">
        <v>549</v>
      </c>
      <c r="B550" s="77">
        <v>50000807</v>
      </c>
      <c r="C550" s="78" t="s">
        <v>1452</v>
      </c>
      <c r="D550" s="79">
        <v>0.05</v>
      </c>
      <c r="E550" s="80">
        <v>30042019</v>
      </c>
      <c r="F550" s="81" t="s">
        <v>1453</v>
      </c>
      <c r="G550" s="82" t="s">
        <v>1454</v>
      </c>
      <c r="H550" s="82" t="s">
        <v>158</v>
      </c>
      <c r="I550" s="79" t="s">
        <v>2666</v>
      </c>
      <c r="J550" s="83">
        <v>92.79</v>
      </c>
      <c r="K550" s="83">
        <v>70.69714285714285</v>
      </c>
      <c r="L550" s="83">
        <v>64.270129870129864</v>
      </c>
      <c r="M550" s="84">
        <v>61.386754098360647</v>
      </c>
      <c r="N550" s="59">
        <f t="shared" si="8"/>
        <v>0.33843351548269596</v>
      </c>
      <c r="O550" s="85" t="s">
        <v>1399</v>
      </c>
      <c r="P550" s="86" t="s">
        <v>3261</v>
      </c>
      <c r="Q550" s="87" t="s">
        <v>3208</v>
      </c>
      <c r="R550" s="87">
        <v>10</v>
      </c>
      <c r="S550" s="88">
        <v>9.2789999999999999</v>
      </c>
      <c r="T550" s="88">
        <v>6.4270129870129864</v>
      </c>
      <c r="U550" s="88">
        <v>6.1386754098360647</v>
      </c>
      <c r="V550" s="87" t="s">
        <v>3061</v>
      </c>
      <c r="W550" s="87" t="s">
        <v>3102</v>
      </c>
      <c r="X550" s="90" t="s">
        <v>3477</v>
      </c>
      <c r="Y550" s="89"/>
      <c r="Z550" s="89">
        <v>6</v>
      </c>
      <c r="AA550" s="89" t="s">
        <v>3207</v>
      </c>
      <c r="AB550" s="89"/>
    </row>
    <row r="551" spans="1:28" s="31" customFormat="1" ht="60" customHeight="1" x14ac:dyDescent="0.2">
      <c r="A551" s="76">
        <v>550</v>
      </c>
      <c r="B551" s="77">
        <v>50000921</v>
      </c>
      <c r="C551" s="78" t="s">
        <v>1455</v>
      </c>
      <c r="D551" s="79">
        <v>0.05</v>
      </c>
      <c r="E551" s="80">
        <v>30042019</v>
      </c>
      <c r="F551" s="81" t="s">
        <v>1456</v>
      </c>
      <c r="G551" s="82" t="s">
        <v>3128</v>
      </c>
      <c r="H551" s="82" t="s">
        <v>220</v>
      </c>
      <c r="I551" s="79" t="s">
        <v>2666</v>
      </c>
      <c r="J551" s="83">
        <v>164.99</v>
      </c>
      <c r="K551" s="83">
        <v>125.70666666666666</v>
      </c>
      <c r="L551" s="83">
        <v>114.27878787878787</v>
      </c>
      <c r="M551" s="84">
        <v>114.27878787878787</v>
      </c>
      <c r="N551" s="59">
        <f t="shared" si="8"/>
        <v>0.30735930735930744</v>
      </c>
      <c r="O551" s="85" t="s">
        <v>1399</v>
      </c>
      <c r="P551" s="86" t="s">
        <v>2843</v>
      </c>
      <c r="Q551" s="87" t="s">
        <v>3208</v>
      </c>
      <c r="R551" s="87">
        <v>10</v>
      </c>
      <c r="S551" s="88">
        <v>16.499000000000002</v>
      </c>
      <c r="T551" s="88">
        <v>11.427878787878786</v>
      </c>
      <c r="U551" s="88">
        <v>11.427878787878786</v>
      </c>
      <c r="V551" s="87" t="s">
        <v>3061</v>
      </c>
      <c r="W551" s="87" t="s">
        <v>3102</v>
      </c>
      <c r="X551" s="90" t="s">
        <v>3477</v>
      </c>
      <c r="Y551" s="89"/>
      <c r="Z551" s="89">
        <v>6</v>
      </c>
      <c r="AA551" s="89" t="s">
        <v>3207</v>
      </c>
      <c r="AB551" s="89"/>
    </row>
    <row r="552" spans="1:28" s="31" customFormat="1" ht="60" customHeight="1" x14ac:dyDescent="0.2">
      <c r="A552" s="76">
        <v>551</v>
      </c>
      <c r="B552" s="77">
        <v>50000495</v>
      </c>
      <c r="C552" s="78" t="s">
        <v>1457</v>
      </c>
      <c r="D552" s="79">
        <v>0.05</v>
      </c>
      <c r="E552" s="80">
        <v>30042019</v>
      </c>
      <c r="F552" s="81" t="s">
        <v>1458</v>
      </c>
      <c r="G552" s="82" t="s">
        <v>1459</v>
      </c>
      <c r="H552" s="82" t="s">
        <v>246</v>
      </c>
      <c r="I552" s="79" t="s">
        <v>2666</v>
      </c>
      <c r="J552" s="83">
        <v>204.37</v>
      </c>
      <c r="K552" s="83">
        <v>155.71047619047619</v>
      </c>
      <c r="L552" s="83">
        <v>129.75873015873015</v>
      </c>
      <c r="M552" s="84">
        <v>129.75873015873015</v>
      </c>
      <c r="N552" s="59">
        <f t="shared" si="8"/>
        <v>0.36507936507936517</v>
      </c>
      <c r="O552" s="85" t="s">
        <v>1399</v>
      </c>
      <c r="P552" s="86" t="s">
        <v>2844</v>
      </c>
      <c r="Q552" s="87" t="s">
        <v>3208</v>
      </c>
      <c r="R552" s="87">
        <v>10</v>
      </c>
      <c r="S552" s="88">
        <v>20.437000000000001</v>
      </c>
      <c r="T552" s="88">
        <v>12.975873015873015</v>
      </c>
      <c r="U552" s="88">
        <v>12.975873015873015</v>
      </c>
      <c r="V552" s="87" t="s">
        <v>3061</v>
      </c>
      <c r="W552" s="87" t="s">
        <v>3102</v>
      </c>
      <c r="X552" s="90" t="s">
        <v>3477</v>
      </c>
      <c r="Y552" s="89"/>
      <c r="Z552" s="89">
        <v>10</v>
      </c>
      <c r="AA552" s="89" t="s">
        <v>3207</v>
      </c>
      <c r="AB552" s="89"/>
    </row>
    <row r="553" spans="1:28" s="31" customFormat="1" ht="60" customHeight="1" x14ac:dyDescent="0.2">
      <c r="A553" s="76">
        <v>552</v>
      </c>
      <c r="B553" s="77">
        <v>50002231</v>
      </c>
      <c r="C553" s="78" t="s">
        <v>1460</v>
      </c>
      <c r="D553" s="79">
        <v>0.05</v>
      </c>
      <c r="E553" s="80">
        <v>30049087</v>
      </c>
      <c r="F553" s="81" t="s">
        <v>1461</v>
      </c>
      <c r="G553" s="82" t="s">
        <v>1462</v>
      </c>
      <c r="H553" s="82" t="s">
        <v>3785</v>
      </c>
      <c r="I553" s="79" t="s">
        <v>2666</v>
      </c>
      <c r="J553" s="83">
        <v>215.61</v>
      </c>
      <c r="K553" s="83">
        <v>164.27428571428572</v>
      </c>
      <c r="L553" s="83">
        <v>150.5847619047619</v>
      </c>
      <c r="M553" s="84">
        <v>150.58476190476188</v>
      </c>
      <c r="N553" s="59">
        <f t="shared" si="8"/>
        <v>0.30158730158730174</v>
      </c>
      <c r="O553" s="85" t="s">
        <v>1399</v>
      </c>
      <c r="P553" s="86" t="s">
        <v>2701</v>
      </c>
      <c r="Q553" s="87" t="s">
        <v>3208</v>
      </c>
      <c r="R553" s="87">
        <v>10</v>
      </c>
      <c r="S553" s="88">
        <v>21.561</v>
      </c>
      <c r="T553" s="88">
        <v>15.05847619047619</v>
      </c>
      <c r="U553" s="88">
        <v>15.058476190476188</v>
      </c>
      <c r="V553" s="87" t="s">
        <v>3061</v>
      </c>
      <c r="W553" s="87" t="s">
        <v>3102</v>
      </c>
      <c r="X553" s="90" t="s">
        <v>3477</v>
      </c>
      <c r="Y553" s="89"/>
      <c r="Z553" s="89">
        <v>4</v>
      </c>
      <c r="AA553" s="89" t="s">
        <v>3207</v>
      </c>
      <c r="AB553" s="89"/>
    </row>
    <row r="554" spans="1:28" s="31" customFormat="1" ht="60" customHeight="1" x14ac:dyDescent="0.2">
      <c r="A554" s="76">
        <v>553</v>
      </c>
      <c r="B554" s="77">
        <v>50002228</v>
      </c>
      <c r="C554" s="78" t="s">
        <v>1463</v>
      </c>
      <c r="D554" s="79">
        <v>0.05</v>
      </c>
      <c r="E554" s="80">
        <v>30049087</v>
      </c>
      <c r="F554" s="81" t="s">
        <v>1464</v>
      </c>
      <c r="G554" s="82" t="s">
        <v>1465</v>
      </c>
      <c r="H554" s="82" t="s">
        <v>3786</v>
      </c>
      <c r="I554" s="79" t="s">
        <v>2666</v>
      </c>
      <c r="J554" s="83">
        <v>344.99</v>
      </c>
      <c r="K554" s="83">
        <v>262.84952380952382</v>
      </c>
      <c r="L554" s="83">
        <v>219.04126984126984</v>
      </c>
      <c r="M554" s="84">
        <v>219.04126984126984</v>
      </c>
      <c r="N554" s="59">
        <f t="shared" si="8"/>
        <v>0.36507936507936511</v>
      </c>
      <c r="O554" s="85" t="s">
        <v>1399</v>
      </c>
      <c r="P554" s="86" t="s">
        <v>2703</v>
      </c>
      <c r="Q554" s="87" t="s">
        <v>3208</v>
      </c>
      <c r="R554" s="87">
        <v>10</v>
      </c>
      <c r="S554" s="88">
        <v>34.499000000000002</v>
      </c>
      <c r="T554" s="88">
        <v>21.904126984126982</v>
      </c>
      <c r="U554" s="88">
        <v>21.904126984126982</v>
      </c>
      <c r="V554" s="87" t="s">
        <v>3061</v>
      </c>
      <c r="W554" s="87" t="s">
        <v>3102</v>
      </c>
      <c r="X554" s="90" t="s">
        <v>3477</v>
      </c>
      <c r="Y554" s="89"/>
      <c r="Z554" s="89">
        <v>4</v>
      </c>
      <c r="AA554" s="89" t="s">
        <v>3207</v>
      </c>
      <c r="AB554" s="89"/>
    </row>
    <row r="555" spans="1:28" s="31" customFormat="1" ht="60" customHeight="1" x14ac:dyDescent="0.2">
      <c r="A555" s="76">
        <v>554</v>
      </c>
      <c r="B555" s="77">
        <v>50000114</v>
      </c>
      <c r="C555" s="78" t="s">
        <v>1466</v>
      </c>
      <c r="D555" s="79">
        <v>0.05</v>
      </c>
      <c r="E555" s="80">
        <v>30049087</v>
      </c>
      <c r="F555" s="81" t="s">
        <v>1467</v>
      </c>
      <c r="G555" s="82" t="s">
        <v>1468</v>
      </c>
      <c r="H555" s="82" t="s">
        <v>3924</v>
      </c>
      <c r="I555" s="79" t="s">
        <v>2845</v>
      </c>
      <c r="J555" s="83">
        <v>122.8</v>
      </c>
      <c r="K555" s="83">
        <v>93.561904761904756</v>
      </c>
      <c r="L555" s="83">
        <v>77.968253968253961</v>
      </c>
      <c r="M555" s="84">
        <v>72.5685</v>
      </c>
      <c r="N555" s="59">
        <f t="shared" si="8"/>
        <v>0.40905130293159608</v>
      </c>
      <c r="O555" s="85" t="s">
        <v>1399</v>
      </c>
      <c r="P555" s="86" t="s">
        <v>68</v>
      </c>
      <c r="Q555" s="87" t="s">
        <v>3208</v>
      </c>
      <c r="R555" s="87">
        <v>1</v>
      </c>
      <c r="S555" s="88">
        <v>122.8</v>
      </c>
      <c r="T555" s="88">
        <v>77.968253968253961</v>
      </c>
      <c r="U555" s="88">
        <v>72.5685</v>
      </c>
      <c r="V555" s="87" t="s">
        <v>3062</v>
      </c>
      <c r="W555" s="87" t="s">
        <v>3102</v>
      </c>
      <c r="X555" s="90" t="s">
        <v>3480</v>
      </c>
      <c r="Y555" s="89"/>
      <c r="Z555" s="89">
        <v>1</v>
      </c>
      <c r="AA555" s="89" t="s">
        <v>3207</v>
      </c>
      <c r="AB555" s="89"/>
    </row>
    <row r="556" spans="1:28" s="31" customFormat="1" ht="60" customHeight="1" x14ac:dyDescent="0.2">
      <c r="A556" s="76">
        <v>555</v>
      </c>
      <c r="B556" s="77">
        <v>50003059</v>
      </c>
      <c r="C556" s="78" t="s">
        <v>1469</v>
      </c>
      <c r="D556" s="79">
        <v>0.05</v>
      </c>
      <c r="E556" s="80">
        <v>30049087</v>
      </c>
      <c r="F556" s="81" t="s">
        <v>1470</v>
      </c>
      <c r="G556" s="82" t="s">
        <v>1471</v>
      </c>
      <c r="H556" s="82" t="s">
        <v>3925</v>
      </c>
      <c r="I556" s="79" t="s">
        <v>2678</v>
      </c>
      <c r="J556" s="83">
        <v>192.14</v>
      </c>
      <c r="K556" s="83">
        <v>146.39238095238096</v>
      </c>
      <c r="L556" s="83">
        <v>121.99365079365081</v>
      </c>
      <c r="M556" s="84">
        <v>121.9936507936508</v>
      </c>
      <c r="N556" s="59">
        <f t="shared" si="8"/>
        <v>0.365079365079365</v>
      </c>
      <c r="O556" s="85" t="s">
        <v>1399</v>
      </c>
      <c r="P556" s="86" t="s">
        <v>1281</v>
      </c>
      <c r="Q556" s="87" t="s">
        <v>3208</v>
      </c>
      <c r="R556" s="87">
        <v>1</v>
      </c>
      <c r="S556" s="88">
        <v>192.14</v>
      </c>
      <c r="T556" s="88">
        <v>121.99365079365081</v>
      </c>
      <c r="U556" s="88">
        <v>121.9936507936508</v>
      </c>
      <c r="V556" s="87" t="s">
        <v>3062</v>
      </c>
      <c r="W556" s="87" t="s">
        <v>3102</v>
      </c>
      <c r="X556" s="90" t="s">
        <v>3480</v>
      </c>
      <c r="Y556" s="89"/>
      <c r="Z556" s="89">
        <v>1</v>
      </c>
      <c r="AA556" s="89" t="s">
        <v>3207</v>
      </c>
      <c r="AB556" s="89" t="s">
        <v>4613</v>
      </c>
    </row>
    <row r="557" spans="1:28" s="31" customFormat="1" ht="60" customHeight="1" x14ac:dyDescent="0.2">
      <c r="A557" s="76">
        <v>556</v>
      </c>
      <c r="B557" s="77">
        <v>50000925</v>
      </c>
      <c r="C557" s="78" t="s">
        <v>1472</v>
      </c>
      <c r="D557" s="79">
        <v>0.05</v>
      </c>
      <c r="E557" s="80">
        <v>30042019</v>
      </c>
      <c r="F557" s="81" t="s">
        <v>1473</v>
      </c>
      <c r="G557" s="82" t="s">
        <v>1474</v>
      </c>
      <c r="H557" s="82" t="s">
        <v>154</v>
      </c>
      <c r="I557" s="79" t="s">
        <v>2846</v>
      </c>
      <c r="J557" s="83">
        <v>96.41</v>
      </c>
      <c r="K557" s="83">
        <v>73.455238095238101</v>
      </c>
      <c r="L557" s="83">
        <v>61.212698412698415</v>
      </c>
      <c r="M557" s="84">
        <v>56.504029304029288</v>
      </c>
      <c r="N557" s="59">
        <f t="shared" si="8"/>
        <v>0.41391941391941406</v>
      </c>
      <c r="O557" s="85" t="s">
        <v>1399</v>
      </c>
      <c r="P557" s="86" t="s">
        <v>2847</v>
      </c>
      <c r="Q557" s="87" t="s">
        <v>3208</v>
      </c>
      <c r="R557" s="87">
        <v>1</v>
      </c>
      <c r="S557" s="88">
        <v>96.41</v>
      </c>
      <c r="T557" s="88">
        <v>61.212698412698415</v>
      </c>
      <c r="U557" s="88">
        <v>56.504029304029288</v>
      </c>
      <c r="V557" s="87" t="s">
        <v>3062</v>
      </c>
      <c r="W557" s="87" t="s">
        <v>3102</v>
      </c>
      <c r="X557" s="90" t="s">
        <v>3482</v>
      </c>
      <c r="Y557" s="89"/>
      <c r="Z557" s="89">
        <v>1</v>
      </c>
      <c r="AA557" s="89" t="s">
        <v>3207</v>
      </c>
      <c r="AB557" s="89"/>
    </row>
    <row r="558" spans="1:28" s="31" customFormat="1" ht="60" customHeight="1" x14ac:dyDescent="0.2">
      <c r="A558" s="76">
        <v>557</v>
      </c>
      <c r="B558" s="77">
        <v>50000453</v>
      </c>
      <c r="C558" s="78" t="s">
        <v>1475</v>
      </c>
      <c r="D558" s="79">
        <v>0.05</v>
      </c>
      <c r="E558" s="80">
        <v>30042019</v>
      </c>
      <c r="F558" s="81" t="s">
        <v>1476</v>
      </c>
      <c r="G558" s="82" t="s">
        <v>1454</v>
      </c>
      <c r="H558" s="82" t="s">
        <v>361</v>
      </c>
      <c r="I558" s="79" t="s">
        <v>2678</v>
      </c>
      <c r="J558" s="83">
        <v>103.12</v>
      </c>
      <c r="K558" s="83">
        <v>78.567619047619047</v>
      </c>
      <c r="L558" s="83">
        <v>65.473015873015868</v>
      </c>
      <c r="M558" s="84">
        <v>60.467656327985743</v>
      </c>
      <c r="N558" s="59">
        <f t="shared" si="8"/>
        <v>0.41361853832442069</v>
      </c>
      <c r="O558" s="85" t="s">
        <v>1399</v>
      </c>
      <c r="P558" s="86" t="s">
        <v>2848</v>
      </c>
      <c r="Q558" s="87" t="s">
        <v>3208</v>
      </c>
      <c r="R558" s="87">
        <v>1</v>
      </c>
      <c r="S558" s="88">
        <v>103.12</v>
      </c>
      <c r="T558" s="88">
        <v>65.473015873015868</v>
      </c>
      <c r="U558" s="88">
        <v>60.467656327985743</v>
      </c>
      <c r="V558" s="87" t="s">
        <v>3062</v>
      </c>
      <c r="W558" s="87" t="s">
        <v>3102</v>
      </c>
      <c r="X558" s="90" t="s">
        <v>3480</v>
      </c>
      <c r="Y558" s="89"/>
      <c r="Z558" s="89">
        <v>1</v>
      </c>
      <c r="AA558" s="89" t="s">
        <v>3207</v>
      </c>
      <c r="AB558" s="89"/>
    </row>
    <row r="559" spans="1:28" s="31" customFormat="1" ht="60" customHeight="1" x14ac:dyDescent="0.2">
      <c r="A559" s="76">
        <v>558</v>
      </c>
      <c r="B559" s="77">
        <v>50001391</v>
      </c>
      <c r="C559" s="78" t="s">
        <v>1477</v>
      </c>
      <c r="D559" s="79">
        <v>0.05</v>
      </c>
      <c r="E559" s="80">
        <v>30049099</v>
      </c>
      <c r="F559" s="81" t="s">
        <v>1478</v>
      </c>
      <c r="G559" s="82" t="s">
        <v>1479</v>
      </c>
      <c r="H559" s="82" t="s">
        <v>246</v>
      </c>
      <c r="I559" s="79" t="s">
        <v>2666</v>
      </c>
      <c r="J559" s="83">
        <v>81.06</v>
      </c>
      <c r="K559" s="83">
        <v>61.760000000000005</v>
      </c>
      <c r="L559" s="83">
        <v>56.613333333333337</v>
      </c>
      <c r="M559" s="84">
        <v>50.951999999999991</v>
      </c>
      <c r="N559" s="59">
        <f t="shared" si="8"/>
        <v>0.37142857142857155</v>
      </c>
      <c r="O559" s="85" t="s">
        <v>1399</v>
      </c>
      <c r="P559" s="86" t="s">
        <v>3158</v>
      </c>
      <c r="Q559" s="87" t="s">
        <v>3207</v>
      </c>
      <c r="R559" s="87">
        <v>10</v>
      </c>
      <c r="S559" s="88">
        <v>8.1059999999999999</v>
      </c>
      <c r="T559" s="88">
        <v>5.6613333333333333</v>
      </c>
      <c r="U559" s="88">
        <v>5.0951999999999993</v>
      </c>
      <c r="V559" s="87" t="s">
        <v>3061</v>
      </c>
      <c r="W559" s="87" t="s">
        <v>3120</v>
      </c>
      <c r="X559" s="90" t="s">
        <v>3477</v>
      </c>
      <c r="Y559" s="89"/>
      <c r="Z559" s="89">
        <v>10</v>
      </c>
      <c r="AA559" s="89"/>
      <c r="AB559" s="89"/>
    </row>
    <row r="560" spans="1:28" s="31" customFormat="1" ht="60" customHeight="1" x14ac:dyDescent="0.2">
      <c r="A560" s="76">
        <v>559</v>
      </c>
      <c r="B560" s="77">
        <v>50000362</v>
      </c>
      <c r="C560" s="78" t="s">
        <v>1480</v>
      </c>
      <c r="D560" s="79">
        <v>0.05</v>
      </c>
      <c r="E560" s="80">
        <v>30049099</v>
      </c>
      <c r="F560" s="81" t="s">
        <v>1481</v>
      </c>
      <c r="G560" s="82" t="s">
        <v>1482</v>
      </c>
      <c r="H560" s="82" t="s">
        <v>47</v>
      </c>
      <c r="I560" s="79" t="s">
        <v>2666</v>
      </c>
      <c r="J560" s="83">
        <v>145.81</v>
      </c>
      <c r="K560" s="83">
        <v>111.09333333333333</v>
      </c>
      <c r="L560" s="83">
        <v>101.83555555555556</v>
      </c>
      <c r="M560" s="84">
        <v>91.652000000000015</v>
      </c>
      <c r="N560" s="59">
        <f t="shared" si="8"/>
        <v>0.37142857142857133</v>
      </c>
      <c r="O560" s="85" t="s">
        <v>1399</v>
      </c>
      <c r="P560" s="86" t="s">
        <v>3405</v>
      </c>
      <c r="Q560" s="87" t="s">
        <v>3207</v>
      </c>
      <c r="R560" s="87">
        <v>10</v>
      </c>
      <c r="S560" s="88">
        <v>14.581</v>
      </c>
      <c r="T560" s="88">
        <v>10.183555555555555</v>
      </c>
      <c r="U560" s="88">
        <v>9.1652000000000022</v>
      </c>
      <c r="V560" s="87" t="s">
        <v>3061</v>
      </c>
      <c r="W560" s="87" t="s">
        <v>3120</v>
      </c>
      <c r="X560" s="90" t="s">
        <v>3477</v>
      </c>
      <c r="Y560" s="89"/>
      <c r="Z560" s="89">
        <v>10</v>
      </c>
      <c r="AA560" s="89"/>
      <c r="AB560" s="89"/>
    </row>
    <row r="561" spans="1:28" s="31" customFormat="1" ht="60" customHeight="1" x14ac:dyDescent="0.2">
      <c r="A561" s="76">
        <v>560</v>
      </c>
      <c r="B561" s="77">
        <v>50000591</v>
      </c>
      <c r="C561" s="78" t="s">
        <v>1483</v>
      </c>
      <c r="D561" s="79">
        <v>0.05</v>
      </c>
      <c r="E561" s="80">
        <v>30049099</v>
      </c>
      <c r="F561" s="81" t="s">
        <v>1484</v>
      </c>
      <c r="G561" s="82" t="s">
        <v>1485</v>
      </c>
      <c r="H561" s="82" t="s">
        <v>1486</v>
      </c>
      <c r="I561" s="79" t="s">
        <v>2666</v>
      </c>
      <c r="J561" s="83">
        <v>386.44</v>
      </c>
      <c r="K561" s="83">
        <v>294.43047619047621</v>
      </c>
      <c r="L561" s="83">
        <v>269.89460317460322</v>
      </c>
      <c r="M561" s="84">
        <v>242.90514285714289</v>
      </c>
      <c r="N561" s="59">
        <f t="shared" si="8"/>
        <v>0.37142857142857133</v>
      </c>
      <c r="O561" s="85" t="s">
        <v>1399</v>
      </c>
      <c r="P561" s="86" t="s">
        <v>3200</v>
      </c>
      <c r="Q561" s="87" t="s">
        <v>3207</v>
      </c>
      <c r="R561" s="87">
        <v>10</v>
      </c>
      <c r="S561" s="88">
        <v>38.643999999999998</v>
      </c>
      <c r="T561" s="88">
        <v>26.98946031746032</v>
      </c>
      <c r="U561" s="88">
        <v>24.290514285714288</v>
      </c>
      <c r="V561" s="87" t="s">
        <v>3061</v>
      </c>
      <c r="W561" s="87" t="s">
        <v>3120</v>
      </c>
      <c r="X561" s="90" t="s">
        <v>3477</v>
      </c>
      <c r="Y561" s="89"/>
      <c r="Z561" s="89">
        <v>10</v>
      </c>
      <c r="AA561" s="89"/>
      <c r="AB561" s="89"/>
    </row>
    <row r="562" spans="1:28" s="31" customFormat="1" ht="60" customHeight="1" x14ac:dyDescent="0.2">
      <c r="A562" s="76">
        <v>561</v>
      </c>
      <c r="B562" s="77">
        <v>50001029</v>
      </c>
      <c r="C562" s="78" t="s">
        <v>1487</v>
      </c>
      <c r="D562" s="79">
        <v>0.05</v>
      </c>
      <c r="E562" s="80">
        <v>30049099</v>
      </c>
      <c r="F562" s="81" t="s">
        <v>1488</v>
      </c>
      <c r="G562" s="82" t="s">
        <v>1489</v>
      </c>
      <c r="H562" s="82" t="s">
        <v>158</v>
      </c>
      <c r="I562" s="79" t="s">
        <v>2771</v>
      </c>
      <c r="J562" s="83">
        <v>139.68</v>
      </c>
      <c r="K562" s="83">
        <v>106.42285714285715</v>
      </c>
      <c r="L562" s="83">
        <v>106.42285714285715</v>
      </c>
      <c r="M562" s="84">
        <v>95.780571428571477</v>
      </c>
      <c r="N562" s="59">
        <f t="shared" si="8"/>
        <v>0.31428571428571395</v>
      </c>
      <c r="O562" s="85" t="s">
        <v>1399</v>
      </c>
      <c r="P562" s="86" t="s">
        <v>2849</v>
      </c>
      <c r="Q562" s="87" t="s">
        <v>3208</v>
      </c>
      <c r="R562" s="87">
        <v>1</v>
      </c>
      <c r="S562" s="88">
        <v>139.68</v>
      </c>
      <c r="T562" s="88">
        <v>106.42285714285715</v>
      </c>
      <c r="U562" s="88">
        <v>95.780571428571477</v>
      </c>
      <c r="V562" s="87" t="s">
        <v>3066</v>
      </c>
      <c r="W562" s="87" t="s">
        <v>3104</v>
      </c>
      <c r="X562" s="90" t="s">
        <v>3493</v>
      </c>
      <c r="Y562" s="89"/>
      <c r="Z562" s="89">
        <v>1</v>
      </c>
      <c r="AA562" s="89"/>
      <c r="AB562" s="89"/>
    </row>
    <row r="563" spans="1:28" s="31" customFormat="1" ht="60" customHeight="1" x14ac:dyDescent="0.2">
      <c r="A563" s="76">
        <v>562</v>
      </c>
      <c r="B563" s="77">
        <v>50000979</v>
      </c>
      <c r="C563" s="78" t="s">
        <v>1490</v>
      </c>
      <c r="D563" s="79">
        <v>0.05</v>
      </c>
      <c r="E563" s="80">
        <v>30049039</v>
      </c>
      <c r="F563" s="81" t="s">
        <v>1491</v>
      </c>
      <c r="G563" s="82" t="s">
        <v>1492</v>
      </c>
      <c r="H563" s="82" t="s">
        <v>590</v>
      </c>
      <c r="I563" s="79" t="s">
        <v>3140</v>
      </c>
      <c r="J563" s="83">
        <v>71.760000000000005</v>
      </c>
      <c r="K563" s="83">
        <v>54.674285714285723</v>
      </c>
      <c r="L563" s="83">
        <v>49.206857142857146</v>
      </c>
      <c r="M563" s="84">
        <v>46.863673469387749</v>
      </c>
      <c r="N563" s="59">
        <f t="shared" si="8"/>
        <v>0.34693877551020424</v>
      </c>
      <c r="O563" s="85" t="s">
        <v>1399</v>
      </c>
      <c r="P563" s="86" t="s">
        <v>318</v>
      </c>
      <c r="Q563" s="87" t="s">
        <v>3208</v>
      </c>
      <c r="R563" s="87">
        <v>1</v>
      </c>
      <c r="S563" s="88">
        <v>71.760000000000005</v>
      </c>
      <c r="T563" s="88">
        <v>49.206857142857146</v>
      </c>
      <c r="U563" s="88">
        <v>46.863673469387749</v>
      </c>
      <c r="V563" s="87" t="s">
        <v>3062</v>
      </c>
      <c r="W563" s="87" t="s">
        <v>3103</v>
      </c>
      <c r="X563" s="90" t="s">
        <v>3480</v>
      </c>
      <c r="Y563" s="89"/>
      <c r="Z563" s="89">
        <v>1</v>
      </c>
      <c r="AA563" s="89"/>
      <c r="AB563" s="89"/>
    </row>
    <row r="564" spans="1:28" s="31" customFormat="1" ht="60" customHeight="1" x14ac:dyDescent="0.2">
      <c r="A564" s="76">
        <v>563</v>
      </c>
      <c r="B564" s="77">
        <v>50003165</v>
      </c>
      <c r="C564" s="78" t="s">
        <v>1493</v>
      </c>
      <c r="D564" s="79">
        <v>0.05</v>
      </c>
      <c r="E564" s="80">
        <v>30049039</v>
      </c>
      <c r="F564" s="81" t="s">
        <v>1494</v>
      </c>
      <c r="G564" s="82" t="s">
        <v>1495</v>
      </c>
      <c r="H564" s="82" t="s">
        <v>30</v>
      </c>
      <c r="I564" s="79" t="s">
        <v>2663</v>
      </c>
      <c r="J564" s="83">
        <v>54.6</v>
      </c>
      <c r="K564" s="83">
        <v>41.6</v>
      </c>
      <c r="L564" s="83">
        <v>34.666666666666664</v>
      </c>
      <c r="M564" s="84">
        <v>31.200000000000003</v>
      </c>
      <c r="N564" s="59">
        <f t="shared" si="8"/>
        <v>0.42857142857142855</v>
      </c>
      <c r="O564" s="85" t="s">
        <v>1399</v>
      </c>
      <c r="P564" s="86" t="s">
        <v>2850</v>
      </c>
      <c r="Q564" s="87" t="s">
        <v>3208</v>
      </c>
      <c r="R564" s="87">
        <v>15</v>
      </c>
      <c r="S564" s="88">
        <v>3.64</v>
      </c>
      <c r="T564" s="88">
        <v>2.3111111111111109</v>
      </c>
      <c r="U564" s="88">
        <v>2.08</v>
      </c>
      <c r="V564" s="87" t="s">
        <v>3061</v>
      </c>
      <c r="W564" s="87" t="s">
        <v>3103</v>
      </c>
      <c r="X564" s="90" t="s">
        <v>3477</v>
      </c>
      <c r="Y564" s="89"/>
      <c r="Z564" s="89">
        <v>10</v>
      </c>
      <c r="AA564" s="89"/>
      <c r="AB564" s="89"/>
    </row>
    <row r="565" spans="1:28" s="31" customFormat="1" ht="60" customHeight="1" x14ac:dyDescent="0.2">
      <c r="A565" s="76">
        <v>564</v>
      </c>
      <c r="B565" s="77">
        <v>50003166</v>
      </c>
      <c r="C565" s="78" t="s">
        <v>1496</v>
      </c>
      <c r="D565" s="79">
        <v>0.05</v>
      </c>
      <c r="E565" s="80">
        <v>30049039</v>
      </c>
      <c r="F565" s="81" t="s">
        <v>1497</v>
      </c>
      <c r="G565" s="82" t="s">
        <v>1498</v>
      </c>
      <c r="H565" s="82" t="s">
        <v>154</v>
      </c>
      <c r="I565" s="79" t="s">
        <v>2663</v>
      </c>
      <c r="J565" s="83">
        <v>90.37</v>
      </c>
      <c r="K565" s="83">
        <v>68.853333333333325</v>
      </c>
      <c r="L565" s="83">
        <v>57.377777777777766</v>
      </c>
      <c r="M565" s="84">
        <v>51.639999999999986</v>
      </c>
      <c r="N565" s="59">
        <f t="shared" si="8"/>
        <v>0.42857142857142877</v>
      </c>
      <c r="O565" s="85" t="s">
        <v>1399</v>
      </c>
      <c r="P565" s="86" t="s">
        <v>37</v>
      </c>
      <c r="Q565" s="87" t="s">
        <v>3208</v>
      </c>
      <c r="R565" s="87">
        <v>15</v>
      </c>
      <c r="S565" s="88">
        <v>6.0246666666666666</v>
      </c>
      <c r="T565" s="88">
        <v>3.8251851851851844</v>
      </c>
      <c r="U565" s="88">
        <v>3.4426666666666659</v>
      </c>
      <c r="V565" s="87" t="s">
        <v>3061</v>
      </c>
      <c r="W565" s="87" t="s">
        <v>3103</v>
      </c>
      <c r="X565" s="90" t="s">
        <v>3477</v>
      </c>
      <c r="Y565" s="89"/>
      <c r="Z565" s="89">
        <v>10</v>
      </c>
      <c r="AA565" s="89"/>
      <c r="AB565" s="89"/>
    </row>
    <row r="566" spans="1:28" s="31" customFormat="1" ht="60" customHeight="1" x14ac:dyDescent="0.2">
      <c r="A566" s="76">
        <v>565</v>
      </c>
      <c r="B566" s="77">
        <v>50001073</v>
      </c>
      <c r="C566" s="78" t="s">
        <v>1499</v>
      </c>
      <c r="D566" s="79">
        <v>0.05</v>
      </c>
      <c r="E566" s="80">
        <v>30049039</v>
      </c>
      <c r="F566" s="81" t="s">
        <v>1500</v>
      </c>
      <c r="G566" s="82" t="s">
        <v>1495</v>
      </c>
      <c r="H566" s="82" t="s">
        <v>1501</v>
      </c>
      <c r="I566" s="79" t="s">
        <v>2682</v>
      </c>
      <c r="J566" s="83">
        <v>98.12</v>
      </c>
      <c r="K566" s="83">
        <v>74.758095238095237</v>
      </c>
      <c r="L566" s="83">
        <v>62.298412698412697</v>
      </c>
      <c r="M566" s="84">
        <v>62.298412698412712</v>
      </c>
      <c r="N566" s="59">
        <f t="shared" si="8"/>
        <v>0.36507936507936495</v>
      </c>
      <c r="O566" s="85" t="s">
        <v>1399</v>
      </c>
      <c r="P566" s="86" t="s">
        <v>2851</v>
      </c>
      <c r="Q566" s="87" t="s">
        <v>3208</v>
      </c>
      <c r="R566" s="87">
        <v>1</v>
      </c>
      <c r="S566" s="88">
        <v>98.12</v>
      </c>
      <c r="T566" s="88">
        <v>62.298412698412697</v>
      </c>
      <c r="U566" s="88">
        <v>62.298412698412712</v>
      </c>
      <c r="V566" s="87" t="s">
        <v>3062</v>
      </c>
      <c r="W566" s="87" t="s">
        <v>3103</v>
      </c>
      <c r="X566" s="90" t="s">
        <v>3480</v>
      </c>
      <c r="Y566" s="89"/>
      <c r="Z566" s="89">
        <v>1</v>
      </c>
      <c r="AA566" s="89"/>
      <c r="AB566" s="89" t="s">
        <v>4613</v>
      </c>
    </row>
    <row r="567" spans="1:28" s="31" customFormat="1" ht="60" customHeight="1" x14ac:dyDescent="0.2">
      <c r="A567" s="76">
        <v>566</v>
      </c>
      <c r="B567" s="77">
        <v>50000976</v>
      </c>
      <c r="C567" s="78" t="s">
        <v>1502</v>
      </c>
      <c r="D567" s="79">
        <v>0.05</v>
      </c>
      <c r="E567" s="80">
        <v>30049063</v>
      </c>
      <c r="F567" s="81" t="s">
        <v>1503</v>
      </c>
      <c r="G567" s="82" t="s">
        <v>1504</v>
      </c>
      <c r="H567" s="82" t="s">
        <v>3926</v>
      </c>
      <c r="I567" s="79" t="s">
        <v>2680</v>
      </c>
      <c r="J567" s="83">
        <v>34.68</v>
      </c>
      <c r="K567" s="83">
        <v>26.422857142857147</v>
      </c>
      <c r="L567" s="83">
        <v>22.019047619047623</v>
      </c>
      <c r="M567" s="84">
        <v>22.019047619047619</v>
      </c>
      <c r="N567" s="59">
        <f t="shared" si="8"/>
        <v>0.36507936507936506</v>
      </c>
      <c r="O567" s="85" t="s">
        <v>1399</v>
      </c>
      <c r="P567" s="86" t="s">
        <v>4662</v>
      </c>
      <c r="Q567" s="87" t="s">
        <v>3208</v>
      </c>
      <c r="R567" s="87">
        <v>1</v>
      </c>
      <c r="S567" s="88">
        <v>34.68</v>
      </c>
      <c r="T567" s="88">
        <v>22.019047619047623</v>
      </c>
      <c r="U567" s="88">
        <v>22.019047619047619</v>
      </c>
      <c r="V567" s="87" t="s">
        <v>3062</v>
      </c>
      <c r="W567" s="87" t="s">
        <v>3106</v>
      </c>
      <c r="X567" s="90" t="s">
        <v>3480</v>
      </c>
      <c r="Y567" s="89"/>
      <c r="Z567" s="89">
        <v>1</v>
      </c>
      <c r="AA567" s="89"/>
      <c r="AB567" s="89"/>
    </row>
    <row r="568" spans="1:28" s="31" customFormat="1" ht="60" customHeight="1" x14ac:dyDescent="0.2">
      <c r="A568" s="76">
        <v>567</v>
      </c>
      <c r="B568" s="77">
        <v>50003114</v>
      </c>
      <c r="C568" s="78" t="s">
        <v>1505</v>
      </c>
      <c r="D568" s="79">
        <v>0.05</v>
      </c>
      <c r="E568" s="80">
        <v>30049029</v>
      </c>
      <c r="F568" s="81" t="s">
        <v>1506</v>
      </c>
      <c r="G568" s="82" t="s">
        <v>1507</v>
      </c>
      <c r="H568" s="82" t="s">
        <v>3927</v>
      </c>
      <c r="I568" s="79" t="s">
        <v>2704</v>
      </c>
      <c r="J568" s="83">
        <v>250.3</v>
      </c>
      <c r="K568" s="83">
        <v>190.70476190476191</v>
      </c>
      <c r="L568" s="83">
        <v>174.81269841269841</v>
      </c>
      <c r="M568" s="84">
        <v>149.83945578231285</v>
      </c>
      <c r="N568" s="59">
        <f t="shared" si="8"/>
        <v>0.40136054421768741</v>
      </c>
      <c r="O568" s="85" t="s">
        <v>1399</v>
      </c>
      <c r="P568" s="86" t="s">
        <v>235</v>
      </c>
      <c r="Q568" s="87" t="s">
        <v>3208</v>
      </c>
      <c r="R568" s="87">
        <v>1</v>
      </c>
      <c r="S568" s="88">
        <v>250.3</v>
      </c>
      <c r="T568" s="88">
        <v>174.81269841269841</v>
      </c>
      <c r="U568" s="88">
        <v>149.83945578231285</v>
      </c>
      <c r="V568" s="87" t="s">
        <v>3066</v>
      </c>
      <c r="W568" s="87" t="s">
        <v>3104</v>
      </c>
      <c r="X568" s="90" t="s">
        <v>3483</v>
      </c>
      <c r="Y568" s="89"/>
      <c r="Z568" s="89">
        <v>1</v>
      </c>
      <c r="AA568" s="89"/>
      <c r="AB568" s="89"/>
    </row>
    <row r="569" spans="1:28" s="31" customFormat="1" ht="60" customHeight="1" x14ac:dyDescent="0.2">
      <c r="A569" s="76">
        <v>568</v>
      </c>
      <c r="B569" s="77">
        <v>50003007</v>
      </c>
      <c r="C569" s="78" t="s">
        <v>1508</v>
      </c>
      <c r="D569" s="79">
        <v>0.05</v>
      </c>
      <c r="E569" s="80">
        <v>30049029</v>
      </c>
      <c r="F569" s="81" t="s">
        <v>1509</v>
      </c>
      <c r="G569" s="82" t="s">
        <v>1510</v>
      </c>
      <c r="H569" s="82" t="s">
        <v>3928</v>
      </c>
      <c r="I569" s="79" t="s">
        <v>2772</v>
      </c>
      <c r="J569" s="83">
        <v>170.14</v>
      </c>
      <c r="K569" s="83">
        <v>129.6304761904762</v>
      </c>
      <c r="L569" s="83">
        <v>118.82793650793651</v>
      </c>
      <c r="M569" s="84">
        <v>118.82793650793654</v>
      </c>
      <c r="N569" s="59">
        <f t="shared" si="8"/>
        <v>0.30158730158730135</v>
      </c>
      <c r="O569" s="85" t="s">
        <v>1399</v>
      </c>
      <c r="P569" s="86" t="s">
        <v>2852</v>
      </c>
      <c r="Q569" s="87" t="s">
        <v>3208</v>
      </c>
      <c r="R569" s="87">
        <v>1</v>
      </c>
      <c r="S569" s="88">
        <v>170.14</v>
      </c>
      <c r="T569" s="88">
        <v>118.82793650793651</v>
      </c>
      <c r="U569" s="88">
        <v>118.82793650793654</v>
      </c>
      <c r="V569" s="87" t="s">
        <v>3063</v>
      </c>
      <c r="W569" s="87" t="s">
        <v>3104</v>
      </c>
      <c r="X569" s="90" t="s">
        <v>3481</v>
      </c>
      <c r="Y569" s="89"/>
      <c r="Z569" s="89">
        <v>1</v>
      </c>
      <c r="AA569" s="89"/>
      <c r="AB569" s="89"/>
    </row>
    <row r="570" spans="1:28" s="31" customFormat="1" ht="60" customHeight="1" x14ac:dyDescent="0.2">
      <c r="A570" s="76">
        <v>569</v>
      </c>
      <c r="B570" s="77">
        <v>50000981</v>
      </c>
      <c r="C570" s="78" t="s">
        <v>1511</v>
      </c>
      <c r="D570" s="79">
        <v>0.05</v>
      </c>
      <c r="E570" s="80">
        <v>34011110</v>
      </c>
      <c r="F570" s="81" t="s">
        <v>1512</v>
      </c>
      <c r="G570" s="82" t="s">
        <v>1513</v>
      </c>
      <c r="H570" s="82" t="s">
        <v>3929</v>
      </c>
      <c r="I570" s="79" t="s">
        <v>2827</v>
      </c>
      <c r="J570" s="83">
        <v>116.56</v>
      </c>
      <c r="K570" s="83">
        <v>88.807619047619056</v>
      </c>
      <c r="L570" s="83">
        <v>74.006349206349213</v>
      </c>
      <c r="M570" s="84">
        <v>74.006349206349213</v>
      </c>
      <c r="N570" s="59">
        <f t="shared" si="8"/>
        <v>0.365079365079365</v>
      </c>
      <c r="O570" s="85" t="s">
        <v>1399</v>
      </c>
      <c r="P570" s="86" t="s">
        <v>2853</v>
      </c>
      <c r="Q570" s="87" t="s">
        <v>3208</v>
      </c>
      <c r="R570" s="87">
        <v>1</v>
      </c>
      <c r="S570" s="88">
        <v>116.56</v>
      </c>
      <c r="T570" s="88">
        <v>74.006349206349213</v>
      </c>
      <c r="U570" s="88">
        <v>74.006349206349213</v>
      </c>
      <c r="V570" s="87" t="s">
        <v>3063</v>
      </c>
      <c r="W570" s="87" t="s">
        <v>3104</v>
      </c>
      <c r="X570" s="90" t="s">
        <v>3488</v>
      </c>
      <c r="Y570" s="89"/>
      <c r="Z570" s="89">
        <v>1</v>
      </c>
      <c r="AA570" s="89"/>
      <c r="AB570" s="89"/>
    </row>
    <row r="571" spans="1:28" s="31" customFormat="1" ht="60" customHeight="1" x14ac:dyDescent="0.2">
      <c r="A571" s="76">
        <v>570</v>
      </c>
      <c r="B571" s="77">
        <v>50005626</v>
      </c>
      <c r="C571" s="78" t="s">
        <v>3571</v>
      </c>
      <c r="D571" s="79">
        <v>0.05</v>
      </c>
      <c r="E571" s="80">
        <v>30049039</v>
      </c>
      <c r="F571" s="81" t="s">
        <v>3579</v>
      </c>
      <c r="G571" s="82" t="s">
        <v>3612</v>
      </c>
      <c r="H571" s="82" t="s">
        <v>3930</v>
      </c>
      <c r="I571" s="79" t="s">
        <v>2666</v>
      </c>
      <c r="J571" s="83">
        <v>186.55</v>
      </c>
      <c r="K571" s="83">
        <v>142.13333333333333</v>
      </c>
      <c r="L571" s="83">
        <v>118.44444444444444</v>
      </c>
      <c r="M571" s="84">
        <v>118.44444444444444</v>
      </c>
      <c r="N571" s="59">
        <f t="shared" si="8"/>
        <v>0.36507936507936511</v>
      </c>
      <c r="O571" s="85" t="s">
        <v>1399</v>
      </c>
      <c r="P571" s="86" t="s">
        <v>3525</v>
      </c>
      <c r="Q571" s="87" t="s">
        <v>3208</v>
      </c>
      <c r="R571" s="87">
        <v>10</v>
      </c>
      <c r="S571" s="88">
        <v>18.655000000000001</v>
      </c>
      <c r="T571" s="88">
        <v>11.844444444444445</v>
      </c>
      <c r="U571" s="88">
        <v>11.844444444444445</v>
      </c>
      <c r="V571" s="87" t="s">
        <v>3061</v>
      </c>
      <c r="W571" s="87" t="s">
        <v>3103</v>
      </c>
      <c r="X571" s="90" t="s">
        <v>3477</v>
      </c>
      <c r="Y571" s="89"/>
      <c r="Z571" s="89"/>
      <c r="AA571" s="89"/>
      <c r="AB571" s="89"/>
    </row>
    <row r="572" spans="1:28" s="31" customFormat="1" ht="60" customHeight="1" x14ac:dyDescent="0.2">
      <c r="A572" s="76">
        <v>571</v>
      </c>
      <c r="B572" s="77">
        <v>50005618</v>
      </c>
      <c r="C572" s="78" t="s">
        <v>3572</v>
      </c>
      <c r="D572" s="79">
        <v>0.05</v>
      </c>
      <c r="E572" s="80">
        <v>30049039</v>
      </c>
      <c r="F572" s="81" t="s">
        <v>3580</v>
      </c>
      <c r="G572" s="82" t="s">
        <v>3611</v>
      </c>
      <c r="H572" s="82" t="s">
        <v>3931</v>
      </c>
      <c r="I572" s="79" t="s">
        <v>2666</v>
      </c>
      <c r="J572" s="83">
        <v>86.15</v>
      </c>
      <c r="K572" s="83">
        <v>65.638095238095246</v>
      </c>
      <c r="L572" s="83">
        <v>54.69841269841271</v>
      </c>
      <c r="M572" s="84">
        <v>54.69841269841271</v>
      </c>
      <c r="N572" s="59">
        <f t="shared" si="8"/>
        <v>0.365079365079365</v>
      </c>
      <c r="O572" s="85" t="s">
        <v>1399</v>
      </c>
      <c r="P572" s="86" t="s">
        <v>3605</v>
      </c>
      <c r="Q572" s="87" t="s">
        <v>3208</v>
      </c>
      <c r="R572" s="87">
        <v>10</v>
      </c>
      <c r="S572" s="88">
        <v>8.6150000000000002</v>
      </c>
      <c r="T572" s="88">
        <v>5.4698412698412708</v>
      </c>
      <c r="U572" s="88">
        <v>5.4698412698412708</v>
      </c>
      <c r="V572" s="87" t="s">
        <v>3061</v>
      </c>
      <c r="W572" s="87" t="s">
        <v>3103</v>
      </c>
      <c r="X572" s="90" t="s">
        <v>3477</v>
      </c>
      <c r="Y572" s="89"/>
      <c r="Z572" s="89"/>
      <c r="AA572" s="89"/>
      <c r="AB572" s="89"/>
    </row>
    <row r="573" spans="1:28" s="31" customFormat="1" ht="60" customHeight="1" x14ac:dyDescent="0.2">
      <c r="A573" s="76">
        <v>572</v>
      </c>
      <c r="B573" s="77">
        <v>50005616</v>
      </c>
      <c r="C573" s="78" t="s">
        <v>3573</v>
      </c>
      <c r="D573" s="79">
        <v>0.05</v>
      </c>
      <c r="E573" s="80">
        <v>30049039</v>
      </c>
      <c r="F573" s="81" t="s">
        <v>3581</v>
      </c>
      <c r="G573" s="82" t="s">
        <v>3611</v>
      </c>
      <c r="H573" s="82" t="s">
        <v>3931</v>
      </c>
      <c r="I573" s="79" t="s">
        <v>2680</v>
      </c>
      <c r="J573" s="83">
        <v>107.7</v>
      </c>
      <c r="K573" s="83">
        <v>82.05714285714285</v>
      </c>
      <c r="L573" s="83">
        <v>68.380952380952365</v>
      </c>
      <c r="M573" s="84">
        <v>68.380952380952365</v>
      </c>
      <c r="N573" s="59">
        <f t="shared" si="8"/>
        <v>0.36507936507936523</v>
      </c>
      <c r="O573" s="85" t="s">
        <v>1399</v>
      </c>
      <c r="P573" s="86" t="s">
        <v>4189</v>
      </c>
      <c r="Q573" s="87" t="s">
        <v>3208</v>
      </c>
      <c r="R573" s="87">
        <v>1</v>
      </c>
      <c r="S573" s="88">
        <v>107.7</v>
      </c>
      <c r="T573" s="88">
        <v>68.380952380952365</v>
      </c>
      <c r="U573" s="88">
        <v>68.380952380952365</v>
      </c>
      <c r="V573" s="87" t="s">
        <v>3062</v>
      </c>
      <c r="W573" s="87" t="s">
        <v>3103</v>
      </c>
      <c r="X573" s="90" t="s">
        <v>3480</v>
      </c>
      <c r="Y573" s="89"/>
      <c r="Z573" s="89"/>
      <c r="AA573" s="89"/>
      <c r="AB573" s="89"/>
    </row>
    <row r="574" spans="1:28" s="31" customFormat="1" ht="60" customHeight="1" x14ac:dyDescent="0.2">
      <c r="A574" s="76">
        <v>573</v>
      </c>
      <c r="B574" s="77">
        <v>50005624</v>
      </c>
      <c r="C574" s="78" t="s">
        <v>3574</v>
      </c>
      <c r="D574" s="79">
        <v>0.05</v>
      </c>
      <c r="E574" s="80">
        <v>30049039</v>
      </c>
      <c r="F574" s="81" t="s">
        <v>3582</v>
      </c>
      <c r="G574" s="82" t="s">
        <v>3613</v>
      </c>
      <c r="H574" s="82" t="s">
        <v>3932</v>
      </c>
      <c r="I574" s="79" t="s">
        <v>2666</v>
      </c>
      <c r="J574" s="83">
        <v>118.47</v>
      </c>
      <c r="K574" s="83">
        <v>90.262857142857143</v>
      </c>
      <c r="L574" s="83">
        <v>69.432967032967028</v>
      </c>
      <c r="M574" s="84">
        <v>67.697142857142879</v>
      </c>
      <c r="N574" s="59">
        <f t="shared" si="8"/>
        <v>0.42857142857142838</v>
      </c>
      <c r="O574" s="85" t="s">
        <v>1399</v>
      </c>
      <c r="P574" s="86" t="s">
        <v>2820</v>
      </c>
      <c r="Q574" s="87" t="s">
        <v>3208</v>
      </c>
      <c r="R574" s="87">
        <v>10</v>
      </c>
      <c r="S574" s="88">
        <v>11.847</v>
      </c>
      <c r="T574" s="88">
        <v>6.9432967032967028</v>
      </c>
      <c r="U574" s="88">
        <v>6.7697142857142882</v>
      </c>
      <c r="V574" s="87" t="s">
        <v>3061</v>
      </c>
      <c r="W574" s="87" t="s">
        <v>3103</v>
      </c>
      <c r="X574" s="90" t="s">
        <v>3477</v>
      </c>
      <c r="Y574" s="89"/>
      <c r="Z574" s="89"/>
      <c r="AA574" s="89"/>
      <c r="AB574" s="89" t="s">
        <v>4613</v>
      </c>
    </row>
    <row r="575" spans="1:28" s="31" customFormat="1" ht="60" customHeight="1" x14ac:dyDescent="0.2">
      <c r="A575" s="76">
        <v>574</v>
      </c>
      <c r="B575" s="77">
        <v>50002540</v>
      </c>
      <c r="C575" s="78" t="s">
        <v>1516</v>
      </c>
      <c r="D575" s="79">
        <v>0.05</v>
      </c>
      <c r="E575" s="80">
        <v>30049069</v>
      </c>
      <c r="F575" s="81" t="s">
        <v>1517</v>
      </c>
      <c r="G575" s="82" t="s">
        <v>1518</v>
      </c>
      <c r="H575" s="82" t="s">
        <v>3799</v>
      </c>
      <c r="I575" s="79" t="s">
        <v>2680</v>
      </c>
      <c r="J575" s="83">
        <v>57.18</v>
      </c>
      <c r="K575" s="83">
        <v>43.565714285714286</v>
      </c>
      <c r="L575" s="83">
        <v>36.304761904761904</v>
      </c>
      <c r="M575" s="84">
        <v>36.304761904761904</v>
      </c>
      <c r="N575" s="59">
        <f t="shared" si="8"/>
        <v>0.36507936507936511</v>
      </c>
      <c r="O575" s="85" t="s">
        <v>1399</v>
      </c>
      <c r="P575" s="86" t="s">
        <v>4663</v>
      </c>
      <c r="Q575" s="87" t="s">
        <v>3208</v>
      </c>
      <c r="R575" s="87">
        <v>1</v>
      </c>
      <c r="S575" s="88">
        <v>57.18</v>
      </c>
      <c r="T575" s="88">
        <v>36.304761904761904</v>
      </c>
      <c r="U575" s="88">
        <v>36.304761904761904</v>
      </c>
      <c r="V575" s="87" t="s">
        <v>3062</v>
      </c>
      <c r="W575" s="87" t="s">
        <v>3106</v>
      </c>
      <c r="X575" s="90" t="s">
        <v>3480</v>
      </c>
      <c r="Y575" s="89"/>
      <c r="Z575" s="89">
        <v>1</v>
      </c>
      <c r="AA575" s="89"/>
      <c r="AB575" s="89"/>
    </row>
    <row r="576" spans="1:28" s="31" customFormat="1" ht="60" customHeight="1" x14ac:dyDescent="0.2">
      <c r="A576" s="76">
        <v>575</v>
      </c>
      <c r="B576" s="77">
        <v>50001811</v>
      </c>
      <c r="C576" s="78" t="s">
        <v>1519</v>
      </c>
      <c r="D576" s="79">
        <v>0.05</v>
      </c>
      <c r="E576" s="80">
        <v>30049069</v>
      </c>
      <c r="F576" s="81" t="s">
        <v>1520</v>
      </c>
      <c r="G576" s="82" t="s">
        <v>1521</v>
      </c>
      <c r="H576" s="82" t="s">
        <v>3933</v>
      </c>
      <c r="I576" s="79" t="s">
        <v>2666</v>
      </c>
      <c r="J576" s="83">
        <v>48.74</v>
      </c>
      <c r="K576" s="83">
        <v>37.135238095238094</v>
      </c>
      <c r="L576" s="83">
        <v>34.040634920634922</v>
      </c>
      <c r="M576" s="84">
        <v>31.42212454212455</v>
      </c>
      <c r="N576" s="59">
        <f t="shared" si="8"/>
        <v>0.35531135531135516</v>
      </c>
      <c r="O576" s="85" t="s">
        <v>1399</v>
      </c>
      <c r="P576" s="86" t="s">
        <v>2742</v>
      </c>
      <c r="Q576" s="87" t="s">
        <v>3208</v>
      </c>
      <c r="R576" s="87">
        <v>10</v>
      </c>
      <c r="S576" s="88">
        <v>4.8740000000000006</v>
      </c>
      <c r="T576" s="88">
        <v>3.404063492063492</v>
      </c>
      <c r="U576" s="88">
        <v>3.142212454212455</v>
      </c>
      <c r="V576" s="87" t="s">
        <v>3061</v>
      </c>
      <c r="W576" s="87" t="s">
        <v>3106</v>
      </c>
      <c r="X576" s="90" t="s">
        <v>3477</v>
      </c>
      <c r="Y576" s="89"/>
      <c r="Z576" s="89">
        <v>6</v>
      </c>
      <c r="AA576" s="89"/>
      <c r="AB576" s="89"/>
    </row>
    <row r="577" spans="1:28" s="31" customFormat="1" ht="60" customHeight="1" x14ac:dyDescent="0.2">
      <c r="A577" s="76">
        <v>576</v>
      </c>
      <c r="B577" s="77">
        <v>50001441</v>
      </c>
      <c r="C577" s="78" t="s">
        <v>1522</v>
      </c>
      <c r="D577" s="79">
        <v>0.05</v>
      </c>
      <c r="E577" s="80">
        <v>30049069</v>
      </c>
      <c r="F577" s="81" t="s">
        <v>1523</v>
      </c>
      <c r="G577" s="82" t="s">
        <v>1524</v>
      </c>
      <c r="H577" s="82" t="s">
        <v>3798</v>
      </c>
      <c r="I577" s="79" t="s">
        <v>2680</v>
      </c>
      <c r="J577" s="83">
        <v>62.81</v>
      </c>
      <c r="K577" s="83">
        <v>47.855238095238093</v>
      </c>
      <c r="L577" s="83">
        <v>39.87936507936508</v>
      </c>
      <c r="M577" s="84">
        <v>39.879365079365087</v>
      </c>
      <c r="N577" s="59">
        <f t="shared" si="8"/>
        <v>0.365079365079365</v>
      </c>
      <c r="O577" s="85" t="s">
        <v>1399</v>
      </c>
      <c r="P577" s="86" t="s">
        <v>4664</v>
      </c>
      <c r="Q577" s="87" t="s">
        <v>3208</v>
      </c>
      <c r="R577" s="87">
        <v>1</v>
      </c>
      <c r="S577" s="88">
        <v>62.81</v>
      </c>
      <c r="T577" s="88">
        <v>39.87936507936508</v>
      </c>
      <c r="U577" s="88">
        <v>39.879365079365087</v>
      </c>
      <c r="V577" s="87" t="s">
        <v>3062</v>
      </c>
      <c r="W577" s="87" t="s">
        <v>3106</v>
      </c>
      <c r="X577" s="90" t="s">
        <v>3480</v>
      </c>
      <c r="Y577" s="89"/>
      <c r="Z577" s="89">
        <v>1</v>
      </c>
      <c r="AA577" s="89"/>
      <c r="AB577" s="89"/>
    </row>
    <row r="578" spans="1:28" s="31" customFormat="1" ht="60" customHeight="1" x14ac:dyDescent="0.2">
      <c r="A578" s="76">
        <v>577</v>
      </c>
      <c r="B578" s="77">
        <v>50001100</v>
      </c>
      <c r="C578" s="78" t="s">
        <v>1525</v>
      </c>
      <c r="D578" s="79">
        <v>0.05</v>
      </c>
      <c r="E578" s="80">
        <v>30049099</v>
      </c>
      <c r="F578" s="81" t="s">
        <v>1526</v>
      </c>
      <c r="G578" s="82" t="s">
        <v>1527</v>
      </c>
      <c r="H578" s="82" t="s">
        <v>3934</v>
      </c>
      <c r="I578" s="79" t="s">
        <v>2666</v>
      </c>
      <c r="J578" s="83">
        <v>55.3</v>
      </c>
      <c r="K578" s="83">
        <v>42.133333333333333</v>
      </c>
      <c r="L578" s="83">
        <v>32.410256410256409</v>
      </c>
      <c r="M578" s="84">
        <v>31.565669135802469</v>
      </c>
      <c r="N578" s="59">
        <f t="shared" ref="N578:N641" si="9">(J578-M578)/J578</f>
        <v>0.42919223985890648</v>
      </c>
      <c r="O578" s="85" t="s">
        <v>1399</v>
      </c>
      <c r="P578" s="86" t="s">
        <v>4741</v>
      </c>
      <c r="Q578" s="87" t="s">
        <v>3208</v>
      </c>
      <c r="R578" s="87">
        <v>10</v>
      </c>
      <c r="S578" s="88">
        <v>5.5299999999999994</v>
      </c>
      <c r="T578" s="88">
        <v>3.2410256410256411</v>
      </c>
      <c r="U578" s="88">
        <v>3.1565669135802468</v>
      </c>
      <c r="V578" s="87" t="s">
        <v>3061</v>
      </c>
      <c r="W578" s="87" t="s">
        <v>3105</v>
      </c>
      <c r="X578" s="90" t="s">
        <v>3477</v>
      </c>
      <c r="Y578" s="89"/>
      <c r="Z578" s="89">
        <v>10</v>
      </c>
      <c r="AA578" s="89"/>
      <c r="AB578" s="89"/>
    </row>
    <row r="579" spans="1:28" s="31" customFormat="1" ht="60" customHeight="1" x14ac:dyDescent="0.2">
      <c r="A579" s="76">
        <v>578</v>
      </c>
      <c r="B579" s="77">
        <v>50001834</v>
      </c>
      <c r="C579" s="78" t="s">
        <v>1528</v>
      </c>
      <c r="D579" s="79">
        <v>0.05</v>
      </c>
      <c r="E579" s="80">
        <v>30049099</v>
      </c>
      <c r="F579" s="81" t="s">
        <v>1529</v>
      </c>
      <c r="G579" s="82" t="s">
        <v>1530</v>
      </c>
      <c r="H579" s="82" t="s">
        <v>3935</v>
      </c>
      <c r="I579" s="79" t="s">
        <v>2722</v>
      </c>
      <c r="J579" s="83">
        <v>218.43</v>
      </c>
      <c r="K579" s="83">
        <v>166.42285714285714</v>
      </c>
      <c r="L579" s="83">
        <v>110.94857142857143</v>
      </c>
      <c r="M579" s="84">
        <v>110.94857142857143</v>
      </c>
      <c r="N579" s="59">
        <f t="shared" si="9"/>
        <v>0.49206349206349209</v>
      </c>
      <c r="O579" s="85" t="s">
        <v>1399</v>
      </c>
      <c r="P579" s="86" t="s">
        <v>235</v>
      </c>
      <c r="Q579" s="87" t="s">
        <v>3208</v>
      </c>
      <c r="R579" s="87">
        <v>1</v>
      </c>
      <c r="S579" s="88">
        <v>218.43</v>
      </c>
      <c r="T579" s="88">
        <v>110.94857142857143</v>
      </c>
      <c r="U579" s="88">
        <v>110.94857142857143</v>
      </c>
      <c r="V579" s="87" t="s">
        <v>3066</v>
      </c>
      <c r="W579" s="87" t="s">
        <v>3104</v>
      </c>
      <c r="X579" s="90" t="s">
        <v>3481</v>
      </c>
      <c r="Y579" s="89"/>
      <c r="Z579" s="89">
        <v>1</v>
      </c>
      <c r="AA579" s="89"/>
      <c r="AB579" s="89"/>
    </row>
    <row r="580" spans="1:28" s="31" customFormat="1" ht="60" customHeight="1" x14ac:dyDescent="0.2">
      <c r="A580" s="76">
        <v>579</v>
      </c>
      <c r="B580" s="77">
        <v>50001052</v>
      </c>
      <c r="C580" s="78" t="s">
        <v>1531</v>
      </c>
      <c r="D580" s="79">
        <v>0.05</v>
      </c>
      <c r="E580" s="80">
        <v>30043200</v>
      </c>
      <c r="F580" s="81" t="s">
        <v>1532</v>
      </c>
      <c r="G580" s="82" t="s">
        <v>1533</v>
      </c>
      <c r="H580" s="82" t="s">
        <v>339</v>
      </c>
      <c r="I580" s="79" t="s">
        <v>2666</v>
      </c>
      <c r="J580" s="83">
        <v>64.59</v>
      </c>
      <c r="K580" s="83">
        <v>49.21142857142857</v>
      </c>
      <c r="L580" s="83">
        <v>44.290285714285709</v>
      </c>
      <c r="M580" s="84">
        <v>44.290285714285709</v>
      </c>
      <c r="N580" s="59">
        <f t="shared" si="9"/>
        <v>0.31428571428571439</v>
      </c>
      <c r="O580" s="85" t="s">
        <v>1399</v>
      </c>
      <c r="P580" s="86" t="s">
        <v>2732</v>
      </c>
      <c r="Q580" s="87" t="s">
        <v>3208</v>
      </c>
      <c r="R580" s="87">
        <v>10</v>
      </c>
      <c r="S580" s="88">
        <v>6.4590000000000005</v>
      </c>
      <c r="T580" s="88">
        <v>4.4290285714285709</v>
      </c>
      <c r="U580" s="88">
        <v>4.4290285714285709</v>
      </c>
      <c r="V580" s="87" t="s">
        <v>3061</v>
      </c>
      <c r="W580" s="87" t="s">
        <v>3115</v>
      </c>
      <c r="X580" s="90" t="s">
        <v>3477</v>
      </c>
      <c r="Y580" s="89"/>
      <c r="Z580" s="89">
        <v>10</v>
      </c>
      <c r="AA580" s="89"/>
      <c r="AB580" s="89"/>
    </row>
    <row r="581" spans="1:28" s="31" customFormat="1" ht="60" customHeight="1" x14ac:dyDescent="0.2">
      <c r="A581" s="76">
        <v>580</v>
      </c>
      <c r="B581" s="77">
        <v>50001382</v>
      </c>
      <c r="C581" s="78" t="s">
        <v>1534</v>
      </c>
      <c r="D581" s="79">
        <v>0.05</v>
      </c>
      <c r="E581" s="80">
        <v>30043200</v>
      </c>
      <c r="F581" s="81" t="s">
        <v>1535</v>
      </c>
      <c r="G581" s="82" t="s">
        <v>1536</v>
      </c>
      <c r="H581" s="82" t="s">
        <v>902</v>
      </c>
      <c r="I581" s="79" t="s">
        <v>2666</v>
      </c>
      <c r="J581" s="83">
        <v>77.36</v>
      </c>
      <c r="K581" s="83">
        <v>58.940952380952375</v>
      </c>
      <c r="L581" s="83">
        <v>53.046857142857142</v>
      </c>
      <c r="M581" s="84">
        <v>53.046857142857135</v>
      </c>
      <c r="N581" s="59">
        <f t="shared" si="9"/>
        <v>0.31428571428571439</v>
      </c>
      <c r="O581" s="85" t="s">
        <v>1399</v>
      </c>
      <c r="P581" s="86" t="s">
        <v>2854</v>
      </c>
      <c r="Q581" s="87" t="s">
        <v>3208</v>
      </c>
      <c r="R581" s="87">
        <v>10</v>
      </c>
      <c r="S581" s="88">
        <v>7.7359999999999998</v>
      </c>
      <c r="T581" s="88">
        <v>5.3046857142857142</v>
      </c>
      <c r="U581" s="88">
        <v>5.3046857142857133</v>
      </c>
      <c r="V581" s="87" t="s">
        <v>3061</v>
      </c>
      <c r="W581" s="87" t="s">
        <v>3115</v>
      </c>
      <c r="X581" s="90" t="s">
        <v>3477</v>
      </c>
      <c r="Y581" s="89"/>
      <c r="Z581" s="89">
        <v>10</v>
      </c>
      <c r="AA581" s="89"/>
      <c r="AB581" s="89"/>
    </row>
    <row r="582" spans="1:28" s="31" customFormat="1" ht="60" customHeight="1" x14ac:dyDescent="0.2">
      <c r="A582" s="76">
        <v>581</v>
      </c>
      <c r="B582" s="77">
        <v>50001008</v>
      </c>
      <c r="C582" s="78" t="s">
        <v>1537</v>
      </c>
      <c r="D582" s="79">
        <v>0.05</v>
      </c>
      <c r="E582" s="80">
        <v>30043200</v>
      </c>
      <c r="F582" s="81" t="s">
        <v>1538</v>
      </c>
      <c r="G582" s="82" t="s">
        <v>1539</v>
      </c>
      <c r="H582" s="82" t="s">
        <v>906</v>
      </c>
      <c r="I582" s="79" t="s">
        <v>2666</v>
      </c>
      <c r="J582" s="83">
        <v>122.8</v>
      </c>
      <c r="K582" s="83">
        <v>93.561904761904756</v>
      </c>
      <c r="L582" s="83">
        <v>85.765079365079359</v>
      </c>
      <c r="M582" s="84">
        <v>73.51292517006803</v>
      </c>
      <c r="N582" s="59">
        <f t="shared" si="9"/>
        <v>0.40136054421768702</v>
      </c>
      <c r="O582" s="85" t="s">
        <v>1399</v>
      </c>
      <c r="P582" s="86" t="s">
        <v>37</v>
      </c>
      <c r="Q582" s="87" t="s">
        <v>3208</v>
      </c>
      <c r="R582" s="87">
        <v>10</v>
      </c>
      <c r="S582" s="88">
        <v>12.28</v>
      </c>
      <c r="T582" s="88">
        <v>8.5765079365079355</v>
      </c>
      <c r="U582" s="88">
        <v>7.3512925170068026</v>
      </c>
      <c r="V582" s="87" t="s">
        <v>3061</v>
      </c>
      <c r="W582" s="87" t="s">
        <v>3115</v>
      </c>
      <c r="X582" s="90" t="s">
        <v>3477</v>
      </c>
      <c r="Y582" s="89"/>
      <c r="Z582" s="89">
        <v>6</v>
      </c>
      <c r="AA582" s="89"/>
      <c r="AB582" s="89"/>
    </row>
    <row r="583" spans="1:28" s="31" customFormat="1" ht="60" customHeight="1" x14ac:dyDescent="0.2">
      <c r="A583" s="76">
        <v>582</v>
      </c>
      <c r="B583" s="77">
        <v>50003789</v>
      </c>
      <c r="C583" s="78" t="s">
        <v>1540</v>
      </c>
      <c r="D583" s="79">
        <v>0.05</v>
      </c>
      <c r="E583" s="80">
        <v>30043200</v>
      </c>
      <c r="F583" s="81" t="s">
        <v>1541</v>
      </c>
      <c r="G583" s="82" t="s">
        <v>1542</v>
      </c>
      <c r="H583" s="82" t="s">
        <v>115</v>
      </c>
      <c r="I583" s="79" t="s">
        <v>115</v>
      </c>
      <c r="J583" s="83">
        <v>48.75</v>
      </c>
      <c r="K583" s="83">
        <v>37.142857142857146</v>
      </c>
      <c r="L583" s="83">
        <v>37.142857142857146</v>
      </c>
      <c r="M583" s="84">
        <v>37.142857142857139</v>
      </c>
      <c r="N583" s="59">
        <f t="shared" si="9"/>
        <v>0.23809523809523817</v>
      </c>
      <c r="O583" s="85" t="s">
        <v>1399</v>
      </c>
      <c r="P583" s="86" t="s">
        <v>2855</v>
      </c>
      <c r="Q583" s="87" t="s">
        <v>3207</v>
      </c>
      <c r="R583" s="87">
        <v>1</v>
      </c>
      <c r="S583" s="88">
        <v>48.75</v>
      </c>
      <c r="T583" s="88">
        <v>37.142857142857146</v>
      </c>
      <c r="U583" s="88">
        <v>37.142857142857139</v>
      </c>
      <c r="V583" s="87" t="s">
        <v>3067</v>
      </c>
      <c r="W583" s="87" t="s">
        <v>3115</v>
      </c>
      <c r="X583" s="90" t="s">
        <v>3479</v>
      </c>
      <c r="Y583" s="89"/>
      <c r="Z583" s="89">
        <v>1</v>
      </c>
      <c r="AA583" s="89"/>
      <c r="AB583" s="89"/>
    </row>
    <row r="584" spans="1:28" s="31" customFormat="1" ht="60" customHeight="1" x14ac:dyDescent="0.2">
      <c r="A584" s="76">
        <v>583</v>
      </c>
      <c r="B584" s="77">
        <v>50000032</v>
      </c>
      <c r="C584" s="78" t="s">
        <v>1543</v>
      </c>
      <c r="D584" s="79">
        <v>0.05</v>
      </c>
      <c r="E584" s="80">
        <v>30049029</v>
      </c>
      <c r="F584" s="81" t="s">
        <v>1544</v>
      </c>
      <c r="G584" s="82" t="s">
        <v>628</v>
      </c>
      <c r="H584" s="82" t="s">
        <v>629</v>
      </c>
      <c r="I584" s="79" t="s">
        <v>2684</v>
      </c>
      <c r="J584" s="83">
        <v>106.86</v>
      </c>
      <c r="K584" s="83">
        <v>81.417142857142863</v>
      </c>
      <c r="L584" s="83">
        <v>67.576228571428572</v>
      </c>
      <c r="M584" s="84">
        <v>67.576228571428558</v>
      </c>
      <c r="N584" s="59">
        <f t="shared" si="9"/>
        <v>0.36761904761904773</v>
      </c>
      <c r="O584" s="85" t="s">
        <v>1399</v>
      </c>
      <c r="P584" s="86" t="s">
        <v>2856</v>
      </c>
      <c r="Q584" s="87" t="s">
        <v>3208</v>
      </c>
      <c r="R584" s="87">
        <v>1</v>
      </c>
      <c r="S584" s="88">
        <v>106.86</v>
      </c>
      <c r="T584" s="88">
        <v>67.576228571428572</v>
      </c>
      <c r="U584" s="88">
        <v>67.576228571428558</v>
      </c>
      <c r="V584" s="87" t="s">
        <v>3068</v>
      </c>
      <c r="W584" s="87" t="s">
        <v>3104</v>
      </c>
      <c r="X584" s="90" t="s">
        <v>3490</v>
      </c>
      <c r="Y584" s="89"/>
      <c r="Z584" s="89">
        <v>1</v>
      </c>
      <c r="AA584" s="89"/>
      <c r="AB584" s="89"/>
    </row>
    <row r="585" spans="1:28" s="31" customFormat="1" ht="60" customHeight="1" x14ac:dyDescent="0.2">
      <c r="A585" s="76">
        <v>584</v>
      </c>
      <c r="B585" s="77">
        <v>50005619</v>
      </c>
      <c r="C585" s="78" t="s">
        <v>3503</v>
      </c>
      <c r="D585" s="79">
        <v>0.05</v>
      </c>
      <c r="E585" s="80">
        <v>30049099</v>
      </c>
      <c r="F585" s="81" t="s">
        <v>3504</v>
      </c>
      <c r="G585" s="82" t="s">
        <v>3614</v>
      </c>
      <c r="H585" s="82" t="s">
        <v>3936</v>
      </c>
      <c r="I585" s="79" t="s">
        <v>2687</v>
      </c>
      <c r="J585" s="83">
        <v>185.91</v>
      </c>
      <c r="K585" s="83">
        <v>141.64571428571429</v>
      </c>
      <c r="L585" s="83">
        <v>118.03809523809525</v>
      </c>
      <c r="M585" s="84">
        <v>118.03809523809525</v>
      </c>
      <c r="N585" s="59">
        <f t="shared" si="9"/>
        <v>0.365079365079365</v>
      </c>
      <c r="O585" s="85" t="s">
        <v>1399</v>
      </c>
      <c r="P585" s="86" t="s">
        <v>3522</v>
      </c>
      <c r="Q585" s="87" t="s">
        <v>3208</v>
      </c>
      <c r="R585" s="87">
        <v>1</v>
      </c>
      <c r="S585" s="88">
        <v>185.91</v>
      </c>
      <c r="T585" s="88">
        <v>118.03809523809525</v>
      </c>
      <c r="U585" s="88">
        <v>118.03809523809525</v>
      </c>
      <c r="V585" s="87" t="s">
        <v>3062</v>
      </c>
      <c r="W585" s="87" t="s">
        <v>3108</v>
      </c>
      <c r="X585" s="90" t="s">
        <v>3484</v>
      </c>
      <c r="Y585" s="89"/>
      <c r="Z585" s="89">
        <v>1</v>
      </c>
      <c r="AA585" s="89" t="s">
        <v>3207</v>
      </c>
      <c r="AB585" s="89"/>
    </row>
    <row r="586" spans="1:28" s="31" customFormat="1" ht="60" customHeight="1" x14ac:dyDescent="0.2">
      <c r="A586" s="76">
        <v>585</v>
      </c>
      <c r="B586" s="77">
        <v>50005620</v>
      </c>
      <c r="C586" s="78" t="s">
        <v>3505</v>
      </c>
      <c r="D586" s="79">
        <v>0.05</v>
      </c>
      <c r="E586" s="80">
        <v>30049099</v>
      </c>
      <c r="F586" s="81" t="s">
        <v>3506</v>
      </c>
      <c r="G586" s="82" t="s">
        <v>3614</v>
      </c>
      <c r="H586" s="82" t="s">
        <v>3936</v>
      </c>
      <c r="I586" s="79" t="s">
        <v>2687</v>
      </c>
      <c r="J586" s="83">
        <v>199</v>
      </c>
      <c r="K586" s="83">
        <v>151.61904761904762</v>
      </c>
      <c r="L586" s="83">
        <v>126.34920634920634</v>
      </c>
      <c r="M586" s="84">
        <v>126.34920634920634</v>
      </c>
      <c r="N586" s="59">
        <f t="shared" si="9"/>
        <v>0.36507936507936511</v>
      </c>
      <c r="O586" s="85" t="s">
        <v>1399</v>
      </c>
      <c r="P586" s="86" t="s">
        <v>3522</v>
      </c>
      <c r="Q586" s="87" t="s">
        <v>3208</v>
      </c>
      <c r="R586" s="87">
        <v>1</v>
      </c>
      <c r="S586" s="88">
        <v>199</v>
      </c>
      <c r="T586" s="88">
        <v>126.34920634920634</v>
      </c>
      <c r="U586" s="88">
        <v>126.34920634920634</v>
      </c>
      <c r="V586" s="87" t="s">
        <v>3062</v>
      </c>
      <c r="W586" s="87" t="s">
        <v>3108</v>
      </c>
      <c r="X586" s="90" t="s">
        <v>3484</v>
      </c>
      <c r="Y586" s="89"/>
      <c r="Z586" s="89">
        <v>1</v>
      </c>
      <c r="AA586" s="89" t="s">
        <v>3207</v>
      </c>
      <c r="AB586" s="89" t="s">
        <v>4613</v>
      </c>
    </row>
    <row r="587" spans="1:28" s="31" customFormat="1" ht="60" customHeight="1" x14ac:dyDescent="0.2">
      <c r="A587" s="76">
        <v>586</v>
      </c>
      <c r="B587" s="77">
        <v>50002400</v>
      </c>
      <c r="C587" s="78" t="s">
        <v>1589</v>
      </c>
      <c r="D587" s="79">
        <v>0.05</v>
      </c>
      <c r="E587" s="80">
        <v>21069099</v>
      </c>
      <c r="F587" s="81" t="s">
        <v>1590</v>
      </c>
      <c r="G587" s="82" t="s">
        <v>1591</v>
      </c>
      <c r="H587" s="82" t="s">
        <v>3937</v>
      </c>
      <c r="I587" s="79" t="s">
        <v>2666</v>
      </c>
      <c r="J587" s="83">
        <v>193</v>
      </c>
      <c r="K587" s="83">
        <v>147.04761904761904</v>
      </c>
      <c r="L587" s="83">
        <v>134.79365079365078</v>
      </c>
      <c r="M587" s="84">
        <v>134.79365079365078</v>
      </c>
      <c r="N587" s="59">
        <f t="shared" si="9"/>
        <v>0.30158730158730163</v>
      </c>
      <c r="O587" s="85" t="s">
        <v>1399</v>
      </c>
      <c r="P587" s="86" t="s">
        <v>2863</v>
      </c>
      <c r="Q587" s="87" t="s">
        <v>3208</v>
      </c>
      <c r="R587" s="87">
        <v>10</v>
      </c>
      <c r="S587" s="88">
        <v>19.3</v>
      </c>
      <c r="T587" s="88">
        <v>13.479365079365078</v>
      </c>
      <c r="U587" s="88">
        <v>13.479365079365078</v>
      </c>
      <c r="V587" s="87" t="s">
        <v>3061</v>
      </c>
      <c r="W587" s="87" t="s">
        <v>3108</v>
      </c>
      <c r="X587" s="90" t="s">
        <v>3477</v>
      </c>
      <c r="Y587" s="89"/>
      <c r="Z587" s="89">
        <v>6</v>
      </c>
      <c r="AA587" s="89" t="s">
        <v>3207</v>
      </c>
      <c r="AB587" s="89"/>
    </row>
    <row r="588" spans="1:28" s="31" customFormat="1" ht="60" customHeight="1" x14ac:dyDescent="0.2">
      <c r="A588" s="76">
        <v>587</v>
      </c>
      <c r="B588" s="77">
        <v>50000955</v>
      </c>
      <c r="C588" s="78" t="s">
        <v>1545</v>
      </c>
      <c r="D588" s="79">
        <v>0.05</v>
      </c>
      <c r="E588" s="80">
        <v>30049099</v>
      </c>
      <c r="F588" s="81" t="s">
        <v>1546</v>
      </c>
      <c r="G588" s="82" t="s">
        <v>1547</v>
      </c>
      <c r="H588" s="82" t="s">
        <v>3938</v>
      </c>
      <c r="I588" s="79" t="s">
        <v>2704</v>
      </c>
      <c r="J588" s="83">
        <v>82.34</v>
      </c>
      <c r="K588" s="83">
        <v>62.735238095238095</v>
      </c>
      <c r="L588" s="83">
        <v>62.735238095238095</v>
      </c>
      <c r="M588" s="84">
        <v>56.461714285714301</v>
      </c>
      <c r="N588" s="59">
        <f t="shared" si="9"/>
        <v>0.31428571428571411</v>
      </c>
      <c r="O588" s="85" t="s">
        <v>1399</v>
      </c>
      <c r="P588" s="86" t="s">
        <v>235</v>
      </c>
      <c r="Q588" s="87" t="s">
        <v>3208</v>
      </c>
      <c r="R588" s="87">
        <v>1</v>
      </c>
      <c r="S588" s="88">
        <v>82.34</v>
      </c>
      <c r="T588" s="88">
        <v>62.735238095238095</v>
      </c>
      <c r="U588" s="88">
        <v>56.461714285714301</v>
      </c>
      <c r="V588" s="87" t="s">
        <v>3062</v>
      </c>
      <c r="W588" s="87" t="s">
        <v>3104</v>
      </c>
      <c r="X588" s="90" t="s">
        <v>3483</v>
      </c>
      <c r="Y588" s="89"/>
      <c r="Z588" s="89">
        <v>1</v>
      </c>
      <c r="AA588" s="89"/>
      <c r="AB588" s="89"/>
    </row>
    <row r="589" spans="1:28" s="31" customFormat="1" ht="60" customHeight="1" x14ac:dyDescent="0.2">
      <c r="A589" s="76">
        <v>588</v>
      </c>
      <c r="B589" s="77">
        <v>50001152</v>
      </c>
      <c r="C589" s="78" t="s">
        <v>1545</v>
      </c>
      <c r="D589" s="79">
        <v>0.05</v>
      </c>
      <c r="E589" s="80">
        <v>30049099</v>
      </c>
      <c r="F589" s="81" t="s">
        <v>1546</v>
      </c>
      <c r="G589" s="82" t="s">
        <v>1547</v>
      </c>
      <c r="H589" s="82" t="s">
        <v>3938</v>
      </c>
      <c r="I589" s="79" t="s">
        <v>2682</v>
      </c>
      <c r="J589" s="83">
        <v>114.36</v>
      </c>
      <c r="K589" s="83">
        <v>87.131428571428572</v>
      </c>
      <c r="L589" s="83">
        <v>87.131428571428572</v>
      </c>
      <c r="M589" s="84">
        <v>78.418285714285702</v>
      </c>
      <c r="N589" s="59">
        <f t="shared" si="9"/>
        <v>0.31428571428571439</v>
      </c>
      <c r="O589" s="85" t="s">
        <v>1399</v>
      </c>
      <c r="P589" s="86" t="s">
        <v>235</v>
      </c>
      <c r="Q589" s="87" t="s">
        <v>3208</v>
      </c>
      <c r="R589" s="87">
        <v>1</v>
      </c>
      <c r="S589" s="88">
        <v>114.36</v>
      </c>
      <c r="T589" s="88">
        <v>87.131428571428572</v>
      </c>
      <c r="U589" s="88">
        <v>78.418285714285702</v>
      </c>
      <c r="V589" s="87" t="s">
        <v>3062</v>
      </c>
      <c r="W589" s="87" t="s">
        <v>3104</v>
      </c>
      <c r="X589" s="90" t="s">
        <v>3483</v>
      </c>
      <c r="Y589" s="89"/>
      <c r="Z589" s="89">
        <v>1</v>
      </c>
      <c r="AA589" s="89"/>
      <c r="AB589" s="89"/>
    </row>
    <row r="590" spans="1:28" s="31" customFormat="1" ht="60" customHeight="1" x14ac:dyDescent="0.2">
      <c r="A590" s="76">
        <v>589</v>
      </c>
      <c r="B590" s="77">
        <v>50002936</v>
      </c>
      <c r="C590" s="78" t="s">
        <v>1548</v>
      </c>
      <c r="D590" s="79">
        <v>0.05</v>
      </c>
      <c r="E590" s="80">
        <v>34011110</v>
      </c>
      <c r="F590" s="81" t="s">
        <v>1549</v>
      </c>
      <c r="G590" s="82" t="s">
        <v>1550</v>
      </c>
      <c r="H590" s="82" t="s">
        <v>1551</v>
      </c>
      <c r="I590" s="79" t="s">
        <v>2684</v>
      </c>
      <c r="J590" s="83">
        <v>94.32</v>
      </c>
      <c r="K590" s="83">
        <v>71.862857142857138</v>
      </c>
      <c r="L590" s="83">
        <v>65.874285714285705</v>
      </c>
      <c r="M590" s="84">
        <v>59.885714285714265</v>
      </c>
      <c r="N590" s="59">
        <f t="shared" si="9"/>
        <v>0.36507936507936528</v>
      </c>
      <c r="O590" s="85" t="s">
        <v>1399</v>
      </c>
      <c r="P590" s="86" t="s">
        <v>235</v>
      </c>
      <c r="Q590" s="87" t="s">
        <v>3208</v>
      </c>
      <c r="R590" s="87">
        <v>1</v>
      </c>
      <c r="S590" s="88">
        <v>94.32</v>
      </c>
      <c r="T590" s="88">
        <v>65.874285714285705</v>
      </c>
      <c r="U590" s="88">
        <v>59.885714285714265</v>
      </c>
      <c r="V590" s="87" t="s">
        <v>3063</v>
      </c>
      <c r="W590" s="87" t="s">
        <v>3104</v>
      </c>
      <c r="X590" s="90" t="s">
        <v>3488</v>
      </c>
      <c r="Y590" s="89"/>
      <c r="Z590" s="89">
        <v>1</v>
      </c>
      <c r="AA590" s="89"/>
      <c r="AB590" s="89"/>
    </row>
    <row r="591" spans="1:28" s="31" customFormat="1" ht="60" customHeight="1" x14ac:dyDescent="0.2">
      <c r="A591" s="76">
        <v>590</v>
      </c>
      <c r="B591" s="77">
        <v>50005885</v>
      </c>
      <c r="C591" s="78" t="s">
        <v>4528</v>
      </c>
      <c r="D591" s="79">
        <v>0.05</v>
      </c>
      <c r="E591" s="80">
        <v>30049011</v>
      </c>
      <c r="F591" s="81" t="s">
        <v>4596</v>
      </c>
      <c r="G591" s="82" t="s">
        <v>4596</v>
      </c>
      <c r="H591" s="82"/>
      <c r="I591" s="79" t="s">
        <v>2687</v>
      </c>
      <c r="J591" s="83">
        <v>233.5</v>
      </c>
      <c r="K591" s="83">
        <v>177.9047619047619</v>
      </c>
      <c r="L591" s="83">
        <v>142.32380952380953</v>
      </c>
      <c r="M591" s="84">
        <v>128.09142857142859</v>
      </c>
      <c r="N591" s="59">
        <f t="shared" si="9"/>
        <v>0.45142857142857135</v>
      </c>
      <c r="O591" s="85" t="s">
        <v>1399</v>
      </c>
      <c r="P591" s="86" t="s">
        <v>4605</v>
      </c>
      <c r="Q591" s="87" t="s">
        <v>3208</v>
      </c>
      <c r="R591" s="87">
        <v>1</v>
      </c>
      <c r="S591" s="88">
        <v>233.5</v>
      </c>
      <c r="T591" s="88">
        <v>142.32380952380953</v>
      </c>
      <c r="U591" s="88">
        <v>128.09142857142859</v>
      </c>
      <c r="V591" s="87" t="s">
        <v>3062</v>
      </c>
      <c r="W591" s="87" t="s">
        <v>3112</v>
      </c>
      <c r="X591" s="90" t="s">
        <v>4611</v>
      </c>
      <c r="Y591" s="89"/>
      <c r="Z591" s="89"/>
      <c r="AA591" s="89"/>
      <c r="AB591" s="89"/>
    </row>
    <row r="592" spans="1:28" s="31" customFormat="1" ht="60" customHeight="1" x14ac:dyDescent="0.2">
      <c r="A592" s="76">
        <v>591</v>
      </c>
      <c r="B592" s="77">
        <v>50005892</v>
      </c>
      <c r="C592" s="78" t="s">
        <v>4529</v>
      </c>
      <c r="D592" s="79">
        <v>0.05</v>
      </c>
      <c r="E592" s="80">
        <v>30049011</v>
      </c>
      <c r="F592" s="81" t="s">
        <v>4597</v>
      </c>
      <c r="G592" s="82" t="s">
        <v>4597</v>
      </c>
      <c r="H592" s="82"/>
      <c r="I592" s="79" t="s">
        <v>4598</v>
      </c>
      <c r="J592" s="83">
        <v>136.5</v>
      </c>
      <c r="K592" s="83">
        <v>104</v>
      </c>
      <c r="L592" s="83">
        <v>86.666666666666671</v>
      </c>
      <c r="M592" s="84">
        <v>78</v>
      </c>
      <c r="N592" s="59">
        <f t="shared" si="9"/>
        <v>0.42857142857142855</v>
      </c>
      <c r="O592" s="85" t="s">
        <v>1399</v>
      </c>
      <c r="P592" s="86" t="s">
        <v>4605</v>
      </c>
      <c r="Q592" s="87" t="s">
        <v>3208</v>
      </c>
      <c r="R592" s="87">
        <v>20</v>
      </c>
      <c r="S592" s="88">
        <v>6.8250000000000002</v>
      </c>
      <c r="T592" s="88">
        <v>4.3333333333333339</v>
      </c>
      <c r="U592" s="88">
        <v>3.9</v>
      </c>
      <c r="V592" s="87" t="s">
        <v>3061</v>
      </c>
      <c r="W592" s="87" t="s">
        <v>3112</v>
      </c>
      <c r="X592" s="90" t="s">
        <v>3477</v>
      </c>
      <c r="Y592" s="89"/>
      <c r="Z592" s="89"/>
      <c r="AA592" s="89"/>
      <c r="AB592" s="89"/>
    </row>
    <row r="593" spans="1:28" s="31" customFormat="1" ht="60" customHeight="1" x14ac:dyDescent="0.2">
      <c r="A593" s="76">
        <v>592</v>
      </c>
      <c r="B593" s="77">
        <v>50002276</v>
      </c>
      <c r="C593" s="78" t="s">
        <v>1552</v>
      </c>
      <c r="D593" s="79">
        <v>0.05</v>
      </c>
      <c r="E593" s="80">
        <v>30049029</v>
      </c>
      <c r="F593" s="81" t="s">
        <v>1553</v>
      </c>
      <c r="G593" s="82" t="s">
        <v>1554</v>
      </c>
      <c r="H593" s="82" t="s">
        <v>66</v>
      </c>
      <c r="I593" s="79" t="s">
        <v>2670</v>
      </c>
      <c r="J593" s="83">
        <v>124.68</v>
      </c>
      <c r="K593" s="83">
        <v>94.994285714285724</v>
      </c>
      <c r="L593" s="83">
        <v>87.078095238095258</v>
      </c>
      <c r="M593" s="84">
        <v>80.379780219780258</v>
      </c>
      <c r="N593" s="59">
        <f t="shared" si="9"/>
        <v>0.35531135531135505</v>
      </c>
      <c r="O593" s="85" t="s">
        <v>1399</v>
      </c>
      <c r="P593" s="86" t="s">
        <v>2857</v>
      </c>
      <c r="Q593" s="87" t="s">
        <v>3208</v>
      </c>
      <c r="R593" s="87">
        <v>7</v>
      </c>
      <c r="S593" s="88">
        <v>17.811428571428571</v>
      </c>
      <c r="T593" s="88">
        <v>12.439727891156465</v>
      </c>
      <c r="U593" s="88">
        <v>11.482825745682893</v>
      </c>
      <c r="V593" s="87" t="s">
        <v>3061</v>
      </c>
      <c r="W593" s="87" t="s">
        <v>3104</v>
      </c>
      <c r="X593" s="90" t="s">
        <v>3477</v>
      </c>
      <c r="Y593" s="89"/>
      <c r="Z593" s="89">
        <v>2</v>
      </c>
      <c r="AA593" s="89"/>
      <c r="AB593" s="89"/>
    </row>
    <row r="594" spans="1:28" s="31" customFormat="1" ht="60" customHeight="1" x14ac:dyDescent="0.2">
      <c r="A594" s="76">
        <v>593</v>
      </c>
      <c r="B594" s="77">
        <v>50002946</v>
      </c>
      <c r="C594" s="78" t="s">
        <v>1555</v>
      </c>
      <c r="D594" s="79">
        <v>0.05</v>
      </c>
      <c r="E594" s="80">
        <v>30049029</v>
      </c>
      <c r="F594" s="81" t="s">
        <v>1556</v>
      </c>
      <c r="G594" s="82" t="s">
        <v>1557</v>
      </c>
      <c r="H594" s="82" t="s">
        <v>72</v>
      </c>
      <c r="I594" s="79" t="s">
        <v>2670</v>
      </c>
      <c r="J594" s="83">
        <v>204.37</v>
      </c>
      <c r="K594" s="83">
        <v>155.71047619047619</v>
      </c>
      <c r="L594" s="83">
        <v>142.73460317460317</v>
      </c>
      <c r="M594" s="84">
        <v>131.7550183150183</v>
      </c>
      <c r="N594" s="59">
        <f t="shared" si="9"/>
        <v>0.35531135531135538</v>
      </c>
      <c r="O594" s="85" t="s">
        <v>1399</v>
      </c>
      <c r="P594" s="86" t="s">
        <v>3201</v>
      </c>
      <c r="Q594" s="87" t="s">
        <v>3208</v>
      </c>
      <c r="R594" s="87">
        <v>7</v>
      </c>
      <c r="S594" s="88">
        <v>29.195714285714285</v>
      </c>
      <c r="T594" s="88">
        <v>20.390657596371881</v>
      </c>
      <c r="U594" s="88">
        <v>18.822145473574043</v>
      </c>
      <c r="V594" s="87" t="s">
        <v>3061</v>
      </c>
      <c r="W594" s="87" t="s">
        <v>3104</v>
      </c>
      <c r="X594" s="90" t="s">
        <v>3477</v>
      </c>
      <c r="Y594" s="89"/>
      <c r="Z594" s="89">
        <v>3</v>
      </c>
      <c r="AA594" s="89"/>
      <c r="AB594" s="89"/>
    </row>
    <row r="595" spans="1:28" s="31" customFormat="1" ht="60" customHeight="1" x14ac:dyDescent="0.2">
      <c r="A595" s="76">
        <v>594</v>
      </c>
      <c r="B595" s="77">
        <v>50002370</v>
      </c>
      <c r="C595" s="78" t="s">
        <v>1558</v>
      </c>
      <c r="D595" s="79">
        <v>0.05</v>
      </c>
      <c r="E595" s="80">
        <v>30049029</v>
      </c>
      <c r="F595" s="81" t="s">
        <v>1559</v>
      </c>
      <c r="G595" s="82" t="s">
        <v>1560</v>
      </c>
      <c r="H595" s="82" t="s">
        <v>629</v>
      </c>
      <c r="I595" s="79" t="s">
        <v>2772</v>
      </c>
      <c r="J595" s="83">
        <v>134.99</v>
      </c>
      <c r="K595" s="83">
        <v>102.84952380952382</v>
      </c>
      <c r="L595" s="83">
        <v>102.84952380952382</v>
      </c>
      <c r="M595" s="84">
        <v>85.707936507936523</v>
      </c>
      <c r="N595" s="59">
        <f t="shared" si="9"/>
        <v>0.365079365079365</v>
      </c>
      <c r="O595" s="85" t="s">
        <v>1399</v>
      </c>
      <c r="P595" s="86" t="s">
        <v>53</v>
      </c>
      <c r="Q595" s="87" t="s">
        <v>3208</v>
      </c>
      <c r="R595" s="87">
        <v>1</v>
      </c>
      <c r="S595" s="88">
        <v>134.99</v>
      </c>
      <c r="T595" s="88">
        <v>102.84952380952382</v>
      </c>
      <c r="U595" s="88">
        <v>85.707936507936523</v>
      </c>
      <c r="V595" s="87" t="s">
        <v>3062</v>
      </c>
      <c r="W595" s="87" t="s">
        <v>3104</v>
      </c>
      <c r="X595" s="90" t="s">
        <v>3490</v>
      </c>
      <c r="Y595" s="89"/>
      <c r="Z595" s="89">
        <v>1</v>
      </c>
      <c r="AA595" s="89"/>
      <c r="AB595" s="89"/>
    </row>
    <row r="596" spans="1:28" s="31" customFormat="1" ht="60" customHeight="1" x14ac:dyDescent="0.2">
      <c r="A596" s="76">
        <v>595</v>
      </c>
      <c r="B596" s="77">
        <v>50002278</v>
      </c>
      <c r="C596" s="78" t="s">
        <v>1561</v>
      </c>
      <c r="D596" s="79">
        <v>0.05</v>
      </c>
      <c r="E596" s="80">
        <v>30049029</v>
      </c>
      <c r="F596" s="81" t="s">
        <v>1562</v>
      </c>
      <c r="G596" s="82" t="s">
        <v>1563</v>
      </c>
      <c r="H596" s="82" t="s">
        <v>3939</v>
      </c>
      <c r="I596" s="79" t="s">
        <v>2771</v>
      </c>
      <c r="J596" s="83">
        <v>56.08</v>
      </c>
      <c r="K596" s="83">
        <v>42.727619047619051</v>
      </c>
      <c r="L596" s="83">
        <v>39.166984126984126</v>
      </c>
      <c r="M596" s="84">
        <v>33.571700680272109</v>
      </c>
      <c r="N596" s="59">
        <f t="shared" si="9"/>
        <v>0.40136054421768708</v>
      </c>
      <c r="O596" s="85" t="s">
        <v>1399</v>
      </c>
      <c r="P596" s="86" t="s">
        <v>2858</v>
      </c>
      <c r="Q596" s="87" t="s">
        <v>3207</v>
      </c>
      <c r="R596" s="87">
        <v>1</v>
      </c>
      <c r="S596" s="88">
        <v>56.08</v>
      </c>
      <c r="T596" s="88">
        <v>39.166984126984126</v>
      </c>
      <c r="U596" s="88">
        <v>33.571700680272109</v>
      </c>
      <c r="V596" s="87" t="s">
        <v>3066</v>
      </c>
      <c r="W596" s="87" t="s">
        <v>3104</v>
      </c>
      <c r="X596" s="90" t="s">
        <v>3481</v>
      </c>
      <c r="Y596" s="89"/>
      <c r="Z596" s="89">
        <v>1</v>
      </c>
      <c r="AA596" s="89"/>
      <c r="AB596" s="89"/>
    </row>
    <row r="597" spans="1:28" s="31" customFormat="1" ht="60" customHeight="1" x14ac:dyDescent="0.2">
      <c r="A597" s="76">
        <v>596</v>
      </c>
      <c r="B597" s="77">
        <v>50002985</v>
      </c>
      <c r="C597" s="78" t="s">
        <v>1564</v>
      </c>
      <c r="D597" s="79">
        <v>0.05</v>
      </c>
      <c r="E597" s="80">
        <v>30049099</v>
      </c>
      <c r="F597" s="81" t="s">
        <v>1565</v>
      </c>
      <c r="G597" s="82" t="s">
        <v>1566</v>
      </c>
      <c r="H597" s="82" t="s">
        <v>3940</v>
      </c>
      <c r="I597" s="79" t="s">
        <v>2771</v>
      </c>
      <c r="J597" s="83">
        <v>149.05000000000001</v>
      </c>
      <c r="K597" s="83">
        <v>113.56190476190477</v>
      </c>
      <c r="L597" s="83">
        <v>102.20571428571429</v>
      </c>
      <c r="M597" s="84">
        <v>91.985142857142847</v>
      </c>
      <c r="N597" s="59">
        <f t="shared" si="9"/>
        <v>0.38285714285714295</v>
      </c>
      <c r="O597" s="85" t="s">
        <v>1399</v>
      </c>
      <c r="P597" s="86" t="s">
        <v>630</v>
      </c>
      <c r="Q597" s="87" t="s">
        <v>3208</v>
      </c>
      <c r="R597" s="87">
        <v>1</v>
      </c>
      <c r="S597" s="88">
        <v>149.05000000000001</v>
      </c>
      <c r="T597" s="88">
        <v>102.20571428571429</v>
      </c>
      <c r="U597" s="88">
        <v>91.985142857142847</v>
      </c>
      <c r="V597" s="87" t="s">
        <v>3066</v>
      </c>
      <c r="W597" s="87" t="s">
        <v>3104</v>
      </c>
      <c r="X597" s="90" t="s">
        <v>3481</v>
      </c>
      <c r="Y597" s="89"/>
      <c r="Z597" s="89">
        <v>1</v>
      </c>
      <c r="AA597" s="89"/>
      <c r="AB597" s="89"/>
    </row>
    <row r="598" spans="1:28" s="31" customFormat="1" ht="60" customHeight="1" x14ac:dyDescent="0.2">
      <c r="A598" s="76">
        <v>597</v>
      </c>
      <c r="B598" s="77">
        <v>50003135</v>
      </c>
      <c r="C598" s="78" t="s">
        <v>1567</v>
      </c>
      <c r="D598" s="79">
        <v>0.05</v>
      </c>
      <c r="E598" s="80">
        <v>30043919</v>
      </c>
      <c r="F598" s="81" t="s">
        <v>1568</v>
      </c>
      <c r="G598" s="82" t="s">
        <v>1569</v>
      </c>
      <c r="H598" s="82" t="s">
        <v>343</v>
      </c>
      <c r="I598" s="79" t="s">
        <v>2666</v>
      </c>
      <c r="J598" s="83">
        <v>622.65</v>
      </c>
      <c r="K598" s="83">
        <v>474.4</v>
      </c>
      <c r="L598" s="83">
        <v>474.4</v>
      </c>
      <c r="M598" s="84">
        <v>395.33333333333326</v>
      </c>
      <c r="N598" s="59">
        <f t="shared" si="9"/>
        <v>0.36507936507936517</v>
      </c>
      <c r="O598" s="85" t="s">
        <v>1399</v>
      </c>
      <c r="P598" s="86" t="s">
        <v>2859</v>
      </c>
      <c r="Q598" s="87" t="s">
        <v>3208</v>
      </c>
      <c r="R598" s="87">
        <v>10</v>
      </c>
      <c r="S598" s="88">
        <v>62.265000000000001</v>
      </c>
      <c r="T598" s="88">
        <v>47.44</v>
      </c>
      <c r="U598" s="88">
        <v>39.533333333333324</v>
      </c>
      <c r="V598" s="87" t="s">
        <v>3061</v>
      </c>
      <c r="W598" s="87" t="s">
        <v>3113</v>
      </c>
      <c r="X598" s="90" t="s">
        <v>3477</v>
      </c>
      <c r="Y598" s="89"/>
      <c r="Z598" s="89">
        <v>3</v>
      </c>
      <c r="AA598" s="89"/>
      <c r="AB598" s="89"/>
    </row>
    <row r="599" spans="1:28" s="31" customFormat="1" ht="60" customHeight="1" x14ac:dyDescent="0.2">
      <c r="A599" s="76">
        <v>598</v>
      </c>
      <c r="B599" s="77">
        <v>50000470</v>
      </c>
      <c r="C599" s="78" t="s">
        <v>1570</v>
      </c>
      <c r="D599" s="79">
        <v>0.05</v>
      </c>
      <c r="E599" s="80">
        <v>30049099</v>
      </c>
      <c r="F599" s="81" t="s">
        <v>1571</v>
      </c>
      <c r="G599" s="82" t="s">
        <v>1572</v>
      </c>
      <c r="H599" s="82" t="s">
        <v>3941</v>
      </c>
      <c r="I599" s="79" t="s">
        <v>2682</v>
      </c>
      <c r="J599" s="83">
        <v>99.41</v>
      </c>
      <c r="K599" s="83">
        <v>75.740952380952379</v>
      </c>
      <c r="L599" s="83">
        <v>63.117460317460313</v>
      </c>
      <c r="M599" s="84">
        <v>60.5927619047619</v>
      </c>
      <c r="N599" s="59">
        <f t="shared" si="9"/>
        <v>0.39047619047619048</v>
      </c>
      <c r="O599" s="85" t="s">
        <v>1399</v>
      </c>
      <c r="P599" s="86" t="s">
        <v>2718</v>
      </c>
      <c r="Q599" s="87" t="s">
        <v>3208</v>
      </c>
      <c r="R599" s="87">
        <v>1</v>
      </c>
      <c r="S599" s="88">
        <v>99.41</v>
      </c>
      <c r="T599" s="88">
        <v>63.117460317460313</v>
      </c>
      <c r="U599" s="88">
        <v>60.5927619047619</v>
      </c>
      <c r="V599" s="87" t="s">
        <v>3062</v>
      </c>
      <c r="W599" s="87" t="s">
        <v>3116</v>
      </c>
      <c r="X599" s="90" t="s">
        <v>3484</v>
      </c>
      <c r="Y599" s="89"/>
      <c r="Z599" s="89">
        <v>1</v>
      </c>
      <c r="AA599" s="89"/>
      <c r="AB599" s="89"/>
    </row>
    <row r="600" spans="1:28" s="31" customFormat="1" ht="60" customHeight="1" x14ac:dyDescent="0.2">
      <c r="A600" s="76">
        <v>599</v>
      </c>
      <c r="B600" s="77">
        <v>50002694</v>
      </c>
      <c r="C600" s="78" t="s">
        <v>1573</v>
      </c>
      <c r="D600" s="79">
        <v>0.05</v>
      </c>
      <c r="E600" s="80">
        <v>30049099</v>
      </c>
      <c r="F600" s="81" t="s">
        <v>1574</v>
      </c>
      <c r="G600" s="82" t="s">
        <v>1575</v>
      </c>
      <c r="H600" s="82" t="s">
        <v>3942</v>
      </c>
      <c r="I600" s="79" t="s">
        <v>2666</v>
      </c>
      <c r="J600" s="83">
        <v>99.37</v>
      </c>
      <c r="K600" s="83">
        <v>75.710476190476186</v>
      </c>
      <c r="L600" s="83">
        <v>75.710476190476186</v>
      </c>
      <c r="M600" s="84">
        <v>68.139428571428567</v>
      </c>
      <c r="N600" s="59">
        <f t="shared" si="9"/>
        <v>0.31428571428571433</v>
      </c>
      <c r="O600" s="85" t="s">
        <v>1399</v>
      </c>
      <c r="P600" s="86" t="s">
        <v>4665</v>
      </c>
      <c r="Q600" s="87" t="s">
        <v>3208</v>
      </c>
      <c r="R600" s="87">
        <v>10</v>
      </c>
      <c r="S600" s="88">
        <v>9.9370000000000012</v>
      </c>
      <c r="T600" s="88">
        <v>7.5710476190476186</v>
      </c>
      <c r="U600" s="88">
        <v>6.8139428571428571</v>
      </c>
      <c r="V600" s="87" t="s">
        <v>3061</v>
      </c>
      <c r="W600" s="87" t="s">
        <v>3103</v>
      </c>
      <c r="X600" s="90" t="s">
        <v>3477</v>
      </c>
      <c r="Y600" s="89"/>
      <c r="Z600" s="89">
        <v>3</v>
      </c>
      <c r="AA600" s="89"/>
      <c r="AB600" s="89"/>
    </row>
    <row r="601" spans="1:28" s="31" customFormat="1" ht="60" customHeight="1" x14ac:dyDescent="0.2">
      <c r="A601" s="76">
        <v>600</v>
      </c>
      <c r="B601" s="77">
        <v>50002330</v>
      </c>
      <c r="C601" s="78" t="s">
        <v>1576</v>
      </c>
      <c r="D601" s="79">
        <v>0.05</v>
      </c>
      <c r="E601" s="80">
        <v>30049099</v>
      </c>
      <c r="F601" s="81" t="s">
        <v>1577</v>
      </c>
      <c r="G601" s="82" t="s">
        <v>1578</v>
      </c>
      <c r="H601" s="82" t="s">
        <v>3871</v>
      </c>
      <c r="I601" s="79" t="s">
        <v>2666</v>
      </c>
      <c r="J601" s="83">
        <v>120.53</v>
      </c>
      <c r="K601" s="83">
        <v>91.832380952380944</v>
      </c>
      <c r="L601" s="83">
        <v>84.179682539682531</v>
      </c>
      <c r="M601" s="84">
        <v>84.179682539682531</v>
      </c>
      <c r="N601" s="59">
        <f t="shared" si="9"/>
        <v>0.30158730158730168</v>
      </c>
      <c r="O601" s="85" t="s">
        <v>1399</v>
      </c>
      <c r="P601" s="86" t="s">
        <v>2860</v>
      </c>
      <c r="Q601" s="87" t="s">
        <v>3208</v>
      </c>
      <c r="R601" s="87">
        <v>10</v>
      </c>
      <c r="S601" s="88">
        <v>12.053000000000001</v>
      </c>
      <c r="T601" s="88">
        <v>8.4179682539682528</v>
      </c>
      <c r="U601" s="88">
        <v>8.4179682539682528</v>
      </c>
      <c r="V601" s="87" t="s">
        <v>3061</v>
      </c>
      <c r="W601" s="87" t="s">
        <v>3103</v>
      </c>
      <c r="X601" s="90" t="s">
        <v>3477</v>
      </c>
      <c r="Y601" s="89"/>
      <c r="Z601" s="89">
        <v>6</v>
      </c>
      <c r="AA601" s="89"/>
      <c r="AB601" s="89"/>
    </row>
    <row r="602" spans="1:28" s="31" customFormat="1" ht="60" customHeight="1" x14ac:dyDescent="0.2">
      <c r="A602" s="76">
        <v>601</v>
      </c>
      <c r="B602" s="77">
        <v>50005761</v>
      </c>
      <c r="C602" s="78" t="s">
        <v>4195</v>
      </c>
      <c r="D602" s="79">
        <v>0.05</v>
      </c>
      <c r="E602" s="80">
        <v>30049099</v>
      </c>
      <c r="F602" s="81" t="s">
        <v>4196</v>
      </c>
      <c r="G602" s="82" t="s">
        <v>1738</v>
      </c>
      <c r="H602" s="82" t="s">
        <v>3977</v>
      </c>
      <c r="I602" s="79" t="s">
        <v>2666</v>
      </c>
      <c r="J602" s="83">
        <v>164.06</v>
      </c>
      <c r="K602" s="83">
        <v>124.99809523809525</v>
      </c>
      <c r="L602" s="83">
        <v>104.16507936507936</v>
      </c>
      <c r="M602" s="84">
        <v>102.27116883116886</v>
      </c>
      <c r="N602" s="59">
        <f t="shared" si="9"/>
        <v>0.37662337662337642</v>
      </c>
      <c r="O602" s="85" t="s">
        <v>1399</v>
      </c>
      <c r="P602" s="86" t="s">
        <v>2792</v>
      </c>
      <c r="Q602" s="87" t="s">
        <v>3208</v>
      </c>
      <c r="R602" s="87">
        <v>10</v>
      </c>
      <c r="S602" s="88">
        <v>16.405999999999999</v>
      </c>
      <c r="T602" s="88">
        <v>10.416507936507937</v>
      </c>
      <c r="U602" s="88">
        <v>10.227116883116887</v>
      </c>
      <c r="V602" s="87" t="s">
        <v>3061</v>
      </c>
      <c r="W602" s="87" t="s">
        <v>3103</v>
      </c>
      <c r="X602" s="90" t="s">
        <v>3477</v>
      </c>
      <c r="Y602" s="89"/>
      <c r="Z602" s="89"/>
      <c r="AA602" s="89"/>
      <c r="AB602" s="89"/>
    </row>
    <row r="603" spans="1:28" s="31" customFormat="1" ht="60" customHeight="1" x14ac:dyDescent="0.2">
      <c r="A603" s="76">
        <v>602</v>
      </c>
      <c r="B603" s="77">
        <v>50001395</v>
      </c>
      <c r="C603" s="78" t="s">
        <v>1579</v>
      </c>
      <c r="D603" s="79">
        <v>0.05</v>
      </c>
      <c r="E603" s="80">
        <v>30049099</v>
      </c>
      <c r="F603" s="81" t="s">
        <v>1580</v>
      </c>
      <c r="G603" s="82" t="s">
        <v>1581</v>
      </c>
      <c r="H603" s="82" t="s">
        <v>500</v>
      </c>
      <c r="I603" s="79" t="s">
        <v>2671</v>
      </c>
      <c r="J603" s="83">
        <v>14.02</v>
      </c>
      <c r="K603" s="83">
        <v>10.681904761904763</v>
      </c>
      <c r="L603" s="83">
        <v>10.681904761904763</v>
      </c>
      <c r="M603" s="84">
        <v>9.6137142857142859</v>
      </c>
      <c r="N603" s="59">
        <f t="shared" si="9"/>
        <v>0.31428571428571428</v>
      </c>
      <c r="O603" s="85" t="s">
        <v>1399</v>
      </c>
      <c r="P603" s="86" t="s">
        <v>53</v>
      </c>
      <c r="Q603" s="87" t="s">
        <v>3208</v>
      </c>
      <c r="R603" s="87">
        <v>1</v>
      </c>
      <c r="S603" s="88">
        <v>14.02</v>
      </c>
      <c r="T603" s="88">
        <v>10.681904761904763</v>
      </c>
      <c r="U603" s="88">
        <v>9.6137142857142859</v>
      </c>
      <c r="V603" s="87" t="s">
        <v>3061</v>
      </c>
      <c r="W603" s="87" t="s">
        <v>3104</v>
      </c>
      <c r="X603" s="90" t="s">
        <v>3477</v>
      </c>
      <c r="Y603" s="89"/>
      <c r="Z603" s="89">
        <v>5</v>
      </c>
      <c r="AA603" s="89"/>
      <c r="AB603" s="89"/>
    </row>
    <row r="604" spans="1:28" s="31" customFormat="1" ht="60" customHeight="1" x14ac:dyDescent="0.2">
      <c r="A604" s="76">
        <v>603</v>
      </c>
      <c r="B604" s="77">
        <v>50000474</v>
      </c>
      <c r="C604" s="78" t="s">
        <v>1582</v>
      </c>
      <c r="D604" s="79">
        <v>0.05</v>
      </c>
      <c r="E604" s="80">
        <v>30049099</v>
      </c>
      <c r="F604" s="81" t="s">
        <v>1583</v>
      </c>
      <c r="G604" s="82" t="s">
        <v>1584</v>
      </c>
      <c r="H604" s="82" t="s">
        <v>590</v>
      </c>
      <c r="I604" s="79" t="s">
        <v>2861</v>
      </c>
      <c r="J604" s="83">
        <v>92.2</v>
      </c>
      <c r="K604" s="83">
        <v>70.247619047619054</v>
      </c>
      <c r="L604" s="83">
        <v>58.539682539682552</v>
      </c>
      <c r="M604" s="84">
        <v>58.539682539682566</v>
      </c>
      <c r="N604" s="59">
        <f t="shared" si="9"/>
        <v>0.36507936507936484</v>
      </c>
      <c r="O604" s="85" t="s">
        <v>1399</v>
      </c>
      <c r="P604" s="86" t="s">
        <v>53</v>
      </c>
      <c r="Q604" s="87" t="s">
        <v>3207</v>
      </c>
      <c r="R604" s="87">
        <v>4</v>
      </c>
      <c r="S604" s="88">
        <v>23.05</v>
      </c>
      <c r="T604" s="88">
        <v>14.634920634920638</v>
      </c>
      <c r="U604" s="88">
        <v>14.634920634920642</v>
      </c>
      <c r="V604" s="87" t="s">
        <v>3061</v>
      </c>
      <c r="W604" s="87" t="s">
        <v>3104</v>
      </c>
      <c r="X604" s="90" t="s">
        <v>3477</v>
      </c>
      <c r="Y604" s="89"/>
      <c r="Z604" s="89">
        <v>4</v>
      </c>
      <c r="AA604" s="89"/>
      <c r="AB604" s="89"/>
    </row>
    <row r="605" spans="1:28" s="31" customFormat="1" ht="60" customHeight="1" x14ac:dyDescent="0.2">
      <c r="A605" s="76">
        <v>604</v>
      </c>
      <c r="B605" s="77">
        <v>50003374</v>
      </c>
      <c r="C605" s="78" t="s">
        <v>1585</v>
      </c>
      <c r="D605" s="79">
        <v>0.05</v>
      </c>
      <c r="E605" s="80">
        <v>30049099</v>
      </c>
      <c r="F605" s="81" t="s">
        <v>1586</v>
      </c>
      <c r="G605" s="82" t="s">
        <v>1587</v>
      </c>
      <c r="H605" s="82" t="s">
        <v>1588</v>
      </c>
      <c r="I605" s="79" t="s">
        <v>2666</v>
      </c>
      <c r="J605" s="83">
        <v>398.33</v>
      </c>
      <c r="K605" s="83">
        <v>303.4895238095238</v>
      </c>
      <c r="L605" s="83">
        <v>252.90793650793648</v>
      </c>
      <c r="M605" s="84">
        <v>227.61714285714288</v>
      </c>
      <c r="N605" s="59">
        <f t="shared" si="9"/>
        <v>0.42857142857142849</v>
      </c>
      <c r="O605" s="85" t="s">
        <v>1399</v>
      </c>
      <c r="P605" s="86" t="s">
        <v>2862</v>
      </c>
      <c r="Q605" s="87" t="s">
        <v>3207</v>
      </c>
      <c r="R605" s="87">
        <v>10</v>
      </c>
      <c r="S605" s="88">
        <v>39.832999999999998</v>
      </c>
      <c r="T605" s="88">
        <v>25.290793650793649</v>
      </c>
      <c r="U605" s="88">
        <v>22.761714285714287</v>
      </c>
      <c r="V605" s="87" t="s">
        <v>3061</v>
      </c>
      <c r="W605" s="87" t="s">
        <v>3104</v>
      </c>
      <c r="X605" s="90" t="s">
        <v>3477</v>
      </c>
      <c r="Y605" s="89"/>
      <c r="Z605" s="89">
        <v>4</v>
      </c>
      <c r="AA605" s="89"/>
      <c r="AB605" s="89"/>
    </row>
    <row r="606" spans="1:28" s="31" customFormat="1" ht="60" customHeight="1" x14ac:dyDescent="0.2">
      <c r="A606" s="76">
        <v>605</v>
      </c>
      <c r="B606" s="77">
        <v>50005630</v>
      </c>
      <c r="C606" s="78" t="s">
        <v>3507</v>
      </c>
      <c r="D606" s="79">
        <v>0.05</v>
      </c>
      <c r="E606" s="80">
        <v>30049011</v>
      </c>
      <c r="F606" s="81" t="s">
        <v>3508</v>
      </c>
      <c r="G606" s="82" t="s">
        <v>3615</v>
      </c>
      <c r="H606" s="82" t="s">
        <v>3943</v>
      </c>
      <c r="I606" s="79" t="s">
        <v>2710</v>
      </c>
      <c r="J606" s="83">
        <v>719</v>
      </c>
      <c r="K606" s="83">
        <v>547.80952380952385</v>
      </c>
      <c r="L606" s="83">
        <v>456.50793650793656</v>
      </c>
      <c r="M606" s="84">
        <v>456.50793650793651</v>
      </c>
      <c r="N606" s="59">
        <f t="shared" si="9"/>
        <v>0.36507936507936506</v>
      </c>
      <c r="O606" s="85" t="s">
        <v>1399</v>
      </c>
      <c r="P606" s="86" t="s">
        <v>3523</v>
      </c>
      <c r="Q606" s="87" t="s">
        <v>3208</v>
      </c>
      <c r="R606" s="87">
        <v>20</v>
      </c>
      <c r="S606" s="88">
        <v>35.950000000000003</v>
      </c>
      <c r="T606" s="88">
        <v>22.82539682539683</v>
      </c>
      <c r="U606" s="88">
        <v>22.825396825396826</v>
      </c>
      <c r="V606" s="87" t="s">
        <v>3061</v>
      </c>
      <c r="W606" s="87" t="s">
        <v>3112</v>
      </c>
      <c r="X606" s="90" t="s">
        <v>3477</v>
      </c>
      <c r="Y606" s="89"/>
      <c r="Z606" s="89">
        <v>3</v>
      </c>
      <c r="AA606" s="89"/>
      <c r="AB606" s="89"/>
    </row>
    <row r="607" spans="1:28" s="31" customFormat="1" ht="60" customHeight="1" x14ac:dyDescent="0.2">
      <c r="A607" s="76">
        <v>606</v>
      </c>
      <c r="B607" s="77">
        <v>50004057</v>
      </c>
      <c r="C607" s="78" t="s">
        <v>1595</v>
      </c>
      <c r="D607" s="79">
        <v>0.05</v>
      </c>
      <c r="E607" s="80">
        <v>30049079</v>
      </c>
      <c r="F607" s="81" t="s">
        <v>1596</v>
      </c>
      <c r="G607" s="82" t="s">
        <v>1597</v>
      </c>
      <c r="H607" s="82" t="s">
        <v>1319</v>
      </c>
      <c r="I607" s="79" t="s">
        <v>2666</v>
      </c>
      <c r="J607" s="83">
        <v>668.43</v>
      </c>
      <c r="K607" s="83">
        <v>509.28000000000003</v>
      </c>
      <c r="L607" s="83">
        <v>339.52000000000004</v>
      </c>
      <c r="M607" s="84">
        <v>339.52000000000004</v>
      </c>
      <c r="N607" s="59">
        <f t="shared" si="9"/>
        <v>0.49206349206349198</v>
      </c>
      <c r="O607" s="85" t="s">
        <v>1598</v>
      </c>
      <c r="P607" s="86" t="s">
        <v>2840</v>
      </c>
      <c r="Q607" s="87" t="s">
        <v>3208</v>
      </c>
      <c r="R607" s="87">
        <v>10</v>
      </c>
      <c r="S607" s="88">
        <v>66.842999999999989</v>
      </c>
      <c r="T607" s="88">
        <v>33.952000000000005</v>
      </c>
      <c r="U607" s="88">
        <v>33.952000000000005</v>
      </c>
      <c r="V607" s="87" t="s">
        <v>3061</v>
      </c>
      <c r="W607" s="87" t="s">
        <v>3113</v>
      </c>
      <c r="X607" s="90" t="s">
        <v>3477</v>
      </c>
      <c r="Y607" s="89"/>
      <c r="Z607" s="89">
        <v>10</v>
      </c>
      <c r="AA607" s="89" t="s">
        <v>3207</v>
      </c>
      <c r="AB607" s="89"/>
    </row>
    <row r="608" spans="1:28" s="31" customFormat="1" ht="60" customHeight="1" x14ac:dyDescent="0.2">
      <c r="A608" s="76">
        <v>607</v>
      </c>
      <c r="B608" s="77">
        <v>50005710</v>
      </c>
      <c r="C608" s="78" t="s">
        <v>4159</v>
      </c>
      <c r="D608" s="79">
        <v>0.05</v>
      </c>
      <c r="E608" s="80">
        <v>30043919</v>
      </c>
      <c r="F608" s="81" t="s">
        <v>4631</v>
      </c>
      <c r="G608" s="82" t="s">
        <v>4160</v>
      </c>
      <c r="H608" s="82" t="s">
        <v>294</v>
      </c>
      <c r="I608" s="79" t="s">
        <v>2666</v>
      </c>
      <c r="J608" s="83">
        <v>834.37</v>
      </c>
      <c r="K608" s="83">
        <v>635.71047619047624</v>
      </c>
      <c r="L608" s="83">
        <v>423.80698412698416</v>
      </c>
      <c r="M608" s="84">
        <v>423.80698412698416</v>
      </c>
      <c r="N608" s="59">
        <f t="shared" si="9"/>
        <v>0.49206349206349204</v>
      </c>
      <c r="O608" s="85" t="s">
        <v>1598</v>
      </c>
      <c r="P608" s="86" t="s">
        <v>2841</v>
      </c>
      <c r="Q608" s="87" t="s">
        <v>3208</v>
      </c>
      <c r="R608" s="87">
        <v>10</v>
      </c>
      <c r="S608" s="88">
        <v>83.436999999999998</v>
      </c>
      <c r="T608" s="88">
        <v>42.380698412698415</v>
      </c>
      <c r="U608" s="88">
        <v>42.380698412698415</v>
      </c>
      <c r="V608" s="87" t="s">
        <v>3061</v>
      </c>
      <c r="W608" s="87" t="s">
        <v>3113</v>
      </c>
      <c r="X608" s="90" t="s">
        <v>3477</v>
      </c>
      <c r="Y608" s="89"/>
      <c r="Z608" s="89"/>
      <c r="AA608" s="89" t="s">
        <v>3207</v>
      </c>
      <c r="AB608" s="89"/>
    </row>
    <row r="609" spans="1:28" s="31" customFormat="1" ht="60" customHeight="1" x14ac:dyDescent="0.2">
      <c r="A609" s="76">
        <v>608</v>
      </c>
      <c r="B609" s="77">
        <v>50005356</v>
      </c>
      <c r="C609" s="78" t="s">
        <v>3509</v>
      </c>
      <c r="D609" s="79">
        <v>0.05</v>
      </c>
      <c r="E609" s="80">
        <v>21069099</v>
      </c>
      <c r="F609" s="81" t="s">
        <v>3510</v>
      </c>
      <c r="G609" s="82" t="s">
        <v>3616</v>
      </c>
      <c r="H609" s="82" t="s">
        <v>3944</v>
      </c>
      <c r="I609" s="79" t="s">
        <v>2724</v>
      </c>
      <c r="J609" s="83">
        <v>70</v>
      </c>
      <c r="K609" s="83">
        <v>53.333333333333336</v>
      </c>
      <c r="L609" s="83">
        <v>53.333333333333336</v>
      </c>
      <c r="M609" s="84">
        <v>47.199999999999989</v>
      </c>
      <c r="N609" s="59">
        <f t="shared" si="9"/>
        <v>0.3257142857142859</v>
      </c>
      <c r="O609" s="85" t="s">
        <v>1598</v>
      </c>
      <c r="P609" s="86" t="s">
        <v>2747</v>
      </c>
      <c r="Q609" s="87" t="s">
        <v>3208</v>
      </c>
      <c r="R609" s="87">
        <v>1</v>
      </c>
      <c r="S609" s="88">
        <v>70</v>
      </c>
      <c r="T609" s="88">
        <v>53.333333333333336</v>
      </c>
      <c r="U609" s="88">
        <v>47.199999999999989</v>
      </c>
      <c r="V609" s="87" t="s">
        <v>3064</v>
      </c>
      <c r="W609" s="87" t="s">
        <v>3113</v>
      </c>
      <c r="X609" s="90" t="s">
        <v>3489</v>
      </c>
      <c r="Y609" s="89"/>
      <c r="Z609" s="89">
        <v>10</v>
      </c>
      <c r="AA609" s="89" t="s">
        <v>3207</v>
      </c>
      <c r="AB609" s="89"/>
    </row>
    <row r="610" spans="1:28" s="31" customFormat="1" ht="60" customHeight="1" x14ac:dyDescent="0.2">
      <c r="A610" s="76">
        <v>609</v>
      </c>
      <c r="B610" s="77">
        <v>50003122</v>
      </c>
      <c r="C610" s="78" t="s">
        <v>1599</v>
      </c>
      <c r="D610" s="79">
        <v>0.05</v>
      </c>
      <c r="E610" s="80">
        <v>30049011</v>
      </c>
      <c r="F610" s="81" t="s">
        <v>1600</v>
      </c>
      <c r="G610" s="82" t="s">
        <v>1601</v>
      </c>
      <c r="H610" s="82" t="s">
        <v>3945</v>
      </c>
      <c r="I610" s="79" t="s">
        <v>2687</v>
      </c>
      <c r="J610" s="83">
        <v>139</v>
      </c>
      <c r="K610" s="83">
        <v>105.9047619047619</v>
      </c>
      <c r="L610" s="83">
        <v>88.253968253968253</v>
      </c>
      <c r="M610" s="84">
        <v>81.465201465201446</v>
      </c>
      <c r="N610" s="59">
        <f t="shared" si="9"/>
        <v>0.41391941391941406</v>
      </c>
      <c r="O610" s="85" t="s">
        <v>1598</v>
      </c>
      <c r="P610" s="86" t="s">
        <v>2865</v>
      </c>
      <c r="Q610" s="87" t="s">
        <v>3208</v>
      </c>
      <c r="R610" s="87">
        <v>1</v>
      </c>
      <c r="S610" s="88">
        <v>139</v>
      </c>
      <c r="T610" s="88">
        <v>88.253968253968253</v>
      </c>
      <c r="U610" s="88">
        <v>81.465201465201446</v>
      </c>
      <c r="V610" s="87" t="s">
        <v>3062</v>
      </c>
      <c r="W610" s="87" t="s">
        <v>3112</v>
      </c>
      <c r="X610" s="90" t="s">
        <v>3480</v>
      </c>
      <c r="Y610" s="89"/>
      <c r="Z610" s="89">
        <v>1</v>
      </c>
      <c r="AA610" s="89"/>
      <c r="AB610" s="89"/>
    </row>
    <row r="611" spans="1:28" s="31" customFormat="1" ht="60" customHeight="1" x14ac:dyDescent="0.2">
      <c r="A611" s="76">
        <v>610</v>
      </c>
      <c r="B611" s="77">
        <v>50003140</v>
      </c>
      <c r="C611" s="78" t="s">
        <v>1602</v>
      </c>
      <c r="D611" s="79">
        <v>0.05</v>
      </c>
      <c r="E611" s="80">
        <v>30049011</v>
      </c>
      <c r="F611" s="81" t="s">
        <v>1603</v>
      </c>
      <c r="G611" s="82" t="s">
        <v>1604</v>
      </c>
      <c r="H611" s="82" t="s">
        <v>3946</v>
      </c>
      <c r="I611" s="79" t="s">
        <v>2666</v>
      </c>
      <c r="J611" s="83">
        <v>51</v>
      </c>
      <c r="K611" s="83">
        <v>38.857142857142854</v>
      </c>
      <c r="L611" s="83">
        <v>32.38095238095238</v>
      </c>
      <c r="M611" s="84">
        <v>29.142857142857139</v>
      </c>
      <c r="N611" s="59">
        <f t="shared" si="9"/>
        <v>0.42857142857142866</v>
      </c>
      <c r="O611" s="85" t="s">
        <v>1598</v>
      </c>
      <c r="P611" s="86" t="s">
        <v>2866</v>
      </c>
      <c r="Q611" s="87" t="s">
        <v>3208</v>
      </c>
      <c r="R611" s="87">
        <v>10</v>
      </c>
      <c r="S611" s="88">
        <v>5.0999999999999996</v>
      </c>
      <c r="T611" s="88">
        <v>3.2380952380952381</v>
      </c>
      <c r="U611" s="88">
        <v>2.9142857142857137</v>
      </c>
      <c r="V611" s="87" t="s">
        <v>3061</v>
      </c>
      <c r="W611" s="87" t="s">
        <v>3112</v>
      </c>
      <c r="X611" s="90" t="s">
        <v>3477</v>
      </c>
      <c r="Y611" s="89"/>
      <c r="Z611" s="89">
        <v>6</v>
      </c>
      <c r="AA611" s="89"/>
      <c r="AB611" s="89"/>
    </row>
    <row r="612" spans="1:28" s="31" customFormat="1" ht="60" customHeight="1" x14ac:dyDescent="0.2">
      <c r="A612" s="76">
        <v>611</v>
      </c>
      <c r="B612" s="77">
        <v>50001089</v>
      </c>
      <c r="C612" s="78" t="s">
        <v>1605</v>
      </c>
      <c r="D612" s="79">
        <v>0.05</v>
      </c>
      <c r="E612" s="80">
        <v>30045010</v>
      </c>
      <c r="F612" s="81" t="s">
        <v>1606</v>
      </c>
      <c r="G612" s="82" t="s">
        <v>1607</v>
      </c>
      <c r="H612" s="82" t="s">
        <v>3947</v>
      </c>
      <c r="I612" s="79" t="s">
        <v>2666</v>
      </c>
      <c r="J612" s="83">
        <v>155.6</v>
      </c>
      <c r="K612" s="83">
        <v>118.55238095238096</v>
      </c>
      <c r="L612" s="83">
        <v>118.55238095238096</v>
      </c>
      <c r="M612" s="84">
        <v>106.69714285714286</v>
      </c>
      <c r="N612" s="59">
        <f t="shared" si="9"/>
        <v>0.31428571428571422</v>
      </c>
      <c r="O612" s="85" t="s">
        <v>1598</v>
      </c>
      <c r="P612" s="86" t="s">
        <v>2867</v>
      </c>
      <c r="Q612" s="87" t="s">
        <v>3208</v>
      </c>
      <c r="R612" s="87">
        <v>10</v>
      </c>
      <c r="S612" s="88">
        <v>15.559999999999999</v>
      </c>
      <c r="T612" s="88">
        <v>11.855238095238096</v>
      </c>
      <c r="U612" s="88">
        <v>10.669714285714287</v>
      </c>
      <c r="V612" s="87" t="s">
        <v>3061</v>
      </c>
      <c r="W612" s="87" t="s">
        <v>3113</v>
      </c>
      <c r="X612" s="90" t="s">
        <v>3477</v>
      </c>
      <c r="Y612" s="89"/>
      <c r="Z612" s="89">
        <v>6</v>
      </c>
      <c r="AA612" s="89" t="s">
        <v>3207</v>
      </c>
      <c r="AB612" s="89"/>
    </row>
    <row r="613" spans="1:28" s="31" customFormat="1" ht="60" customHeight="1" x14ac:dyDescent="0.2">
      <c r="A613" s="76">
        <v>612</v>
      </c>
      <c r="B613" s="77">
        <v>50004934</v>
      </c>
      <c r="C613" s="78" t="s">
        <v>1608</v>
      </c>
      <c r="D613" s="79">
        <v>0.05</v>
      </c>
      <c r="E613" s="80">
        <v>30045020</v>
      </c>
      <c r="F613" s="81" t="s">
        <v>1609</v>
      </c>
      <c r="G613" s="82" t="s">
        <v>1610</v>
      </c>
      <c r="H613" s="82" t="s">
        <v>3948</v>
      </c>
      <c r="I613" s="79" t="s">
        <v>2666</v>
      </c>
      <c r="J613" s="83">
        <v>199</v>
      </c>
      <c r="K613" s="83">
        <v>151.61904761904762</v>
      </c>
      <c r="L613" s="83">
        <v>126.34920634920634</v>
      </c>
      <c r="M613" s="84">
        <v>113.71428571428569</v>
      </c>
      <c r="N613" s="59">
        <f t="shared" si="9"/>
        <v>0.42857142857142866</v>
      </c>
      <c r="O613" s="85" t="s">
        <v>1598</v>
      </c>
      <c r="P613" s="86" t="s">
        <v>4864</v>
      </c>
      <c r="Q613" s="87" t="s">
        <v>3208</v>
      </c>
      <c r="R613" s="87">
        <v>10</v>
      </c>
      <c r="S613" s="88">
        <v>19.899999999999999</v>
      </c>
      <c r="T613" s="88">
        <v>12.634920634920634</v>
      </c>
      <c r="U613" s="88">
        <v>11.37142857142857</v>
      </c>
      <c r="V613" s="87" t="s">
        <v>3061</v>
      </c>
      <c r="W613" s="87" t="s">
        <v>3113</v>
      </c>
      <c r="X613" s="90" t="s">
        <v>3477</v>
      </c>
      <c r="Y613" s="89"/>
      <c r="Z613" s="89">
        <v>10</v>
      </c>
      <c r="AA613" s="89" t="s">
        <v>3207</v>
      </c>
      <c r="AB613" s="89" t="s">
        <v>4613</v>
      </c>
    </row>
    <row r="614" spans="1:28" s="31" customFormat="1" ht="60" customHeight="1" x14ac:dyDescent="0.2">
      <c r="A614" s="76">
        <v>613</v>
      </c>
      <c r="B614" s="77">
        <v>50000998</v>
      </c>
      <c r="C614" s="78" t="s">
        <v>1611</v>
      </c>
      <c r="D614" s="79">
        <v>0.05</v>
      </c>
      <c r="E614" s="80">
        <v>30045010</v>
      </c>
      <c r="F614" s="81" t="s">
        <v>1612</v>
      </c>
      <c r="G614" s="82" t="s">
        <v>1613</v>
      </c>
      <c r="H614" s="82" t="s">
        <v>569</v>
      </c>
      <c r="I614" s="79" t="s">
        <v>2937</v>
      </c>
      <c r="J614" s="83">
        <v>306.58</v>
      </c>
      <c r="K614" s="83">
        <v>233.5847619047619</v>
      </c>
      <c r="L614" s="83">
        <v>116.79238095238095</v>
      </c>
      <c r="M614" s="84">
        <v>116.79238095238098</v>
      </c>
      <c r="N614" s="59">
        <f t="shared" si="9"/>
        <v>0.61904761904761885</v>
      </c>
      <c r="O614" s="85" t="s">
        <v>1598</v>
      </c>
      <c r="P614" s="86" t="s">
        <v>2868</v>
      </c>
      <c r="Q614" s="87" t="s">
        <v>3207</v>
      </c>
      <c r="R614" s="87">
        <v>1</v>
      </c>
      <c r="S614" s="88">
        <v>306.58</v>
      </c>
      <c r="T614" s="88">
        <v>116.79238095238095</v>
      </c>
      <c r="U614" s="88">
        <v>116.79238095238098</v>
      </c>
      <c r="V614" s="87" t="s">
        <v>3065</v>
      </c>
      <c r="W614" s="87" t="s">
        <v>3113</v>
      </c>
      <c r="X614" s="90" t="s">
        <v>3479</v>
      </c>
      <c r="Y614" s="89"/>
      <c r="Z614" s="89">
        <v>1</v>
      </c>
      <c r="AA614" s="89" t="s">
        <v>3207</v>
      </c>
      <c r="AB614" s="89"/>
    </row>
    <row r="615" spans="1:28" s="31" customFormat="1" ht="60" customHeight="1" x14ac:dyDescent="0.2">
      <c r="A615" s="76">
        <v>614</v>
      </c>
      <c r="B615" s="77">
        <v>50000131</v>
      </c>
      <c r="C615" s="78" t="s">
        <v>1614</v>
      </c>
      <c r="D615" s="79">
        <v>0.05</v>
      </c>
      <c r="E615" s="80">
        <v>30043919</v>
      </c>
      <c r="F615" s="81" t="s">
        <v>1615</v>
      </c>
      <c r="G615" s="82" t="s">
        <v>1616</v>
      </c>
      <c r="H615" s="82" t="s">
        <v>26</v>
      </c>
      <c r="I615" s="79" t="s">
        <v>2666</v>
      </c>
      <c r="J615" s="83">
        <v>57.52</v>
      </c>
      <c r="K615" s="83">
        <v>43.8247619047619</v>
      </c>
      <c r="L615" s="83">
        <v>39.840692640692637</v>
      </c>
      <c r="M615" s="84">
        <v>35.856623376623382</v>
      </c>
      <c r="N615" s="59">
        <f t="shared" si="9"/>
        <v>0.37662337662337658</v>
      </c>
      <c r="O615" s="85" t="s">
        <v>1598</v>
      </c>
      <c r="P615" s="86" t="s">
        <v>253</v>
      </c>
      <c r="Q615" s="87" t="s">
        <v>3207</v>
      </c>
      <c r="R615" s="87">
        <v>10</v>
      </c>
      <c r="S615" s="88">
        <v>5.7520000000000007</v>
      </c>
      <c r="T615" s="88">
        <v>3.9840692640692636</v>
      </c>
      <c r="U615" s="88">
        <v>3.5856623376623382</v>
      </c>
      <c r="V615" s="87" t="s">
        <v>3061</v>
      </c>
      <c r="W615" s="87" t="s">
        <v>3113</v>
      </c>
      <c r="X615" s="90" t="s">
        <v>3477</v>
      </c>
      <c r="Y615" s="89"/>
      <c r="Z615" s="89">
        <v>5</v>
      </c>
      <c r="AA615" s="89"/>
      <c r="AB615" s="89"/>
    </row>
    <row r="616" spans="1:28" s="31" customFormat="1" ht="60" customHeight="1" x14ac:dyDescent="0.2">
      <c r="A616" s="76">
        <v>615</v>
      </c>
      <c r="B616" s="77">
        <v>50003707</v>
      </c>
      <c r="C616" s="78" t="s">
        <v>1617</v>
      </c>
      <c r="D616" s="79">
        <v>0.05</v>
      </c>
      <c r="E616" s="80">
        <v>30043990</v>
      </c>
      <c r="F616" s="81" t="s">
        <v>1618</v>
      </c>
      <c r="G616" s="82" t="s">
        <v>1619</v>
      </c>
      <c r="H616" s="82" t="s">
        <v>30</v>
      </c>
      <c r="I616" s="79" t="s">
        <v>2666</v>
      </c>
      <c r="J616" s="83">
        <v>196.87</v>
      </c>
      <c r="K616" s="83">
        <v>149.99619047619049</v>
      </c>
      <c r="L616" s="83">
        <v>124.99682539682541</v>
      </c>
      <c r="M616" s="84">
        <v>115.73780129335685</v>
      </c>
      <c r="N616" s="59">
        <f t="shared" si="9"/>
        <v>0.41211052322163433</v>
      </c>
      <c r="O616" s="85" t="s">
        <v>1598</v>
      </c>
      <c r="P616" s="86" t="s">
        <v>2748</v>
      </c>
      <c r="Q616" s="87" t="s">
        <v>3208</v>
      </c>
      <c r="R616" s="87">
        <v>10</v>
      </c>
      <c r="S616" s="88">
        <v>19.687000000000001</v>
      </c>
      <c r="T616" s="88">
        <v>12.499682539682542</v>
      </c>
      <c r="U616" s="88">
        <v>11.573780129335685</v>
      </c>
      <c r="V616" s="87" t="s">
        <v>3061</v>
      </c>
      <c r="W616" s="87" t="s">
        <v>3113</v>
      </c>
      <c r="X616" s="90" t="s">
        <v>3477</v>
      </c>
      <c r="Y616" s="89"/>
      <c r="Z616" s="89">
        <v>10</v>
      </c>
      <c r="AA616" s="89"/>
      <c r="AB616" s="89"/>
    </row>
    <row r="617" spans="1:28" s="31" customFormat="1" ht="60" customHeight="1" x14ac:dyDescent="0.2">
      <c r="A617" s="76">
        <v>616</v>
      </c>
      <c r="B617" s="77">
        <v>50003705</v>
      </c>
      <c r="C617" s="78" t="s">
        <v>1620</v>
      </c>
      <c r="D617" s="79">
        <v>0.05</v>
      </c>
      <c r="E617" s="80">
        <v>30043990</v>
      </c>
      <c r="F617" s="81" t="s">
        <v>1621</v>
      </c>
      <c r="G617" s="82" t="s">
        <v>1622</v>
      </c>
      <c r="H617" s="82" t="s">
        <v>673</v>
      </c>
      <c r="I617" s="79" t="s">
        <v>2752</v>
      </c>
      <c r="J617" s="83">
        <v>125.62</v>
      </c>
      <c r="K617" s="83">
        <v>95.710476190476186</v>
      </c>
      <c r="L617" s="83">
        <v>79.75873015873016</v>
      </c>
      <c r="M617" s="84">
        <v>73.850676072898281</v>
      </c>
      <c r="N617" s="59">
        <f t="shared" si="9"/>
        <v>0.41211052322163444</v>
      </c>
      <c r="O617" s="85" t="s">
        <v>1598</v>
      </c>
      <c r="P617" s="86" t="s">
        <v>2748</v>
      </c>
      <c r="Q617" s="87" t="s">
        <v>3208</v>
      </c>
      <c r="R617" s="87">
        <v>5</v>
      </c>
      <c r="S617" s="88">
        <v>25.124000000000002</v>
      </c>
      <c r="T617" s="88">
        <v>15.951746031746032</v>
      </c>
      <c r="U617" s="88">
        <v>14.770135214579657</v>
      </c>
      <c r="V617" s="87" t="s">
        <v>3061</v>
      </c>
      <c r="W617" s="87" t="s">
        <v>3113</v>
      </c>
      <c r="X617" s="90" t="s">
        <v>3477</v>
      </c>
      <c r="Y617" s="89"/>
      <c r="Z617" s="89">
        <v>10</v>
      </c>
      <c r="AA617" s="89"/>
      <c r="AB617" s="89"/>
    </row>
    <row r="618" spans="1:28" s="31" customFormat="1" ht="60" customHeight="1" x14ac:dyDescent="0.2">
      <c r="A618" s="76">
        <v>617</v>
      </c>
      <c r="B618" s="77">
        <v>50002884</v>
      </c>
      <c r="C618" s="78" t="s">
        <v>1623</v>
      </c>
      <c r="D618" s="79">
        <v>0.18</v>
      </c>
      <c r="E618" s="80">
        <v>33049990</v>
      </c>
      <c r="F618" s="81" t="s">
        <v>1624</v>
      </c>
      <c r="G618" s="82" t="s">
        <v>1624</v>
      </c>
      <c r="H618" s="82" t="s">
        <v>3949</v>
      </c>
      <c r="I618" s="79" t="s">
        <v>2704</v>
      </c>
      <c r="J618" s="83">
        <v>121</v>
      </c>
      <c r="K618" s="83">
        <v>82.033898305084747</v>
      </c>
      <c r="L618" s="83">
        <v>75.197740112994353</v>
      </c>
      <c r="M618" s="84">
        <v>68.361581920903959</v>
      </c>
      <c r="N618" s="59">
        <f t="shared" si="9"/>
        <v>0.43502824858757061</v>
      </c>
      <c r="O618" s="85" t="s">
        <v>1598</v>
      </c>
      <c r="P618" s="86" t="s">
        <v>2870</v>
      </c>
      <c r="Q618" s="87" t="s">
        <v>3208</v>
      </c>
      <c r="R618" s="87">
        <v>1</v>
      </c>
      <c r="S618" s="88">
        <v>121</v>
      </c>
      <c r="T618" s="88">
        <v>75.197740112994353</v>
      </c>
      <c r="U618" s="88">
        <v>68.361581920903959</v>
      </c>
      <c r="V618" s="87" t="s">
        <v>3062</v>
      </c>
      <c r="W618" s="87" t="s">
        <v>3113</v>
      </c>
      <c r="X618" s="90" t="s">
        <v>3500</v>
      </c>
      <c r="Y618" s="89"/>
      <c r="Z618" s="89">
        <v>1</v>
      </c>
      <c r="AA618" s="89"/>
      <c r="AB618" s="89"/>
    </row>
    <row r="619" spans="1:28" s="31" customFormat="1" ht="60" customHeight="1" x14ac:dyDescent="0.2">
      <c r="A619" s="76">
        <v>618</v>
      </c>
      <c r="B619" s="77">
        <v>50002883</v>
      </c>
      <c r="C619" s="78" t="s">
        <v>1623</v>
      </c>
      <c r="D619" s="79">
        <v>0.18</v>
      </c>
      <c r="E619" s="80">
        <v>33049990</v>
      </c>
      <c r="F619" s="81" t="s">
        <v>1624</v>
      </c>
      <c r="G619" s="82" t="s">
        <v>1624</v>
      </c>
      <c r="H619" s="82" t="s">
        <v>3949</v>
      </c>
      <c r="I619" s="79" t="s">
        <v>2682</v>
      </c>
      <c r="J619" s="83">
        <v>219</v>
      </c>
      <c r="K619" s="83">
        <v>148.47457627118644</v>
      </c>
      <c r="L619" s="83">
        <v>123.72881355932202</v>
      </c>
      <c r="M619" s="84">
        <v>123.26191237607929</v>
      </c>
      <c r="N619" s="59">
        <f t="shared" si="9"/>
        <v>0.43716021746082512</v>
      </c>
      <c r="O619" s="85" t="s">
        <v>1598</v>
      </c>
      <c r="P619" s="86" t="s">
        <v>2870</v>
      </c>
      <c r="Q619" s="87" t="s">
        <v>3208</v>
      </c>
      <c r="R619" s="87">
        <v>1</v>
      </c>
      <c r="S619" s="88">
        <v>219</v>
      </c>
      <c r="T619" s="88">
        <v>123.72881355932202</v>
      </c>
      <c r="U619" s="88">
        <v>123.26191237607929</v>
      </c>
      <c r="V619" s="87" t="s">
        <v>3062</v>
      </c>
      <c r="W619" s="87" t="s">
        <v>3113</v>
      </c>
      <c r="X619" s="90" t="s">
        <v>3500</v>
      </c>
      <c r="Y619" s="89"/>
      <c r="Z619" s="89">
        <v>1</v>
      </c>
      <c r="AA619" s="89"/>
      <c r="AB619" s="89"/>
    </row>
    <row r="620" spans="1:28" s="31" customFormat="1" ht="60" customHeight="1" x14ac:dyDescent="0.2">
      <c r="A620" s="76">
        <v>619</v>
      </c>
      <c r="B620" s="77">
        <v>50002786</v>
      </c>
      <c r="C620" s="78" t="s">
        <v>1625</v>
      </c>
      <c r="D620" s="79">
        <v>0.05</v>
      </c>
      <c r="E620" s="80">
        <v>30049011</v>
      </c>
      <c r="F620" s="81" t="s">
        <v>1626</v>
      </c>
      <c r="G620" s="82" t="s">
        <v>1627</v>
      </c>
      <c r="H620" s="82" t="s">
        <v>3950</v>
      </c>
      <c r="I620" s="79" t="s">
        <v>2871</v>
      </c>
      <c r="J620" s="83">
        <v>370</v>
      </c>
      <c r="K620" s="83">
        <v>281.90476190476193</v>
      </c>
      <c r="L620" s="83">
        <v>258.41269841269843</v>
      </c>
      <c r="M620" s="84">
        <v>234.92063492063491</v>
      </c>
      <c r="N620" s="59">
        <f t="shared" si="9"/>
        <v>0.36507936507936511</v>
      </c>
      <c r="O620" s="85" t="s">
        <v>1598</v>
      </c>
      <c r="P620" s="86" t="s">
        <v>3155</v>
      </c>
      <c r="Q620" s="87" t="s">
        <v>3208</v>
      </c>
      <c r="R620" s="87">
        <v>1</v>
      </c>
      <c r="S620" s="88">
        <v>370</v>
      </c>
      <c r="T620" s="88">
        <v>258.41269841269843</v>
      </c>
      <c r="U620" s="88">
        <v>234.92063492063491</v>
      </c>
      <c r="V620" s="87" t="s">
        <v>3068</v>
      </c>
      <c r="W620" s="87" t="s">
        <v>3113</v>
      </c>
      <c r="X620" s="90" t="s">
        <v>3490</v>
      </c>
      <c r="Y620" s="89"/>
      <c r="Z620" s="89">
        <v>1</v>
      </c>
      <c r="AA620" s="89"/>
      <c r="AB620" s="89"/>
    </row>
    <row r="621" spans="1:28" s="31" customFormat="1" ht="60" customHeight="1" x14ac:dyDescent="0.2">
      <c r="A621" s="76">
        <v>620</v>
      </c>
      <c r="B621" s="77">
        <v>50003045</v>
      </c>
      <c r="C621" s="78" t="s">
        <v>1628</v>
      </c>
      <c r="D621" s="79">
        <v>0.05</v>
      </c>
      <c r="E621" s="80">
        <v>30043990</v>
      </c>
      <c r="F621" s="81" t="s">
        <v>1629</v>
      </c>
      <c r="G621" s="82" t="s">
        <v>1630</v>
      </c>
      <c r="H621" s="82" t="s">
        <v>20</v>
      </c>
      <c r="I621" s="79" t="s">
        <v>2752</v>
      </c>
      <c r="J621" s="83">
        <v>126.45</v>
      </c>
      <c r="K621" s="83">
        <v>96.342857142857142</v>
      </c>
      <c r="L621" s="83">
        <v>96.342857142857142</v>
      </c>
      <c r="M621" s="84">
        <v>86.708571428571418</v>
      </c>
      <c r="N621" s="59">
        <f t="shared" si="9"/>
        <v>0.31428571428571439</v>
      </c>
      <c r="O621" s="85" t="s">
        <v>1598</v>
      </c>
      <c r="P621" s="86" t="s">
        <v>1631</v>
      </c>
      <c r="Q621" s="87" t="s">
        <v>3207</v>
      </c>
      <c r="R621" s="87">
        <v>5</v>
      </c>
      <c r="S621" s="88">
        <v>25.29</v>
      </c>
      <c r="T621" s="88">
        <v>19.268571428571427</v>
      </c>
      <c r="U621" s="88">
        <v>17.341714285714282</v>
      </c>
      <c r="V621" s="87" t="s">
        <v>3061</v>
      </c>
      <c r="W621" s="87" t="s">
        <v>3121</v>
      </c>
      <c r="X621" s="90" t="s">
        <v>3477</v>
      </c>
      <c r="Y621" s="89"/>
      <c r="Z621" s="89">
        <v>5</v>
      </c>
      <c r="AA621" s="89"/>
      <c r="AB621" s="89"/>
    </row>
    <row r="622" spans="1:28" s="31" customFormat="1" ht="60" customHeight="1" x14ac:dyDescent="0.2">
      <c r="A622" s="76">
        <v>621</v>
      </c>
      <c r="B622" s="77">
        <v>50005628</v>
      </c>
      <c r="C622" s="78" t="s">
        <v>3511</v>
      </c>
      <c r="D622" s="79">
        <v>0.05</v>
      </c>
      <c r="E622" s="80">
        <v>30049099</v>
      </c>
      <c r="F622" s="81" t="s">
        <v>3512</v>
      </c>
      <c r="G622" s="82" t="s">
        <v>3617</v>
      </c>
      <c r="H622" s="82" t="s">
        <v>3951</v>
      </c>
      <c r="I622" s="79" t="s">
        <v>3521</v>
      </c>
      <c r="J622" s="83">
        <v>60.83</v>
      </c>
      <c r="K622" s="83">
        <v>46.346666666666664</v>
      </c>
      <c r="L622" s="83">
        <v>33.104761904761901</v>
      </c>
      <c r="M622" s="84">
        <v>33.104761904761901</v>
      </c>
      <c r="N622" s="59">
        <f t="shared" si="9"/>
        <v>0.45578231292517013</v>
      </c>
      <c r="O622" s="85" t="s">
        <v>1598</v>
      </c>
      <c r="P622" s="86" t="s">
        <v>3524</v>
      </c>
      <c r="Q622" s="87" t="s">
        <v>3208</v>
      </c>
      <c r="R622" s="87">
        <v>1</v>
      </c>
      <c r="S622" s="88">
        <v>60.83</v>
      </c>
      <c r="T622" s="88">
        <v>33.104761904761901</v>
      </c>
      <c r="U622" s="88">
        <v>33.104761904761901</v>
      </c>
      <c r="V622" s="87" t="s">
        <v>3064</v>
      </c>
      <c r="W622" s="87" t="s">
        <v>3108</v>
      </c>
      <c r="X622" s="90" t="s">
        <v>3489</v>
      </c>
      <c r="Y622" s="89"/>
      <c r="Z622" s="89">
        <v>20</v>
      </c>
      <c r="AA622" s="89" t="s">
        <v>3207</v>
      </c>
      <c r="AB622" s="89"/>
    </row>
    <row r="623" spans="1:28" s="31" customFormat="1" ht="60" customHeight="1" x14ac:dyDescent="0.2">
      <c r="A623" s="76">
        <v>622</v>
      </c>
      <c r="B623" s="77">
        <v>50005627</v>
      </c>
      <c r="C623" s="78" t="s">
        <v>3513</v>
      </c>
      <c r="D623" s="79">
        <v>0.05</v>
      </c>
      <c r="E623" s="80">
        <v>30049099</v>
      </c>
      <c r="F623" s="81" t="s">
        <v>3597</v>
      </c>
      <c r="G623" s="82" t="s">
        <v>3618</v>
      </c>
      <c r="H623" s="82" t="s">
        <v>3952</v>
      </c>
      <c r="I623" s="79" t="s">
        <v>2771</v>
      </c>
      <c r="J623" s="83">
        <v>91.19</v>
      </c>
      <c r="K623" s="83">
        <v>69.478095238095236</v>
      </c>
      <c r="L623" s="83">
        <v>69.478095238095236</v>
      </c>
      <c r="M623" s="84">
        <v>53.498133333333335</v>
      </c>
      <c r="N623" s="59">
        <f t="shared" si="9"/>
        <v>0.41333333333333327</v>
      </c>
      <c r="O623" s="85" t="s">
        <v>1598</v>
      </c>
      <c r="P623" s="86" t="s">
        <v>3524</v>
      </c>
      <c r="Q623" s="87" t="s">
        <v>3208</v>
      </c>
      <c r="R623" s="87">
        <v>1</v>
      </c>
      <c r="S623" s="88">
        <v>91.19</v>
      </c>
      <c r="T623" s="88">
        <v>69.478095238095236</v>
      </c>
      <c r="U623" s="88">
        <v>53.498133333333335</v>
      </c>
      <c r="V623" s="87" t="s">
        <v>3064</v>
      </c>
      <c r="W623" s="87" t="s">
        <v>3108</v>
      </c>
      <c r="X623" s="90" t="s">
        <v>3489</v>
      </c>
      <c r="Y623" s="89"/>
      <c r="Z623" s="89">
        <v>10</v>
      </c>
      <c r="AA623" s="89" t="s">
        <v>3207</v>
      </c>
      <c r="AB623" s="89"/>
    </row>
    <row r="624" spans="1:28" s="31" customFormat="1" ht="60" customHeight="1" x14ac:dyDescent="0.2">
      <c r="A624" s="76">
        <v>623</v>
      </c>
      <c r="B624" s="77">
        <v>50000494</v>
      </c>
      <c r="C624" s="78" t="s">
        <v>1632</v>
      </c>
      <c r="D624" s="79">
        <v>0.05</v>
      </c>
      <c r="E624" s="80">
        <v>30045090</v>
      </c>
      <c r="F624" s="81" t="s">
        <v>1633</v>
      </c>
      <c r="G624" s="82" t="s">
        <v>1634</v>
      </c>
      <c r="H624" s="82" t="s">
        <v>3953</v>
      </c>
      <c r="I624" s="79" t="s">
        <v>2663</v>
      </c>
      <c r="J624" s="83">
        <v>130</v>
      </c>
      <c r="K624" s="83">
        <v>99.047619047619051</v>
      </c>
      <c r="L624" s="83">
        <v>49.523809523809526</v>
      </c>
      <c r="M624" s="84">
        <v>49.523809523809547</v>
      </c>
      <c r="N624" s="59">
        <f t="shared" si="9"/>
        <v>0.61904761904761885</v>
      </c>
      <c r="O624" s="85" t="s">
        <v>1598</v>
      </c>
      <c r="P624" s="86" t="s">
        <v>318</v>
      </c>
      <c r="Q624" s="87" t="s">
        <v>3208</v>
      </c>
      <c r="R624" s="87">
        <v>15</v>
      </c>
      <c r="S624" s="88">
        <v>8.6666666666666661</v>
      </c>
      <c r="T624" s="88">
        <v>3.3015873015873018</v>
      </c>
      <c r="U624" s="88">
        <v>3.3015873015873032</v>
      </c>
      <c r="V624" s="87" t="s">
        <v>3061</v>
      </c>
      <c r="W624" s="87" t="s">
        <v>3106</v>
      </c>
      <c r="X624" s="90" t="s">
        <v>3477</v>
      </c>
      <c r="Y624" s="89"/>
      <c r="Z624" s="89">
        <v>6</v>
      </c>
      <c r="AA624" s="89"/>
      <c r="AB624" s="89"/>
    </row>
    <row r="625" spans="1:28" s="31" customFormat="1" ht="60" customHeight="1" x14ac:dyDescent="0.2">
      <c r="A625" s="76">
        <v>624</v>
      </c>
      <c r="B625" s="77">
        <v>50002999</v>
      </c>
      <c r="C625" s="78" t="s">
        <v>623</v>
      </c>
      <c r="D625" s="79">
        <v>0.05</v>
      </c>
      <c r="E625" s="80">
        <v>30049087</v>
      </c>
      <c r="F625" s="81" t="s">
        <v>624</v>
      </c>
      <c r="G625" s="82" t="s">
        <v>625</v>
      </c>
      <c r="H625" s="82" t="s">
        <v>323</v>
      </c>
      <c r="I625" s="79" t="s">
        <v>2693</v>
      </c>
      <c r="J625" s="83">
        <v>92.28</v>
      </c>
      <c r="K625" s="83">
        <v>70.308571428571426</v>
      </c>
      <c r="L625" s="83">
        <v>70.308571428571426</v>
      </c>
      <c r="M625" s="84">
        <v>70.308571428571412</v>
      </c>
      <c r="N625" s="59">
        <f t="shared" si="9"/>
        <v>0.23809523809523828</v>
      </c>
      <c r="O625" s="85" t="s">
        <v>1598</v>
      </c>
      <c r="P625" s="86" t="s">
        <v>2769</v>
      </c>
      <c r="Q625" s="87" t="s">
        <v>3207</v>
      </c>
      <c r="R625" s="87">
        <v>10</v>
      </c>
      <c r="S625" s="88">
        <v>9.2279999999999998</v>
      </c>
      <c r="T625" s="88">
        <v>7.0308571428571423</v>
      </c>
      <c r="U625" s="88">
        <v>7.0308571428571414</v>
      </c>
      <c r="V625" s="87" t="s">
        <v>3061</v>
      </c>
      <c r="W625" s="87" t="s">
        <v>3113</v>
      </c>
      <c r="X625" s="90" t="s">
        <v>3478</v>
      </c>
      <c r="Y625" s="89"/>
      <c r="Z625" s="89">
        <v>3</v>
      </c>
      <c r="AA625" s="89" t="s">
        <v>3207</v>
      </c>
      <c r="AB625" s="89"/>
    </row>
    <row r="626" spans="1:28" s="31" customFormat="1" ht="60" customHeight="1" x14ac:dyDescent="0.2">
      <c r="A626" s="76">
        <v>625</v>
      </c>
      <c r="B626" s="77">
        <v>50002971</v>
      </c>
      <c r="C626" s="78" t="s">
        <v>1639</v>
      </c>
      <c r="D626" s="79">
        <v>0.05</v>
      </c>
      <c r="E626" s="80">
        <v>21069099</v>
      </c>
      <c r="F626" s="81" t="s">
        <v>1640</v>
      </c>
      <c r="G626" s="82" t="s">
        <v>1641</v>
      </c>
      <c r="H626" s="82" t="s">
        <v>3954</v>
      </c>
      <c r="I626" s="79" t="s">
        <v>2666</v>
      </c>
      <c r="J626" s="83">
        <v>257</v>
      </c>
      <c r="K626" s="83">
        <v>195.8095238095238</v>
      </c>
      <c r="L626" s="83">
        <v>179.49206349206349</v>
      </c>
      <c r="M626" s="84">
        <v>146.85714285714283</v>
      </c>
      <c r="N626" s="59">
        <f t="shared" si="9"/>
        <v>0.42857142857142866</v>
      </c>
      <c r="O626" s="85" t="s">
        <v>1598</v>
      </c>
      <c r="P626" s="86" t="s">
        <v>2874</v>
      </c>
      <c r="Q626" s="87" t="s">
        <v>3208</v>
      </c>
      <c r="R626" s="87">
        <v>10</v>
      </c>
      <c r="S626" s="88">
        <v>25.7</v>
      </c>
      <c r="T626" s="88">
        <v>17.949206349206349</v>
      </c>
      <c r="U626" s="88">
        <v>14.685714285714283</v>
      </c>
      <c r="V626" s="87" t="s">
        <v>3061</v>
      </c>
      <c r="W626" s="87" t="s">
        <v>3113</v>
      </c>
      <c r="X626" s="90" t="s">
        <v>3477</v>
      </c>
      <c r="Y626" s="89"/>
      <c r="Z626" s="89">
        <v>3</v>
      </c>
      <c r="AA626" s="89" t="s">
        <v>3207</v>
      </c>
      <c r="AB626" s="89"/>
    </row>
    <row r="627" spans="1:28" s="31" customFormat="1" ht="60" customHeight="1" x14ac:dyDescent="0.2">
      <c r="A627" s="76">
        <v>626</v>
      </c>
      <c r="B627" s="77">
        <v>50006123</v>
      </c>
      <c r="C627" s="78" t="s">
        <v>4756</v>
      </c>
      <c r="D627" s="79">
        <v>0.05</v>
      </c>
      <c r="E627" s="80">
        <v>30049099</v>
      </c>
      <c r="F627" s="81" t="s">
        <v>4757</v>
      </c>
      <c r="G627" s="82" t="s">
        <v>4758</v>
      </c>
      <c r="H627" s="82"/>
      <c r="I627" s="79" t="s">
        <v>2666</v>
      </c>
      <c r="J627" s="83">
        <v>247</v>
      </c>
      <c r="K627" s="83">
        <v>188.1904761904762</v>
      </c>
      <c r="L627" s="83">
        <v>169.37142857142857</v>
      </c>
      <c r="M627" s="84">
        <v>152.43428571428572</v>
      </c>
      <c r="N627" s="59">
        <f t="shared" si="9"/>
        <v>0.38285714285714284</v>
      </c>
      <c r="O627" s="85" t="s">
        <v>1598</v>
      </c>
      <c r="P627" s="86" t="s">
        <v>2875</v>
      </c>
      <c r="Q627" s="87" t="s">
        <v>3208</v>
      </c>
      <c r="R627" s="87">
        <v>10</v>
      </c>
      <c r="S627" s="88">
        <v>24.7</v>
      </c>
      <c r="T627" s="88">
        <v>16.937142857142856</v>
      </c>
      <c r="U627" s="88">
        <v>15.243428571428572</v>
      </c>
      <c r="V627" s="87" t="s">
        <v>3061</v>
      </c>
      <c r="W627" s="87" t="s">
        <v>3113</v>
      </c>
      <c r="X627" s="90" t="s">
        <v>3477</v>
      </c>
      <c r="Y627" s="89"/>
      <c r="Z627" s="89"/>
      <c r="AA627" s="89"/>
      <c r="AB627" s="89"/>
    </row>
    <row r="628" spans="1:28" s="31" customFormat="1" ht="60" customHeight="1" x14ac:dyDescent="0.2">
      <c r="A628" s="76">
        <v>627</v>
      </c>
      <c r="B628" s="77">
        <v>50006207</v>
      </c>
      <c r="C628" s="78" t="s">
        <v>4790</v>
      </c>
      <c r="D628" s="79">
        <v>0.05</v>
      </c>
      <c r="E628" s="80">
        <v>21069099</v>
      </c>
      <c r="F628" s="81" t="s">
        <v>4809</v>
      </c>
      <c r="G628" s="82" t="s">
        <v>4842</v>
      </c>
      <c r="H628" s="82" t="s">
        <v>4843</v>
      </c>
      <c r="I628" s="79" t="s">
        <v>2666</v>
      </c>
      <c r="J628" s="83">
        <v>350</v>
      </c>
      <c r="K628" s="83">
        <v>266.66666666666663</v>
      </c>
      <c r="L628" s="83">
        <v>244.44444444444443</v>
      </c>
      <c r="M628" s="84">
        <v>220</v>
      </c>
      <c r="N628" s="59">
        <f t="shared" si="9"/>
        <v>0.37142857142857144</v>
      </c>
      <c r="O628" s="85" t="s">
        <v>1598</v>
      </c>
      <c r="P628" s="86" t="s">
        <v>2747</v>
      </c>
      <c r="Q628" s="87" t="s">
        <v>3208</v>
      </c>
      <c r="R628" s="87">
        <v>10</v>
      </c>
      <c r="S628" s="88">
        <v>35</v>
      </c>
      <c r="T628" s="88">
        <v>24.444444444444443</v>
      </c>
      <c r="U628" s="88">
        <v>22</v>
      </c>
      <c r="V628" s="87" t="s">
        <v>3061</v>
      </c>
      <c r="W628" s="87" t="s">
        <v>3113</v>
      </c>
      <c r="X628" s="90" t="s">
        <v>3477</v>
      </c>
      <c r="Y628" s="89"/>
      <c r="Z628" s="89"/>
      <c r="AA628" s="89"/>
      <c r="AB628" s="89" t="s">
        <v>3299</v>
      </c>
    </row>
    <row r="629" spans="1:28" s="31" customFormat="1" ht="60" customHeight="1" x14ac:dyDescent="0.2">
      <c r="A629" s="76">
        <v>628</v>
      </c>
      <c r="B629" s="77">
        <v>50006079</v>
      </c>
      <c r="C629" s="78" t="s">
        <v>4791</v>
      </c>
      <c r="D629" s="79">
        <v>0.05</v>
      </c>
      <c r="E629" s="80">
        <v>30049099</v>
      </c>
      <c r="F629" s="81" t="s">
        <v>4810</v>
      </c>
      <c r="G629" s="82" t="s">
        <v>4844</v>
      </c>
      <c r="H629" s="82" t="s">
        <v>4845</v>
      </c>
      <c r="I629" s="79" t="s">
        <v>2696</v>
      </c>
      <c r="J629" s="83">
        <v>195.61</v>
      </c>
      <c r="K629" s="83">
        <v>149.03619047619048</v>
      </c>
      <c r="L629" s="83">
        <v>149.03619047619048</v>
      </c>
      <c r="M629" s="84">
        <v>134.13257142857145</v>
      </c>
      <c r="N629" s="59">
        <f t="shared" si="9"/>
        <v>0.31428571428571422</v>
      </c>
      <c r="O629" s="85" t="s">
        <v>1598</v>
      </c>
      <c r="P629" s="86" t="s">
        <v>2875</v>
      </c>
      <c r="Q629" s="87" t="s">
        <v>3208</v>
      </c>
      <c r="R629" s="87">
        <v>15</v>
      </c>
      <c r="S629" s="88">
        <v>13.040666666666668</v>
      </c>
      <c r="T629" s="88">
        <v>9.9357460317460315</v>
      </c>
      <c r="U629" s="88">
        <v>8.9421714285714309</v>
      </c>
      <c r="V629" s="87" t="s">
        <v>3061</v>
      </c>
      <c r="W629" s="87" t="s">
        <v>3113</v>
      </c>
      <c r="X629" s="90" t="s">
        <v>3478</v>
      </c>
      <c r="Y629" s="89"/>
      <c r="Z629" s="89"/>
      <c r="AA629" s="89"/>
      <c r="AB629" s="89" t="s">
        <v>3299</v>
      </c>
    </row>
    <row r="630" spans="1:28" s="31" customFormat="1" ht="60" customHeight="1" x14ac:dyDescent="0.2">
      <c r="A630" s="76">
        <v>629</v>
      </c>
      <c r="B630" s="77">
        <v>50004156</v>
      </c>
      <c r="C630" s="78" t="s">
        <v>1642</v>
      </c>
      <c r="D630" s="79">
        <v>0.05</v>
      </c>
      <c r="E630" s="80">
        <v>30049099</v>
      </c>
      <c r="F630" s="81" t="s">
        <v>1643</v>
      </c>
      <c r="G630" s="82" t="s">
        <v>1644</v>
      </c>
      <c r="H630" s="82" t="s">
        <v>3955</v>
      </c>
      <c r="I630" s="79" t="s">
        <v>2666</v>
      </c>
      <c r="J630" s="83">
        <v>659.98</v>
      </c>
      <c r="K630" s="83">
        <v>502.8419047619048</v>
      </c>
      <c r="L630" s="83">
        <v>502.8419047619048</v>
      </c>
      <c r="M630" s="84">
        <v>377.13142857142861</v>
      </c>
      <c r="N630" s="59">
        <f t="shared" si="9"/>
        <v>0.42857142857142855</v>
      </c>
      <c r="O630" s="85" t="s">
        <v>1598</v>
      </c>
      <c r="P630" s="86" t="s">
        <v>2875</v>
      </c>
      <c r="Q630" s="87" t="s">
        <v>3208</v>
      </c>
      <c r="R630" s="87">
        <v>10</v>
      </c>
      <c r="S630" s="88">
        <v>65.998000000000005</v>
      </c>
      <c r="T630" s="88">
        <v>50.284190476190481</v>
      </c>
      <c r="U630" s="88">
        <v>37.713142857142863</v>
      </c>
      <c r="V630" s="87" t="s">
        <v>3061</v>
      </c>
      <c r="W630" s="87" t="s">
        <v>3113</v>
      </c>
      <c r="X630" s="90" t="s">
        <v>3477</v>
      </c>
      <c r="Y630" s="89"/>
      <c r="Z630" s="89">
        <v>10</v>
      </c>
      <c r="AA630" s="89" t="s">
        <v>3207</v>
      </c>
      <c r="AB630" s="89" t="s">
        <v>4613</v>
      </c>
    </row>
    <row r="631" spans="1:28" s="31" customFormat="1" ht="60" customHeight="1" x14ac:dyDescent="0.2">
      <c r="A631" s="76">
        <v>630</v>
      </c>
      <c r="B631" s="77">
        <v>50006319</v>
      </c>
      <c r="C631" s="78" t="s">
        <v>4759</v>
      </c>
      <c r="D631" s="79">
        <v>0.05</v>
      </c>
      <c r="E631" s="80">
        <v>30043919</v>
      </c>
      <c r="F631" s="81" t="s">
        <v>4811</v>
      </c>
      <c r="G631" s="82" t="s">
        <v>4761</v>
      </c>
      <c r="H631" s="82" t="s">
        <v>4846</v>
      </c>
      <c r="I631" s="79" t="s">
        <v>2666</v>
      </c>
      <c r="J631" s="83">
        <v>790</v>
      </c>
      <c r="K631" s="83">
        <v>601.90476190476193</v>
      </c>
      <c r="L631" s="83">
        <v>601.90476190476193</v>
      </c>
      <c r="M631" s="84">
        <v>541.71428571428578</v>
      </c>
      <c r="N631" s="59">
        <f t="shared" si="9"/>
        <v>0.31428571428571422</v>
      </c>
      <c r="O631" s="85" t="s">
        <v>1598</v>
      </c>
      <c r="P631" s="86" t="s">
        <v>2875</v>
      </c>
      <c r="Q631" s="87" t="s">
        <v>3208</v>
      </c>
      <c r="R631" s="87">
        <v>10</v>
      </c>
      <c r="S631" s="88">
        <v>79</v>
      </c>
      <c r="T631" s="88">
        <v>60.19047619047619</v>
      </c>
      <c r="U631" s="88">
        <v>54.171428571428578</v>
      </c>
      <c r="V631" s="87" t="s">
        <v>3061</v>
      </c>
      <c r="W631" s="87" t="s">
        <v>3112</v>
      </c>
      <c r="X631" s="90" t="s">
        <v>3477</v>
      </c>
      <c r="Y631" s="89"/>
      <c r="Z631" s="89"/>
      <c r="AA631" s="89"/>
      <c r="AB631" s="89" t="s">
        <v>3299</v>
      </c>
    </row>
    <row r="632" spans="1:28" s="31" customFormat="1" ht="60" customHeight="1" x14ac:dyDescent="0.2">
      <c r="A632" s="76">
        <v>631</v>
      </c>
      <c r="B632" s="77">
        <v>50006179</v>
      </c>
      <c r="C632" s="78" t="s">
        <v>4759</v>
      </c>
      <c r="D632" s="79">
        <v>0.05</v>
      </c>
      <c r="E632" s="80">
        <v>30043919</v>
      </c>
      <c r="F632" s="81" t="s">
        <v>4760</v>
      </c>
      <c r="G632" s="82" t="s">
        <v>4761</v>
      </c>
      <c r="H632" s="82"/>
      <c r="I632" s="79" t="s">
        <v>4762</v>
      </c>
      <c r="J632" s="83">
        <v>2212</v>
      </c>
      <c r="K632" s="83">
        <v>1685.3333333333333</v>
      </c>
      <c r="L632" s="83">
        <v>1685.3333333333333</v>
      </c>
      <c r="M632" s="84">
        <v>1516.8</v>
      </c>
      <c r="N632" s="59">
        <f t="shared" si="9"/>
        <v>0.31428571428571428</v>
      </c>
      <c r="O632" s="85" t="s">
        <v>1598</v>
      </c>
      <c r="P632" s="86" t="s">
        <v>2875</v>
      </c>
      <c r="Q632" s="87" t="s">
        <v>3208</v>
      </c>
      <c r="R632" s="87">
        <v>28</v>
      </c>
      <c r="S632" s="88">
        <v>79</v>
      </c>
      <c r="T632" s="88">
        <v>60.19047619047619</v>
      </c>
      <c r="U632" s="88">
        <v>54.171428571428571</v>
      </c>
      <c r="V632" s="87" t="s">
        <v>3061</v>
      </c>
      <c r="W632" s="87" t="s">
        <v>3112</v>
      </c>
      <c r="X632" s="90" t="s">
        <v>3477</v>
      </c>
      <c r="Y632" s="89"/>
      <c r="Z632" s="89"/>
      <c r="AA632" s="89"/>
      <c r="AB632" s="89"/>
    </row>
    <row r="633" spans="1:28" s="31" customFormat="1" ht="60" customHeight="1" x14ac:dyDescent="0.2">
      <c r="A633" s="76">
        <v>632</v>
      </c>
      <c r="B633" s="77">
        <v>50005629</v>
      </c>
      <c r="C633" s="78" t="s">
        <v>3514</v>
      </c>
      <c r="D633" s="79">
        <v>0.05</v>
      </c>
      <c r="E633" s="80">
        <v>30049099</v>
      </c>
      <c r="F633" s="81" t="s">
        <v>3515</v>
      </c>
      <c r="G633" s="82" t="s">
        <v>738</v>
      </c>
      <c r="H633" s="82" t="s">
        <v>3816</v>
      </c>
      <c r="I633" s="79" t="s">
        <v>2666</v>
      </c>
      <c r="J633" s="83">
        <v>328.96</v>
      </c>
      <c r="K633" s="83">
        <v>250.63619047619051</v>
      </c>
      <c r="L633" s="83">
        <v>208.86349206349209</v>
      </c>
      <c r="M633" s="84">
        <v>192.98986666666673</v>
      </c>
      <c r="N633" s="59">
        <f t="shared" si="9"/>
        <v>0.41333333333333311</v>
      </c>
      <c r="O633" s="85" t="s">
        <v>1598</v>
      </c>
      <c r="P633" s="86" t="s">
        <v>3525</v>
      </c>
      <c r="Q633" s="87" t="s">
        <v>3208</v>
      </c>
      <c r="R633" s="87">
        <v>10</v>
      </c>
      <c r="S633" s="88">
        <v>32.896000000000001</v>
      </c>
      <c r="T633" s="88">
        <v>20.886349206349209</v>
      </c>
      <c r="U633" s="88">
        <v>19.298986666666671</v>
      </c>
      <c r="V633" s="87" t="s">
        <v>3061</v>
      </c>
      <c r="W633" s="87" t="s">
        <v>3117</v>
      </c>
      <c r="X633" s="90" t="s">
        <v>3477</v>
      </c>
      <c r="Y633" s="89"/>
      <c r="Z633" s="89">
        <v>10</v>
      </c>
      <c r="AA633" s="89" t="s">
        <v>3207</v>
      </c>
      <c r="AB633" s="89"/>
    </row>
    <row r="634" spans="1:28" s="31" customFormat="1" ht="60" customHeight="1" x14ac:dyDescent="0.2">
      <c r="A634" s="76">
        <v>633</v>
      </c>
      <c r="B634" s="77">
        <v>50005622</v>
      </c>
      <c r="C634" s="78" t="s">
        <v>3516</v>
      </c>
      <c r="D634" s="79">
        <v>0.05</v>
      </c>
      <c r="E634" s="80">
        <v>30049099</v>
      </c>
      <c r="F634" s="81" t="s">
        <v>3517</v>
      </c>
      <c r="G634" s="82" t="s">
        <v>3619</v>
      </c>
      <c r="H634" s="82" t="s">
        <v>323</v>
      </c>
      <c r="I634" s="79" t="s">
        <v>2708</v>
      </c>
      <c r="J634" s="83">
        <v>55.77</v>
      </c>
      <c r="K634" s="83">
        <v>42.491428571428571</v>
      </c>
      <c r="L634" s="83">
        <v>33.993142857142857</v>
      </c>
      <c r="M634" s="84">
        <v>30.673500000000004</v>
      </c>
      <c r="N634" s="59">
        <f t="shared" si="9"/>
        <v>0.44999999999999996</v>
      </c>
      <c r="O634" s="85" t="s">
        <v>1598</v>
      </c>
      <c r="P634" s="86" t="s">
        <v>3526</v>
      </c>
      <c r="Q634" s="87" t="s">
        <v>3207</v>
      </c>
      <c r="R634" s="87">
        <v>1</v>
      </c>
      <c r="S634" s="88">
        <v>55.77</v>
      </c>
      <c r="T634" s="88">
        <v>33.993142857142857</v>
      </c>
      <c r="U634" s="88">
        <v>30.673500000000004</v>
      </c>
      <c r="V634" s="87" t="s">
        <v>3067</v>
      </c>
      <c r="W634" s="87" t="s">
        <v>3117</v>
      </c>
      <c r="X634" s="90" t="s">
        <v>3479</v>
      </c>
      <c r="Y634" s="89"/>
      <c r="Z634" s="89">
        <v>5</v>
      </c>
      <c r="AA634" s="89" t="s">
        <v>3207</v>
      </c>
      <c r="AB634" s="89"/>
    </row>
    <row r="635" spans="1:28" s="31" customFormat="1" ht="60" customHeight="1" x14ac:dyDescent="0.2">
      <c r="A635" s="76">
        <v>634</v>
      </c>
      <c r="B635" s="77">
        <v>50005623</v>
      </c>
      <c r="C635" s="78" t="s">
        <v>3518</v>
      </c>
      <c r="D635" s="79">
        <v>0.05</v>
      </c>
      <c r="E635" s="80">
        <v>30049099</v>
      </c>
      <c r="F635" s="81" t="s">
        <v>3519</v>
      </c>
      <c r="G635" s="82" t="s">
        <v>3620</v>
      </c>
      <c r="H635" s="82" t="s">
        <v>72</v>
      </c>
      <c r="I635" s="79" t="s">
        <v>2666</v>
      </c>
      <c r="J635" s="83">
        <v>158.94999999999999</v>
      </c>
      <c r="K635" s="83">
        <v>121.10476190476189</v>
      </c>
      <c r="L635" s="83">
        <v>121.10476190476189</v>
      </c>
      <c r="M635" s="84">
        <v>108.99428571428571</v>
      </c>
      <c r="N635" s="59">
        <f t="shared" si="9"/>
        <v>0.31428571428571428</v>
      </c>
      <c r="O635" s="85" t="s">
        <v>1598</v>
      </c>
      <c r="P635" s="86" t="s">
        <v>4123</v>
      </c>
      <c r="Q635" s="87" t="s">
        <v>3207</v>
      </c>
      <c r="R635" s="87">
        <v>10</v>
      </c>
      <c r="S635" s="88">
        <v>15.895</v>
      </c>
      <c r="T635" s="88">
        <v>12.110476190476188</v>
      </c>
      <c r="U635" s="88">
        <v>10.899428571428571</v>
      </c>
      <c r="V635" s="87" t="s">
        <v>3061</v>
      </c>
      <c r="W635" s="87" t="s">
        <v>3117</v>
      </c>
      <c r="X635" s="90" t="s">
        <v>3477</v>
      </c>
      <c r="Y635" s="89"/>
      <c r="Z635" s="89">
        <v>10</v>
      </c>
      <c r="AA635" s="89" t="s">
        <v>3207</v>
      </c>
      <c r="AB635" s="89"/>
    </row>
    <row r="636" spans="1:28" s="31" customFormat="1" ht="60" customHeight="1" x14ac:dyDescent="0.2">
      <c r="A636" s="76">
        <v>635</v>
      </c>
      <c r="B636" s="77">
        <v>50004670</v>
      </c>
      <c r="C636" s="78" t="s">
        <v>1645</v>
      </c>
      <c r="D636" s="79">
        <v>0.05</v>
      </c>
      <c r="E636" s="80">
        <v>30049099</v>
      </c>
      <c r="F636" s="81" t="s">
        <v>1646</v>
      </c>
      <c r="G636" s="82" t="s">
        <v>1647</v>
      </c>
      <c r="H636" s="82" t="s">
        <v>3956</v>
      </c>
      <c r="I636" s="79" t="s">
        <v>2664</v>
      </c>
      <c r="J636" s="83">
        <v>187.16</v>
      </c>
      <c r="K636" s="83">
        <v>142.59809523809525</v>
      </c>
      <c r="L636" s="83">
        <v>128.33828571428575</v>
      </c>
      <c r="M636" s="84">
        <v>115.50445714285716</v>
      </c>
      <c r="N636" s="59">
        <f t="shared" si="9"/>
        <v>0.38285714285714273</v>
      </c>
      <c r="O636" s="85" t="s">
        <v>1598</v>
      </c>
      <c r="P636" s="86" t="s">
        <v>2876</v>
      </c>
      <c r="Q636" s="87" t="s">
        <v>3208</v>
      </c>
      <c r="R636" s="87">
        <v>30</v>
      </c>
      <c r="S636" s="88">
        <v>6.2386666666666661</v>
      </c>
      <c r="T636" s="88">
        <v>4.2779428571428584</v>
      </c>
      <c r="U636" s="88">
        <v>3.8501485714285719</v>
      </c>
      <c r="V636" s="87" t="s">
        <v>3061</v>
      </c>
      <c r="W636" s="87" t="s">
        <v>3105</v>
      </c>
      <c r="X636" s="90" t="s">
        <v>3477</v>
      </c>
      <c r="Y636" s="89"/>
      <c r="Z636" s="89">
        <v>10</v>
      </c>
      <c r="AA636" s="89"/>
      <c r="AB636" s="89" t="s">
        <v>4613</v>
      </c>
    </row>
    <row r="637" spans="1:28" s="31" customFormat="1" ht="60" customHeight="1" x14ac:dyDescent="0.2">
      <c r="A637" s="76">
        <v>636</v>
      </c>
      <c r="B637" s="77">
        <v>50004148</v>
      </c>
      <c r="C637" s="78" t="s">
        <v>1648</v>
      </c>
      <c r="D637" s="79">
        <v>0.05</v>
      </c>
      <c r="E637" s="80">
        <v>30049099</v>
      </c>
      <c r="F637" s="81" t="s">
        <v>1649</v>
      </c>
      <c r="G637" s="82" t="s">
        <v>1650</v>
      </c>
      <c r="H637" s="82" t="s">
        <v>3957</v>
      </c>
      <c r="I637" s="79" t="s">
        <v>2664</v>
      </c>
      <c r="J637" s="83">
        <v>223.12</v>
      </c>
      <c r="K637" s="83">
        <v>169.99619047619049</v>
      </c>
      <c r="L637" s="83">
        <v>152.99657142857146</v>
      </c>
      <c r="M637" s="84">
        <v>137.69691428571429</v>
      </c>
      <c r="N637" s="59">
        <f t="shared" si="9"/>
        <v>0.3828571428571429</v>
      </c>
      <c r="O637" s="85" t="s">
        <v>1598</v>
      </c>
      <c r="P637" s="86" t="s">
        <v>318</v>
      </c>
      <c r="Q637" s="87" t="s">
        <v>3208</v>
      </c>
      <c r="R637" s="87">
        <v>30</v>
      </c>
      <c r="S637" s="88">
        <v>7.4373333333333331</v>
      </c>
      <c r="T637" s="88">
        <v>5.0998857142857155</v>
      </c>
      <c r="U637" s="88">
        <v>4.5898971428571427</v>
      </c>
      <c r="V637" s="87" t="s">
        <v>3061</v>
      </c>
      <c r="W637" s="87" t="s">
        <v>3105</v>
      </c>
      <c r="X637" s="90" t="s">
        <v>3477</v>
      </c>
      <c r="Y637" s="89"/>
      <c r="Z637" s="89">
        <v>10</v>
      </c>
      <c r="AA637" s="89"/>
      <c r="AB637" s="89"/>
    </row>
    <row r="638" spans="1:28" s="31" customFormat="1" ht="60" customHeight="1" x14ac:dyDescent="0.2">
      <c r="A638" s="76">
        <v>637</v>
      </c>
      <c r="B638" s="77">
        <v>50002195</v>
      </c>
      <c r="C638" s="78" t="s">
        <v>1651</v>
      </c>
      <c r="D638" s="79">
        <v>0.05</v>
      </c>
      <c r="E638" s="80">
        <v>30049099</v>
      </c>
      <c r="F638" s="81" t="s">
        <v>1652</v>
      </c>
      <c r="G638" s="82" t="s">
        <v>1653</v>
      </c>
      <c r="H638" s="82" t="s">
        <v>3958</v>
      </c>
      <c r="I638" s="79" t="s">
        <v>2666</v>
      </c>
      <c r="J638" s="83">
        <v>135.87</v>
      </c>
      <c r="K638" s="83">
        <v>103.52000000000001</v>
      </c>
      <c r="L638" s="83">
        <v>93.168000000000006</v>
      </c>
      <c r="M638" s="84">
        <v>83.851199999999992</v>
      </c>
      <c r="N638" s="59">
        <f t="shared" si="9"/>
        <v>0.38285714285714295</v>
      </c>
      <c r="O638" s="85" t="s">
        <v>1598</v>
      </c>
      <c r="P638" s="86" t="s">
        <v>2692</v>
      </c>
      <c r="Q638" s="87" t="s">
        <v>3208</v>
      </c>
      <c r="R638" s="87">
        <v>10</v>
      </c>
      <c r="S638" s="88">
        <v>13.587</v>
      </c>
      <c r="T638" s="88">
        <v>9.3168000000000006</v>
      </c>
      <c r="U638" s="88">
        <v>8.3851199999999988</v>
      </c>
      <c r="V638" s="87" t="s">
        <v>3061</v>
      </c>
      <c r="W638" s="87" t="s">
        <v>3105</v>
      </c>
      <c r="X638" s="90" t="s">
        <v>3477</v>
      </c>
      <c r="Y638" s="89"/>
      <c r="Z638" s="89">
        <v>6</v>
      </c>
      <c r="AA638" s="89"/>
      <c r="AB638" s="89" t="s">
        <v>4613</v>
      </c>
    </row>
    <row r="639" spans="1:28" s="31" customFormat="1" ht="60" customHeight="1" x14ac:dyDescent="0.2">
      <c r="A639" s="76">
        <v>638</v>
      </c>
      <c r="B639" s="77">
        <v>50003040</v>
      </c>
      <c r="C639" s="78" t="s">
        <v>1654</v>
      </c>
      <c r="D639" s="79">
        <v>0.05</v>
      </c>
      <c r="E639" s="80">
        <v>30049099</v>
      </c>
      <c r="F639" s="81" t="s">
        <v>1655</v>
      </c>
      <c r="G639" s="82" t="s">
        <v>1656</v>
      </c>
      <c r="H639" s="82" t="s">
        <v>3959</v>
      </c>
      <c r="I639" s="79" t="s">
        <v>2708</v>
      </c>
      <c r="J639" s="83">
        <v>247.05</v>
      </c>
      <c r="K639" s="83">
        <v>188.22857142857143</v>
      </c>
      <c r="L639" s="83">
        <v>188.22857142857143</v>
      </c>
      <c r="M639" s="84">
        <v>169.40571428571428</v>
      </c>
      <c r="N639" s="59">
        <f t="shared" si="9"/>
        <v>0.31428571428571433</v>
      </c>
      <c r="O639" s="85" t="s">
        <v>1657</v>
      </c>
      <c r="P639" s="86" t="s">
        <v>1658</v>
      </c>
      <c r="Q639" s="87" t="s">
        <v>3208</v>
      </c>
      <c r="R639" s="87">
        <v>1</v>
      </c>
      <c r="S639" s="88">
        <v>247.05</v>
      </c>
      <c r="T639" s="88">
        <v>188.22857142857143</v>
      </c>
      <c r="U639" s="88">
        <v>169.40571428571428</v>
      </c>
      <c r="V639" s="87" t="s">
        <v>3067</v>
      </c>
      <c r="W639" s="87" t="s">
        <v>3110</v>
      </c>
      <c r="X639" s="90" t="s">
        <v>3482</v>
      </c>
      <c r="Y639" s="89"/>
      <c r="Z639" s="89">
        <v>1</v>
      </c>
      <c r="AA639" s="89"/>
      <c r="AB639" s="89"/>
    </row>
    <row r="640" spans="1:28" s="31" customFormat="1" ht="60" customHeight="1" x14ac:dyDescent="0.2">
      <c r="A640" s="76">
        <v>639</v>
      </c>
      <c r="B640" s="77">
        <v>50003126</v>
      </c>
      <c r="C640" s="78" t="s">
        <v>1659</v>
      </c>
      <c r="D640" s="79">
        <v>0.05</v>
      </c>
      <c r="E640" s="80">
        <v>30049099</v>
      </c>
      <c r="F640" s="81" t="s">
        <v>1660</v>
      </c>
      <c r="G640" s="82" t="s">
        <v>1661</v>
      </c>
      <c r="H640" s="82" t="s">
        <v>3960</v>
      </c>
      <c r="I640" s="79" t="s">
        <v>2708</v>
      </c>
      <c r="J640" s="83">
        <v>499.11</v>
      </c>
      <c r="K640" s="83">
        <v>380.27428571428572</v>
      </c>
      <c r="L640" s="83">
        <v>380.27428571428572</v>
      </c>
      <c r="M640" s="84">
        <v>342.2468571428571</v>
      </c>
      <c r="N640" s="59">
        <f t="shared" si="9"/>
        <v>0.31428571428571439</v>
      </c>
      <c r="O640" s="85" t="s">
        <v>1657</v>
      </c>
      <c r="P640" s="86" t="s">
        <v>2877</v>
      </c>
      <c r="Q640" s="87" t="s">
        <v>3208</v>
      </c>
      <c r="R640" s="87">
        <v>1</v>
      </c>
      <c r="S640" s="88">
        <v>499.11</v>
      </c>
      <c r="T640" s="88">
        <v>380.27428571428572</v>
      </c>
      <c r="U640" s="88">
        <v>342.2468571428571</v>
      </c>
      <c r="V640" s="87" t="s">
        <v>3067</v>
      </c>
      <c r="W640" s="87" t="s">
        <v>3110</v>
      </c>
      <c r="X640" s="90" t="s">
        <v>3482</v>
      </c>
      <c r="Y640" s="89"/>
      <c r="Z640" s="89">
        <v>1</v>
      </c>
      <c r="AA640" s="89" t="s">
        <v>3207</v>
      </c>
      <c r="AB640" s="89"/>
    </row>
    <row r="641" spans="1:28" s="31" customFormat="1" ht="60" customHeight="1" x14ac:dyDescent="0.2">
      <c r="A641" s="76">
        <v>640</v>
      </c>
      <c r="B641" s="77">
        <v>50003127</v>
      </c>
      <c r="C641" s="78" t="s">
        <v>1662</v>
      </c>
      <c r="D641" s="79">
        <v>0.05</v>
      </c>
      <c r="E641" s="80">
        <v>30049099</v>
      </c>
      <c r="F641" s="81" t="s">
        <v>1663</v>
      </c>
      <c r="G641" s="82" t="s">
        <v>1664</v>
      </c>
      <c r="H641" s="82" t="s">
        <v>3961</v>
      </c>
      <c r="I641" s="79" t="s">
        <v>2708</v>
      </c>
      <c r="J641" s="83">
        <v>183.26</v>
      </c>
      <c r="K641" s="83">
        <v>139.62666666666667</v>
      </c>
      <c r="L641" s="83">
        <v>139.62666666666667</v>
      </c>
      <c r="M641" s="84">
        <v>125.66399999999997</v>
      </c>
      <c r="N641" s="59">
        <f t="shared" si="9"/>
        <v>0.31428571428571439</v>
      </c>
      <c r="O641" s="85" t="s">
        <v>1657</v>
      </c>
      <c r="P641" s="86" t="s">
        <v>3156</v>
      </c>
      <c r="Q641" s="87" t="s">
        <v>3208</v>
      </c>
      <c r="R641" s="87">
        <v>1</v>
      </c>
      <c r="S641" s="88">
        <v>183.26</v>
      </c>
      <c r="T641" s="88">
        <v>139.62666666666667</v>
      </c>
      <c r="U641" s="88">
        <v>125.66399999999997</v>
      </c>
      <c r="V641" s="87" t="s">
        <v>3067</v>
      </c>
      <c r="W641" s="87" t="s">
        <v>3110</v>
      </c>
      <c r="X641" s="90" t="s">
        <v>3482</v>
      </c>
      <c r="Y641" s="89"/>
      <c r="Z641" s="89">
        <v>1</v>
      </c>
      <c r="AA641" s="89"/>
      <c r="AB641" s="89"/>
    </row>
    <row r="642" spans="1:28" s="31" customFormat="1" ht="60" customHeight="1" x14ac:dyDescent="0.2">
      <c r="A642" s="76">
        <v>641</v>
      </c>
      <c r="B642" s="77">
        <v>50006185</v>
      </c>
      <c r="C642" s="78" t="s">
        <v>4792</v>
      </c>
      <c r="D642" s="79">
        <v>0.05</v>
      </c>
      <c r="E642" s="80">
        <v>30049039</v>
      </c>
      <c r="F642" s="81" t="s">
        <v>4812</v>
      </c>
      <c r="G642" s="82" t="s">
        <v>4847</v>
      </c>
      <c r="H642" s="82" t="s">
        <v>4848</v>
      </c>
      <c r="I642" s="79" t="s">
        <v>2708</v>
      </c>
      <c r="J642" s="83">
        <v>75</v>
      </c>
      <c r="K642" s="83">
        <v>57.142857142857146</v>
      </c>
      <c r="L642" s="83">
        <v>57.142857142857146</v>
      </c>
      <c r="M642" s="84">
        <v>51.428571428571431</v>
      </c>
      <c r="N642" s="59">
        <f t="shared" ref="N642:N705" si="10">(J642-M642)/J642</f>
        <v>0.31428571428571428</v>
      </c>
      <c r="O642" s="85" t="s">
        <v>1657</v>
      </c>
      <c r="P642" s="86" t="s">
        <v>4865</v>
      </c>
      <c r="Q642" s="87" t="s">
        <v>3208</v>
      </c>
      <c r="R642" s="87">
        <v>1</v>
      </c>
      <c r="S642" s="88">
        <v>75</v>
      </c>
      <c r="T642" s="88">
        <v>57.142857142857146</v>
      </c>
      <c r="U642" s="88">
        <v>51.428571428571431</v>
      </c>
      <c r="V642" s="87" t="s">
        <v>3062</v>
      </c>
      <c r="W642" s="87" t="s">
        <v>3110</v>
      </c>
      <c r="X642" s="90" t="s">
        <v>3482</v>
      </c>
      <c r="Y642" s="89"/>
      <c r="Z642" s="89"/>
      <c r="AA642" s="89"/>
      <c r="AB642" s="89" t="s">
        <v>3299</v>
      </c>
    </row>
    <row r="643" spans="1:28" s="31" customFormat="1" ht="60" customHeight="1" x14ac:dyDescent="0.2">
      <c r="A643" s="76">
        <v>642</v>
      </c>
      <c r="B643" s="77">
        <v>50000713</v>
      </c>
      <c r="C643" s="78" t="s">
        <v>1665</v>
      </c>
      <c r="D643" s="79">
        <v>0.05</v>
      </c>
      <c r="E643" s="80">
        <v>30042039</v>
      </c>
      <c r="F643" s="81" t="s">
        <v>1666</v>
      </c>
      <c r="G643" s="82" t="s">
        <v>1667</v>
      </c>
      <c r="H643" s="82" t="s">
        <v>3750</v>
      </c>
      <c r="I643" s="79" t="s">
        <v>2708</v>
      </c>
      <c r="J643" s="83">
        <v>90.57</v>
      </c>
      <c r="K643" s="83">
        <v>69.005714285714276</v>
      </c>
      <c r="L643" s="83">
        <v>52.44434285714285</v>
      </c>
      <c r="M643" s="84">
        <v>49.822125714285718</v>
      </c>
      <c r="N643" s="59">
        <f t="shared" si="10"/>
        <v>0.44990476190476181</v>
      </c>
      <c r="O643" s="85" t="s">
        <v>1657</v>
      </c>
      <c r="P643" s="86" t="s">
        <v>2877</v>
      </c>
      <c r="Q643" s="87" t="s">
        <v>3208</v>
      </c>
      <c r="R643" s="87">
        <v>1</v>
      </c>
      <c r="S643" s="88">
        <v>90.57</v>
      </c>
      <c r="T643" s="88">
        <v>52.44434285714285</v>
      </c>
      <c r="U643" s="88">
        <v>49.822125714285718</v>
      </c>
      <c r="V643" s="87" t="s">
        <v>3067</v>
      </c>
      <c r="W643" s="87" t="s">
        <v>3110</v>
      </c>
      <c r="X643" s="90" t="s">
        <v>3482</v>
      </c>
      <c r="Y643" s="89"/>
      <c r="Z643" s="89">
        <v>1</v>
      </c>
      <c r="AA643" s="89"/>
      <c r="AB643" s="89"/>
    </row>
    <row r="644" spans="1:28" s="31" customFormat="1" ht="60" customHeight="1" x14ac:dyDescent="0.2">
      <c r="A644" s="76">
        <v>643</v>
      </c>
      <c r="B644" s="77">
        <v>50002173</v>
      </c>
      <c r="C644" s="78" t="s">
        <v>1668</v>
      </c>
      <c r="D644" s="79">
        <v>0.05</v>
      </c>
      <c r="E644" s="80">
        <v>30049039</v>
      </c>
      <c r="F644" s="81" t="s">
        <v>1669</v>
      </c>
      <c r="G644" s="82" t="s">
        <v>1670</v>
      </c>
      <c r="H644" s="82" t="s">
        <v>3962</v>
      </c>
      <c r="I644" s="79" t="s">
        <v>2708</v>
      </c>
      <c r="J644" s="83">
        <v>166.06</v>
      </c>
      <c r="K644" s="83">
        <v>126.52190476190476</v>
      </c>
      <c r="L644" s="83">
        <v>126.52190476190476</v>
      </c>
      <c r="M644" s="84">
        <v>113.86971428571428</v>
      </c>
      <c r="N644" s="59">
        <f t="shared" si="10"/>
        <v>0.31428571428571433</v>
      </c>
      <c r="O644" s="85" t="s">
        <v>1657</v>
      </c>
      <c r="P644" s="86" t="s">
        <v>2877</v>
      </c>
      <c r="Q644" s="87" t="s">
        <v>3208</v>
      </c>
      <c r="R644" s="87">
        <v>1</v>
      </c>
      <c r="S644" s="88">
        <v>166.06</v>
      </c>
      <c r="T644" s="88">
        <v>126.52190476190476</v>
      </c>
      <c r="U644" s="88">
        <v>113.86971428571428</v>
      </c>
      <c r="V644" s="87" t="s">
        <v>3067</v>
      </c>
      <c r="W644" s="87" t="s">
        <v>3110</v>
      </c>
      <c r="X644" s="90" t="s">
        <v>3482</v>
      </c>
      <c r="Y644" s="89"/>
      <c r="Z644" s="89">
        <v>1</v>
      </c>
      <c r="AA644" s="89" t="s">
        <v>3207</v>
      </c>
      <c r="AB644" s="89"/>
    </row>
    <row r="645" spans="1:28" s="31" customFormat="1" ht="60" customHeight="1" x14ac:dyDescent="0.2">
      <c r="A645" s="76">
        <v>644</v>
      </c>
      <c r="B645" s="77">
        <v>50005461</v>
      </c>
      <c r="C645" s="78" t="s">
        <v>3575</v>
      </c>
      <c r="D645" s="79">
        <v>0.05</v>
      </c>
      <c r="E645" s="80">
        <v>30049099</v>
      </c>
      <c r="F645" s="81" t="s">
        <v>3583</v>
      </c>
      <c r="G645" s="82" t="s">
        <v>3621</v>
      </c>
      <c r="H645" s="82" t="s">
        <v>3963</v>
      </c>
      <c r="I645" s="79" t="s">
        <v>2708</v>
      </c>
      <c r="J645" s="83">
        <v>257.8</v>
      </c>
      <c r="K645" s="83">
        <v>196.4190476190476</v>
      </c>
      <c r="L645" s="83">
        <v>164.99199999999996</v>
      </c>
      <c r="M645" s="84">
        <v>164.99199999999996</v>
      </c>
      <c r="N645" s="59">
        <f t="shared" si="10"/>
        <v>0.36000000000000015</v>
      </c>
      <c r="O645" s="85" t="s">
        <v>1657</v>
      </c>
      <c r="P645" s="86" t="s">
        <v>2877</v>
      </c>
      <c r="Q645" s="87" t="s">
        <v>3208</v>
      </c>
      <c r="R645" s="87">
        <v>1</v>
      </c>
      <c r="S645" s="88">
        <v>257.8</v>
      </c>
      <c r="T645" s="88">
        <v>164.99199999999996</v>
      </c>
      <c r="U645" s="88">
        <v>164.99199999999996</v>
      </c>
      <c r="V645" s="87" t="s">
        <v>3062</v>
      </c>
      <c r="W645" s="87" t="s">
        <v>3110</v>
      </c>
      <c r="X645" s="90" t="s">
        <v>3482</v>
      </c>
      <c r="Y645" s="89"/>
      <c r="Z645" s="89"/>
      <c r="AA645" s="89" t="s">
        <v>3207</v>
      </c>
      <c r="AB645" s="89" t="s">
        <v>4613</v>
      </c>
    </row>
    <row r="646" spans="1:28" s="31" customFormat="1" ht="60" customHeight="1" x14ac:dyDescent="0.2">
      <c r="A646" s="76">
        <v>645</v>
      </c>
      <c r="B646" s="77">
        <v>50003152</v>
      </c>
      <c r="C646" s="78" t="s">
        <v>1671</v>
      </c>
      <c r="D646" s="79">
        <v>0.05</v>
      </c>
      <c r="E646" s="80">
        <v>30049099</v>
      </c>
      <c r="F646" s="81" t="s">
        <v>1672</v>
      </c>
      <c r="G646" s="82" t="s">
        <v>1673</v>
      </c>
      <c r="H646" s="82" t="s">
        <v>3964</v>
      </c>
      <c r="I646" s="79" t="s">
        <v>2672</v>
      </c>
      <c r="J646" s="83">
        <v>328.96</v>
      </c>
      <c r="K646" s="83">
        <v>250.63619047619051</v>
      </c>
      <c r="L646" s="83">
        <v>210.53440000000003</v>
      </c>
      <c r="M646" s="84">
        <v>200.00767999999997</v>
      </c>
      <c r="N646" s="59">
        <f t="shared" si="10"/>
        <v>0.39200000000000007</v>
      </c>
      <c r="O646" s="85" t="s">
        <v>1657</v>
      </c>
      <c r="P646" s="86" t="s">
        <v>2877</v>
      </c>
      <c r="Q646" s="87" t="s">
        <v>3208</v>
      </c>
      <c r="R646" s="87">
        <v>1</v>
      </c>
      <c r="S646" s="88">
        <v>328.96</v>
      </c>
      <c r="T646" s="88">
        <v>210.53440000000003</v>
      </c>
      <c r="U646" s="88">
        <v>200.00767999999997</v>
      </c>
      <c r="V646" s="87" t="s">
        <v>3067</v>
      </c>
      <c r="W646" s="87" t="s">
        <v>3110</v>
      </c>
      <c r="X646" s="90" t="s">
        <v>3482</v>
      </c>
      <c r="Y646" s="89"/>
      <c r="Z646" s="89">
        <v>1</v>
      </c>
      <c r="AA646" s="89" t="s">
        <v>3207</v>
      </c>
      <c r="AB646" s="89"/>
    </row>
    <row r="647" spans="1:28" s="31" customFormat="1" ht="60" customHeight="1" x14ac:dyDescent="0.2">
      <c r="A647" s="76">
        <v>646</v>
      </c>
      <c r="B647" s="77">
        <v>50005144</v>
      </c>
      <c r="C647" s="78" t="s">
        <v>3230</v>
      </c>
      <c r="D647" s="79">
        <v>0.05</v>
      </c>
      <c r="E647" s="80">
        <v>30049099</v>
      </c>
      <c r="F647" s="81" t="s">
        <v>3231</v>
      </c>
      <c r="G647" s="82" t="s">
        <v>3271</v>
      </c>
      <c r="H647" s="82" t="s">
        <v>3283</v>
      </c>
      <c r="I647" s="79" t="s">
        <v>2672</v>
      </c>
      <c r="J647" s="83">
        <v>464.04</v>
      </c>
      <c r="K647" s="83">
        <v>353.5542857142857</v>
      </c>
      <c r="L647" s="83">
        <v>296.98559999999998</v>
      </c>
      <c r="M647" s="84">
        <v>282.13631999999996</v>
      </c>
      <c r="N647" s="59">
        <f t="shared" si="10"/>
        <v>0.39200000000000013</v>
      </c>
      <c r="O647" s="85" t="s">
        <v>1657</v>
      </c>
      <c r="P647" s="86" t="s">
        <v>2877</v>
      </c>
      <c r="Q647" s="87" t="s">
        <v>3208</v>
      </c>
      <c r="R647" s="87">
        <v>1</v>
      </c>
      <c r="S647" s="88">
        <v>464.04</v>
      </c>
      <c r="T647" s="88">
        <v>296.98559999999998</v>
      </c>
      <c r="U647" s="88">
        <v>282.13631999999996</v>
      </c>
      <c r="V647" s="87" t="s">
        <v>3062</v>
      </c>
      <c r="W647" s="87" t="s">
        <v>3110</v>
      </c>
      <c r="X647" s="90" t="s">
        <v>3482</v>
      </c>
      <c r="Y647" s="89"/>
      <c r="Z647" s="89">
        <v>1</v>
      </c>
      <c r="AA647" s="89" t="s">
        <v>3207</v>
      </c>
      <c r="AB647" s="89"/>
    </row>
    <row r="648" spans="1:28" s="31" customFormat="1" ht="60" customHeight="1" x14ac:dyDescent="0.2">
      <c r="A648" s="76">
        <v>647</v>
      </c>
      <c r="B648" s="77">
        <v>50004152</v>
      </c>
      <c r="C648" s="78" t="s">
        <v>1674</v>
      </c>
      <c r="D648" s="79">
        <v>0.05</v>
      </c>
      <c r="E648" s="80">
        <v>30049099</v>
      </c>
      <c r="F648" s="81" t="s">
        <v>1675</v>
      </c>
      <c r="G648" s="82" t="s">
        <v>1676</v>
      </c>
      <c r="H648" s="82" t="s">
        <v>3965</v>
      </c>
      <c r="I648" s="79" t="s">
        <v>2672</v>
      </c>
      <c r="J648" s="83">
        <v>425.38</v>
      </c>
      <c r="K648" s="83">
        <v>324.09904761904761</v>
      </c>
      <c r="L648" s="83">
        <v>272.2432</v>
      </c>
      <c r="M648" s="84">
        <v>258.63103999999998</v>
      </c>
      <c r="N648" s="59">
        <f t="shared" si="10"/>
        <v>0.39200000000000002</v>
      </c>
      <c r="O648" s="85" t="s">
        <v>1657</v>
      </c>
      <c r="P648" s="86" t="s">
        <v>2877</v>
      </c>
      <c r="Q648" s="87" t="s">
        <v>3208</v>
      </c>
      <c r="R648" s="87">
        <v>1</v>
      </c>
      <c r="S648" s="88">
        <v>425.38</v>
      </c>
      <c r="T648" s="88">
        <v>272.2432</v>
      </c>
      <c r="U648" s="88">
        <v>258.63103999999998</v>
      </c>
      <c r="V648" s="87" t="s">
        <v>3067</v>
      </c>
      <c r="W648" s="87" t="s">
        <v>3110</v>
      </c>
      <c r="X648" s="90" t="s">
        <v>3482</v>
      </c>
      <c r="Y648" s="89"/>
      <c r="Z648" s="89">
        <v>1</v>
      </c>
      <c r="AA648" s="89" t="s">
        <v>3207</v>
      </c>
      <c r="AB648" s="89"/>
    </row>
    <row r="649" spans="1:28" s="31" customFormat="1" ht="60" customHeight="1" x14ac:dyDescent="0.2">
      <c r="A649" s="76">
        <v>648</v>
      </c>
      <c r="B649" s="77">
        <v>50005143</v>
      </c>
      <c r="C649" s="78" t="s">
        <v>3312</v>
      </c>
      <c r="D649" s="79">
        <v>0.05</v>
      </c>
      <c r="E649" s="80">
        <v>30049099</v>
      </c>
      <c r="F649" s="81" t="s">
        <v>3324</v>
      </c>
      <c r="G649" s="82" t="s">
        <v>3347</v>
      </c>
      <c r="H649" s="82" t="s">
        <v>3341</v>
      </c>
      <c r="I649" s="79" t="s">
        <v>2672</v>
      </c>
      <c r="J649" s="83">
        <v>467.91</v>
      </c>
      <c r="K649" s="83">
        <v>356.50285714285712</v>
      </c>
      <c r="L649" s="83">
        <v>299.4624</v>
      </c>
      <c r="M649" s="84">
        <v>284.48928000000001</v>
      </c>
      <c r="N649" s="59">
        <f t="shared" si="10"/>
        <v>0.39200000000000002</v>
      </c>
      <c r="O649" s="85" t="s">
        <v>1657</v>
      </c>
      <c r="P649" s="86" t="s">
        <v>2877</v>
      </c>
      <c r="Q649" s="87" t="s">
        <v>3208</v>
      </c>
      <c r="R649" s="87">
        <v>1</v>
      </c>
      <c r="S649" s="88">
        <v>467.91</v>
      </c>
      <c r="T649" s="88">
        <v>299.4624</v>
      </c>
      <c r="U649" s="88">
        <v>284.48928000000001</v>
      </c>
      <c r="V649" s="87" t="s">
        <v>3062</v>
      </c>
      <c r="W649" s="87" t="s">
        <v>3110</v>
      </c>
      <c r="X649" s="90" t="s">
        <v>3482</v>
      </c>
      <c r="Y649" s="89"/>
      <c r="Z649" s="89">
        <v>1</v>
      </c>
      <c r="AA649" s="89" t="s">
        <v>3207</v>
      </c>
      <c r="AB649" s="89"/>
    </row>
    <row r="650" spans="1:28" s="31" customFormat="1" ht="60" customHeight="1" x14ac:dyDescent="0.2">
      <c r="A650" s="76">
        <v>649</v>
      </c>
      <c r="B650" s="77">
        <v>50003235</v>
      </c>
      <c r="C650" s="78" t="s">
        <v>1677</v>
      </c>
      <c r="D650" s="79">
        <v>0.05</v>
      </c>
      <c r="E650" s="80">
        <v>30049099</v>
      </c>
      <c r="F650" s="81" t="s">
        <v>1678</v>
      </c>
      <c r="G650" s="82" t="s">
        <v>1679</v>
      </c>
      <c r="H650" s="82" t="s">
        <v>3966</v>
      </c>
      <c r="I650" s="79" t="s">
        <v>2672</v>
      </c>
      <c r="J650" s="83">
        <v>105.43</v>
      </c>
      <c r="K650" s="83">
        <v>80.327619047619038</v>
      </c>
      <c r="L650" s="83">
        <v>61.048990476190468</v>
      </c>
      <c r="M650" s="84">
        <v>57.99654095238094</v>
      </c>
      <c r="N650" s="59">
        <f t="shared" si="10"/>
        <v>0.44990476190476208</v>
      </c>
      <c r="O650" s="85" t="s">
        <v>1657</v>
      </c>
      <c r="P650" s="86" t="s">
        <v>3202</v>
      </c>
      <c r="Q650" s="87" t="s">
        <v>3207</v>
      </c>
      <c r="R650" s="87">
        <v>1</v>
      </c>
      <c r="S650" s="88">
        <v>105.43</v>
      </c>
      <c r="T650" s="88">
        <v>61.048990476190468</v>
      </c>
      <c r="U650" s="88">
        <v>57.99654095238094</v>
      </c>
      <c r="V650" s="87" t="s">
        <v>3067</v>
      </c>
      <c r="W650" s="87" t="s">
        <v>3110</v>
      </c>
      <c r="X650" s="90" t="s">
        <v>3482</v>
      </c>
      <c r="Y650" s="89"/>
      <c r="Z650" s="89">
        <v>1</v>
      </c>
      <c r="AA650" s="89" t="s">
        <v>3207</v>
      </c>
      <c r="AB650" s="89"/>
    </row>
    <row r="651" spans="1:28" s="31" customFormat="1" ht="60" customHeight="1" x14ac:dyDescent="0.2">
      <c r="A651" s="76">
        <v>650</v>
      </c>
      <c r="B651" s="77">
        <v>50003236</v>
      </c>
      <c r="C651" s="78" t="s">
        <v>1680</v>
      </c>
      <c r="D651" s="79">
        <v>0.05</v>
      </c>
      <c r="E651" s="80">
        <v>30049099</v>
      </c>
      <c r="F651" s="81" t="s">
        <v>1681</v>
      </c>
      <c r="G651" s="82" t="s">
        <v>1682</v>
      </c>
      <c r="H651" s="82" t="s">
        <v>3967</v>
      </c>
      <c r="I651" s="79" t="s">
        <v>2672</v>
      </c>
      <c r="J651" s="83">
        <v>161.30000000000001</v>
      </c>
      <c r="K651" s="83">
        <v>122.89523809523811</v>
      </c>
      <c r="L651" s="83">
        <v>93.400380952380971</v>
      </c>
      <c r="M651" s="84">
        <v>88.730361904761892</v>
      </c>
      <c r="N651" s="59">
        <f t="shared" si="10"/>
        <v>0.44990476190476203</v>
      </c>
      <c r="O651" s="85" t="s">
        <v>1657</v>
      </c>
      <c r="P651" s="86" t="s">
        <v>3202</v>
      </c>
      <c r="Q651" s="87" t="s">
        <v>3207</v>
      </c>
      <c r="R651" s="87">
        <v>1</v>
      </c>
      <c r="S651" s="88">
        <v>161.30000000000001</v>
      </c>
      <c r="T651" s="88">
        <v>93.400380952380971</v>
      </c>
      <c r="U651" s="88">
        <v>88.730361904761892</v>
      </c>
      <c r="V651" s="87" t="s">
        <v>3067</v>
      </c>
      <c r="W651" s="87" t="s">
        <v>3110</v>
      </c>
      <c r="X651" s="90" t="s">
        <v>3482</v>
      </c>
      <c r="Y651" s="89"/>
      <c r="Z651" s="89">
        <v>1</v>
      </c>
      <c r="AA651" s="89" t="s">
        <v>3207</v>
      </c>
      <c r="AB651" s="89"/>
    </row>
    <row r="652" spans="1:28" s="31" customFormat="1" ht="60" customHeight="1" x14ac:dyDescent="0.2">
      <c r="A652" s="76">
        <v>651</v>
      </c>
      <c r="B652" s="77">
        <v>50005593</v>
      </c>
      <c r="C652" s="78" t="s">
        <v>4197</v>
      </c>
      <c r="D652" s="79">
        <v>0.05</v>
      </c>
      <c r="E652" s="80">
        <v>30049099</v>
      </c>
      <c r="F652" s="81" t="s">
        <v>4198</v>
      </c>
      <c r="G652" s="82" t="str">
        <f>F652</f>
        <v>Composition:
Sodium Carboxymethylcellulose IP..0.5%w/v
Sterile Aqueous Vehicle..........q.s.
(Preservedthesolutionwith Ionic buffer system)
Inactive Ingredients: Glycerin IP, Virgin Linseed Oil BP(Omega-3),
Levocarnitine IP,
Polysorbate80,Erythritol USP-NF, Trehalose USP-NF with Ionic buffer system.</v>
      </c>
      <c r="H652" s="82" t="s">
        <v>4218</v>
      </c>
      <c r="I652" s="79" t="s">
        <v>2672</v>
      </c>
      <c r="J652" s="83">
        <v>131.33000000000001</v>
      </c>
      <c r="K652" s="83">
        <v>100.06095238095239</v>
      </c>
      <c r="L652" s="83">
        <v>84.051200000000009</v>
      </c>
      <c r="M652" s="84">
        <v>72.244007619047608</v>
      </c>
      <c r="N652" s="59">
        <f t="shared" si="10"/>
        <v>0.44990476190476203</v>
      </c>
      <c r="O652" s="85" t="s">
        <v>1657</v>
      </c>
      <c r="P652" s="86" t="s">
        <v>2709</v>
      </c>
      <c r="Q652" s="87" t="s">
        <v>3207</v>
      </c>
      <c r="R652" s="87">
        <v>1</v>
      </c>
      <c r="S652" s="88">
        <v>131.33000000000001</v>
      </c>
      <c r="T652" s="88">
        <v>84.051200000000009</v>
      </c>
      <c r="U652" s="88">
        <v>72.244007619047608</v>
      </c>
      <c r="V652" s="87" t="s">
        <v>3062</v>
      </c>
      <c r="W652" s="87" t="s">
        <v>3110</v>
      </c>
      <c r="X652" s="90" t="s">
        <v>3482</v>
      </c>
      <c r="Y652" s="89"/>
      <c r="Z652" s="89"/>
      <c r="AA652" s="89"/>
      <c r="AB652" s="89"/>
    </row>
    <row r="653" spans="1:28" s="31" customFormat="1" ht="60" customHeight="1" x14ac:dyDescent="0.2">
      <c r="A653" s="76">
        <v>652</v>
      </c>
      <c r="B653" s="77">
        <v>50002760</v>
      </c>
      <c r="C653" s="78" t="s">
        <v>1683</v>
      </c>
      <c r="D653" s="79">
        <v>0.05</v>
      </c>
      <c r="E653" s="80">
        <v>30049099</v>
      </c>
      <c r="F653" s="81" t="s">
        <v>1684</v>
      </c>
      <c r="G653" s="82" t="s">
        <v>1685</v>
      </c>
      <c r="H653" s="82" t="s">
        <v>3968</v>
      </c>
      <c r="I653" s="79" t="s">
        <v>2708</v>
      </c>
      <c r="J653" s="83">
        <v>131.13</v>
      </c>
      <c r="K653" s="83">
        <v>99.908571428571435</v>
      </c>
      <c r="L653" s="83">
        <v>83.923199999999994</v>
      </c>
      <c r="M653" s="84">
        <v>79.727039999999988</v>
      </c>
      <c r="N653" s="59">
        <f t="shared" si="10"/>
        <v>0.39200000000000007</v>
      </c>
      <c r="O653" s="85" t="s">
        <v>1657</v>
      </c>
      <c r="P653" s="86" t="s">
        <v>4742</v>
      </c>
      <c r="Q653" s="87" t="s">
        <v>3208</v>
      </c>
      <c r="R653" s="87">
        <v>1</v>
      </c>
      <c r="S653" s="88">
        <v>131.13</v>
      </c>
      <c r="T653" s="88">
        <v>83.923199999999994</v>
      </c>
      <c r="U653" s="88">
        <v>79.727039999999988</v>
      </c>
      <c r="V653" s="87" t="s">
        <v>3067</v>
      </c>
      <c r="W653" s="87" t="s">
        <v>3110</v>
      </c>
      <c r="X653" s="90" t="s">
        <v>3482</v>
      </c>
      <c r="Y653" s="89"/>
      <c r="Z653" s="89">
        <v>1</v>
      </c>
      <c r="AA653" s="89" t="s">
        <v>3207</v>
      </c>
      <c r="AB653" s="89"/>
    </row>
    <row r="654" spans="1:28" s="31" customFormat="1" ht="60" customHeight="1" x14ac:dyDescent="0.2">
      <c r="A654" s="76">
        <v>653</v>
      </c>
      <c r="B654" s="77">
        <v>50002170</v>
      </c>
      <c r="C654" s="78" t="s">
        <v>1686</v>
      </c>
      <c r="D654" s="79">
        <v>0.05</v>
      </c>
      <c r="E654" s="80">
        <v>30042039</v>
      </c>
      <c r="F654" s="81" t="s">
        <v>1687</v>
      </c>
      <c r="G654" s="82" t="s">
        <v>1688</v>
      </c>
      <c r="H654" s="82" t="s">
        <v>1689</v>
      </c>
      <c r="I654" s="79" t="s">
        <v>2724</v>
      </c>
      <c r="J654" s="83">
        <v>106.05</v>
      </c>
      <c r="K654" s="83">
        <v>80.8</v>
      </c>
      <c r="L654" s="83">
        <v>74.066666666666663</v>
      </c>
      <c r="M654" s="84">
        <v>66.66</v>
      </c>
      <c r="N654" s="59">
        <f t="shared" si="10"/>
        <v>0.37142857142857144</v>
      </c>
      <c r="O654" s="85" t="s">
        <v>1657</v>
      </c>
      <c r="P654" s="86" t="s">
        <v>1690</v>
      </c>
      <c r="Q654" s="87" t="s">
        <v>3208</v>
      </c>
      <c r="R654" s="87">
        <v>1</v>
      </c>
      <c r="S654" s="88">
        <v>106.05</v>
      </c>
      <c r="T654" s="88">
        <v>74.066666666666663</v>
      </c>
      <c r="U654" s="88">
        <v>66.66</v>
      </c>
      <c r="V654" s="87" t="s">
        <v>3066</v>
      </c>
      <c r="W654" s="87" t="s">
        <v>3110</v>
      </c>
      <c r="X654" s="90" t="s">
        <v>3493</v>
      </c>
      <c r="Y654" s="89"/>
      <c r="Z654" s="89">
        <v>1</v>
      </c>
      <c r="AA654" s="89" t="s">
        <v>3207</v>
      </c>
      <c r="AB654" s="89"/>
    </row>
    <row r="655" spans="1:28" s="31" customFormat="1" ht="60" customHeight="1" x14ac:dyDescent="0.2">
      <c r="A655" s="76">
        <v>654</v>
      </c>
      <c r="B655" s="77">
        <v>50000991</v>
      </c>
      <c r="C655" s="78" t="s">
        <v>1691</v>
      </c>
      <c r="D655" s="79">
        <v>0.05</v>
      </c>
      <c r="E655" s="80">
        <v>30042039</v>
      </c>
      <c r="F655" s="81" t="s">
        <v>1692</v>
      </c>
      <c r="G655" s="82" t="s">
        <v>1688</v>
      </c>
      <c r="H655" s="82" t="s">
        <v>1693</v>
      </c>
      <c r="I655" s="79" t="s">
        <v>2708</v>
      </c>
      <c r="J655" s="83">
        <v>108.41</v>
      </c>
      <c r="K655" s="83">
        <v>82.59809523809524</v>
      </c>
      <c r="L655" s="83">
        <v>69.382400000000004</v>
      </c>
      <c r="M655" s="84">
        <v>65.913280000000015</v>
      </c>
      <c r="N655" s="59">
        <f t="shared" si="10"/>
        <v>0.39199999999999985</v>
      </c>
      <c r="O655" s="85" t="s">
        <v>1657</v>
      </c>
      <c r="P655" s="86" t="s">
        <v>3157</v>
      </c>
      <c r="Q655" s="87" t="s">
        <v>3208</v>
      </c>
      <c r="R655" s="87">
        <v>1</v>
      </c>
      <c r="S655" s="88">
        <v>108.41</v>
      </c>
      <c r="T655" s="88">
        <v>69.382400000000004</v>
      </c>
      <c r="U655" s="88">
        <v>65.913280000000015</v>
      </c>
      <c r="V655" s="87" t="s">
        <v>3067</v>
      </c>
      <c r="W655" s="87" t="s">
        <v>3110</v>
      </c>
      <c r="X655" s="90" t="s">
        <v>3482</v>
      </c>
      <c r="Y655" s="89" t="s">
        <v>3455</v>
      </c>
      <c r="Z655" s="89">
        <v>1</v>
      </c>
      <c r="AA655" s="89" t="s">
        <v>3207</v>
      </c>
      <c r="AB655" s="89"/>
    </row>
    <row r="656" spans="1:28" s="31" customFormat="1" ht="60" customHeight="1" x14ac:dyDescent="0.2">
      <c r="A656" s="76">
        <v>655</v>
      </c>
      <c r="B656" s="77">
        <v>50001033</v>
      </c>
      <c r="C656" s="78" t="s">
        <v>1694</v>
      </c>
      <c r="D656" s="79">
        <v>0.05</v>
      </c>
      <c r="E656" s="80">
        <v>30049099</v>
      </c>
      <c r="F656" s="81" t="s">
        <v>1695</v>
      </c>
      <c r="G656" s="82" t="s">
        <v>1696</v>
      </c>
      <c r="H656" s="82" t="s">
        <v>3969</v>
      </c>
      <c r="I656" s="79" t="s">
        <v>2708</v>
      </c>
      <c r="J656" s="83">
        <v>176.8</v>
      </c>
      <c r="K656" s="83">
        <v>134.70476190476191</v>
      </c>
      <c r="L656" s="83">
        <v>113.152</v>
      </c>
      <c r="M656" s="84">
        <v>107.49440000000001</v>
      </c>
      <c r="N656" s="59">
        <f t="shared" si="10"/>
        <v>0.39199999999999996</v>
      </c>
      <c r="O656" s="85" t="s">
        <v>1657</v>
      </c>
      <c r="P656" s="86" t="s">
        <v>2877</v>
      </c>
      <c r="Q656" s="87" t="s">
        <v>3208</v>
      </c>
      <c r="R656" s="87">
        <v>1</v>
      </c>
      <c r="S656" s="88">
        <v>176.8</v>
      </c>
      <c r="T656" s="88">
        <v>113.152</v>
      </c>
      <c r="U656" s="88">
        <v>107.49440000000001</v>
      </c>
      <c r="V656" s="87" t="s">
        <v>3067</v>
      </c>
      <c r="W656" s="87" t="s">
        <v>3110</v>
      </c>
      <c r="X656" s="90" t="s">
        <v>3482</v>
      </c>
      <c r="Y656" s="89"/>
      <c r="Z656" s="89">
        <v>1</v>
      </c>
      <c r="AA656" s="89" t="s">
        <v>3207</v>
      </c>
      <c r="AB656" s="89"/>
    </row>
    <row r="657" spans="1:28" s="31" customFormat="1" ht="60" customHeight="1" x14ac:dyDescent="0.2">
      <c r="A657" s="76">
        <v>656</v>
      </c>
      <c r="B657" s="77">
        <v>50001402</v>
      </c>
      <c r="C657" s="78" t="s">
        <v>1697</v>
      </c>
      <c r="D657" s="79">
        <v>0.05</v>
      </c>
      <c r="E657" s="80">
        <v>30049099</v>
      </c>
      <c r="F657" s="81" t="s">
        <v>1698</v>
      </c>
      <c r="G657" s="82" t="s">
        <v>1699</v>
      </c>
      <c r="H657" s="82" t="s">
        <v>3970</v>
      </c>
      <c r="I657" s="79" t="s">
        <v>2708</v>
      </c>
      <c r="J657" s="83">
        <v>209.85</v>
      </c>
      <c r="K657" s="83">
        <v>159.8857142857143</v>
      </c>
      <c r="L657" s="83">
        <v>134.304</v>
      </c>
      <c r="M657" s="84">
        <v>127.58879999999998</v>
      </c>
      <c r="N657" s="59">
        <f t="shared" si="10"/>
        <v>0.39200000000000007</v>
      </c>
      <c r="O657" s="85" t="s">
        <v>1657</v>
      </c>
      <c r="P657" s="86" t="s">
        <v>2877</v>
      </c>
      <c r="Q657" s="87" t="s">
        <v>3208</v>
      </c>
      <c r="R657" s="87">
        <v>1</v>
      </c>
      <c r="S657" s="88">
        <v>209.85</v>
      </c>
      <c r="T657" s="88">
        <v>134.304</v>
      </c>
      <c r="U657" s="88">
        <v>127.58879999999998</v>
      </c>
      <c r="V657" s="87" t="s">
        <v>3067</v>
      </c>
      <c r="W657" s="87" t="s">
        <v>3110</v>
      </c>
      <c r="X657" s="90" t="s">
        <v>3482</v>
      </c>
      <c r="Y657" s="89"/>
      <c r="Z657" s="89">
        <v>1</v>
      </c>
      <c r="AA657" s="89" t="s">
        <v>3207</v>
      </c>
      <c r="AB657" s="89"/>
    </row>
    <row r="658" spans="1:28" s="31" customFormat="1" ht="60" customHeight="1" x14ac:dyDescent="0.2">
      <c r="A658" s="76">
        <v>657</v>
      </c>
      <c r="B658" s="77">
        <v>50002024</v>
      </c>
      <c r="C658" s="78" t="s">
        <v>1700</v>
      </c>
      <c r="D658" s="79">
        <v>0.05</v>
      </c>
      <c r="E658" s="80">
        <v>30049087</v>
      </c>
      <c r="F658" s="81" t="s">
        <v>1701</v>
      </c>
      <c r="G658" s="82" t="s">
        <v>1702</v>
      </c>
      <c r="H658" s="82" t="s">
        <v>3971</v>
      </c>
      <c r="I658" s="79" t="s">
        <v>2708</v>
      </c>
      <c r="J658" s="83">
        <v>124.81</v>
      </c>
      <c r="K658" s="83">
        <v>95.093333333333334</v>
      </c>
      <c r="L658" s="83">
        <v>95.093333333333334</v>
      </c>
      <c r="M658" s="84">
        <v>85.583999999999989</v>
      </c>
      <c r="N658" s="59">
        <f t="shared" si="10"/>
        <v>0.31428571428571439</v>
      </c>
      <c r="O658" s="85" t="s">
        <v>1657</v>
      </c>
      <c r="P658" s="86" t="s">
        <v>2709</v>
      </c>
      <c r="Q658" s="87" t="s">
        <v>3207</v>
      </c>
      <c r="R658" s="87">
        <v>1</v>
      </c>
      <c r="S658" s="88">
        <v>124.81</v>
      </c>
      <c r="T658" s="88">
        <v>95.093333333333334</v>
      </c>
      <c r="U658" s="88">
        <v>85.583999999999989</v>
      </c>
      <c r="V658" s="87" t="s">
        <v>3067</v>
      </c>
      <c r="W658" s="87" t="s">
        <v>3110</v>
      </c>
      <c r="X658" s="90" t="s">
        <v>3482</v>
      </c>
      <c r="Y658" s="89"/>
      <c r="Z658" s="89">
        <v>1</v>
      </c>
      <c r="AA658" s="89"/>
      <c r="AB658" s="89"/>
    </row>
    <row r="659" spans="1:28" s="31" customFormat="1" ht="60" customHeight="1" x14ac:dyDescent="0.2">
      <c r="A659" s="76">
        <v>658</v>
      </c>
      <c r="B659" s="77">
        <v>50001990</v>
      </c>
      <c r="C659" s="78" t="s">
        <v>1703</v>
      </c>
      <c r="D659" s="79">
        <v>0.05</v>
      </c>
      <c r="E659" s="80">
        <v>30049069</v>
      </c>
      <c r="F659" s="81" t="s">
        <v>1704</v>
      </c>
      <c r="G659" s="82" t="s">
        <v>1705</v>
      </c>
      <c r="H659" s="82" t="s">
        <v>3972</v>
      </c>
      <c r="I659" s="79" t="s">
        <v>2708</v>
      </c>
      <c r="J659" s="83">
        <v>226.46</v>
      </c>
      <c r="K659" s="83">
        <v>172.54095238095238</v>
      </c>
      <c r="L659" s="83">
        <v>144.93439999999998</v>
      </c>
      <c r="M659" s="84">
        <v>137.68767999999997</v>
      </c>
      <c r="N659" s="59">
        <f t="shared" si="10"/>
        <v>0.39200000000000013</v>
      </c>
      <c r="O659" s="85" t="s">
        <v>1657</v>
      </c>
      <c r="P659" s="86" t="s">
        <v>48</v>
      </c>
      <c r="Q659" s="87" t="s">
        <v>3208</v>
      </c>
      <c r="R659" s="87">
        <v>1</v>
      </c>
      <c r="S659" s="88">
        <v>226.46</v>
      </c>
      <c r="T659" s="88">
        <v>144.93439999999998</v>
      </c>
      <c r="U659" s="88">
        <v>137.68767999999997</v>
      </c>
      <c r="V659" s="87" t="s">
        <v>3067</v>
      </c>
      <c r="W659" s="87" t="s">
        <v>3110</v>
      </c>
      <c r="X659" s="90" t="s">
        <v>3482</v>
      </c>
      <c r="Y659" s="89"/>
      <c r="Z659" s="89">
        <v>1</v>
      </c>
      <c r="AA659" s="89" t="s">
        <v>3207</v>
      </c>
      <c r="AB659" s="89" t="s">
        <v>4613</v>
      </c>
    </row>
    <row r="660" spans="1:28" s="31" customFormat="1" ht="60" customHeight="1" x14ac:dyDescent="0.2">
      <c r="A660" s="76">
        <v>659</v>
      </c>
      <c r="B660" s="77">
        <v>50003332</v>
      </c>
      <c r="C660" s="78" t="s">
        <v>1706</v>
      </c>
      <c r="D660" s="79">
        <v>0.05</v>
      </c>
      <c r="E660" s="80">
        <v>30049069</v>
      </c>
      <c r="F660" s="81" t="s">
        <v>1707</v>
      </c>
      <c r="G660" s="82" t="s">
        <v>1708</v>
      </c>
      <c r="H660" s="82" t="s">
        <v>3973</v>
      </c>
      <c r="I660" s="79" t="s">
        <v>2878</v>
      </c>
      <c r="J660" s="83">
        <v>240.18</v>
      </c>
      <c r="K660" s="83">
        <v>182.9942857142857</v>
      </c>
      <c r="L660" s="83">
        <v>153.71519999999998</v>
      </c>
      <c r="M660" s="84">
        <v>146.02943999999997</v>
      </c>
      <c r="N660" s="59">
        <f t="shared" si="10"/>
        <v>0.39200000000000018</v>
      </c>
      <c r="O660" s="85" t="s">
        <v>1657</v>
      </c>
      <c r="P660" s="86" t="s">
        <v>2709</v>
      </c>
      <c r="Q660" s="87" t="s">
        <v>3208</v>
      </c>
      <c r="R660" s="87">
        <v>1</v>
      </c>
      <c r="S660" s="88">
        <v>240.18</v>
      </c>
      <c r="T660" s="88">
        <v>153.71519999999998</v>
      </c>
      <c r="U660" s="88">
        <v>146.02943999999997</v>
      </c>
      <c r="V660" s="87" t="s">
        <v>3067</v>
      </c>
      <c r="W660" s="87" t="s">
        <v>3110</v>
      </c>
      <c r="X660" s="90" t="s">
        <v>3482</v>
      </c>
      <c r="Y660" s="89"/>
      <c r="Z660" s="89">
        <v>1</v>
      </c>
      <c r="AA660" s="89" t="s">
        <v>3207</v>
      </c>
      <c r="AB660" s="89"/>
    </row>
    <row r="661" spans="1:28" s="31" customFormat="1" ht="60" customHeight="1" x14ac:dyDescent="0.2">
      <c r="A661" s="76">
        <v>660</v>
      </c>
      <c r="B661" s="77">
        <v>50002632</v>
      </c>
      <c r="C661" s="78" t="s">
        <v>1711</v>
      </c>
      <c r="D661" s="79">
        <v>0.05</v>
      </c>
      <c r="E661" s="80">
        <v>30045039</v>
      </c>
      <c r="F661" s="81" t="s">
        <v>1712</v>
      </c>
      <c r="G661" s="82" t="s">
        <v>1713</v>
      </c>
      <c r="H661" s="82" t="s">
        <v>1714</v>
      </c>
      <c r="I661" s="79" t="s">
        <v>2724</v>
      </c>
      <c r="J661" s="83">
        <v>155.06</v>
      </c>
      <c r="K661" s="83">
        <v>118.14095238095237</v>
      </c>
      <c r="L661" s="83">
        <v>118.14095238095237</v>
      </c>
      <c r="M661" s="84">
        <v>106.32685714285712</v>
      </c>
      <c r="N661" s="59">
        <f t="shared" si="10"/>
        <v>0.31428571428571445</v>
      </c>
      <c r="O661" s="85" t="s">
        <v>1657</v>
      </c>
      <c r="P661" s="86" t="s">
        <v>2879</v>
      </c>
      <c r="Q661" s="87" t="s">
        <v>3208</v>
      </c>
      <c r="R661" s="87">
        <v>1</v>
      </c>
      <c r="S661" s="88">
        <v>155.06</v>
      </c>
      <c r="T661" s="88">
        <v>118.14095238095237</v>
      </c>
      <c r="U661" s="88">
        <v>106.32685714285712</v>
      </c>
      <c r="V661" s="87" t="s">
        <v>3066</v>
      </c>
      <c r="W661" s="87" t="s">
        <v>3110</v>
      </c>
      <c r="X661" s="90" t="s">
        <v>3486</v>
      </c>
      <c r="Y661" s="89"/>
      <c r="Z661" s="89">
        <v>1</v>
      </c>
      <c r="AA661" s="89"/>
      <c r="AB661" s="89"/>
    </row>
    <row r="662" spans="1:28" s="31" customFormat="1" ht="60" customHeight="1" x14ac:dyDescent="0.2">
      <c r="A662" s="76">
        <v>661</v>
      </c>
      <c r="B662" s="77">
        <v>50001409</v>
      </c>
      <c r="C662" s="78" t="s">
        <v>1715</v>
      </c>
      <c r="D662" s="79">
        <v>0.05</v>
      </c>
      <c r="E662" s="80">
        <v>30049099</v>
      </c>
      <c r="F662" s="81" t="s">
        <v>1716</v>
      </c>
      <c r="G662" s="82" t="s">
        <v>1717</v>
      </c>
      <c r="H662" s="82" t="s">
        <v>1718</v>
      </c>
      <c r="I662" s="79" t="s">
        <v>2708</v>
      </c>
      <c r="J662" s="83">
        <v>71.41</v>
      </c>
      <c r="K662" s="83">
        <v>54.40761904761905</v>
      </c>
      <c r="L662" s="83">
        <v>54.40761904761905</v>
      </c>
      <c r="M662" s="84">
        <v>48.966857142857151</v>
      </c>
      <c r="N662" s="59">
        <f t="shared" si="10"/>
        <v>0.31428571428571411</v>
      </c>
      <c r="O662" s="85" t="s">
        <v>1657</v>
      </c>
      <c r="P662" s="86" t="s">
        <v>2692</v>
      </c>
      <c r="Q662" s="87" t="s">
        <v>3207</v>
      </c>
      <c r="R662" s="87">
        <v>1</v>
      </c>
      <c r="S662" s="88">
        <v>71.41</v>
      </c>
      <c r="T662" s="88">
        <v>54.40761904761905</v>
      </c>
      <c r="U662" s="88">
        <v>48.966857142857151</v>
      </c>
      <c r="V662" s="87" t="s">
        <v>3067</v>
      </c>
      <c r="W662" s="87" t="s">
        <v>3110</v>
      </c>
      <c r="X662" s="90" t="s">
        <v>3482</v>
      </c>
      <c r="Y662" s="89"/>
      <c r="Z662" s="89">
        <v>1</v>
      </c>
      <c r="AA662" s="89"/>
      <c r="AB662" s="89"/>
    </row>
    <row r="663" spans="1:28" s="31" customFormat="1" ht="60" customHeight="1" x14ac:dyDescent="0.2">
      <c r="A663" s="76">
        <v>662</v>
      </c>
      <c r="B663" s="77">
        <v>50003106</v>
      </c>
      <c r="C663" s="78" t="s">
        <v>1719</v>
      </c>
      <c r="D663" s="79">
        <v>0.05</v>
      </c>
      <c r="E663" s="80">
        <v>30049099</v>
      </c>
      <c r="F663" s="81" t="s">
        <v>1720</v>
      </c>
      <c r="G663" s="82" t="s">
        <v>1721</v>
      </c>
      <c r="H663" s="82" t="s">
        <v>1722</v>
      </c>
      <c r="I663" s="79" t="s">
        <v>2878</v>
      </c>
      <c r="J663" s="83">
        <v>328.12</v>
      </c>
      <c r="K663" s="83">
        <v>249.99619047619049</v>
      </c>
      <c r="L663" s="83">
        <v>249.99619047619049</v>
      </c>
      <c r="M663" s="84">
        <v>224.99657142857143</v>
      </c>
      <c r="N663" s="59">
        <f t="shared" si="10"/>
        <v>0.31428571428571428</v>
      </c>
      <c r="O663" s="85" t="s">
        <v>1657</v>
      </c>
      <c r="P663" s="86" t="s">
        <v>2692</v>
      </c>
      <c r="Q663" s="87" t="s">
        <v>3208</v>
      </c>
      <c r="R663" s="87">
        <v>1</v>
      </c>
      <c r="S663" s="88">
        <v>328.12</v>
      </c>
      <c r="T663" s="88">
        <v>249.99619047619049</v>
      </c>
      <c r="U663" s="88">
        <v>224.99657142857143</v>
      </c>
      <c r="V663" s="87" t="s">
        <v>3067</v>
      </c>
      <c r="W663" s="87" t="s">
        <v>3110</v>
      </c>
      <c r="X663" s="90" t="s">
        <v>3482</v>
      </c>
      <c r="Y663" s="89"/>
      <c r="Z663" s="89">
        <v>1</v>
      </c>
      <c r="AA663" s="89"/>
      <c r="AB663" s="89"/>
    </row>
    <row r="664" spans="1:28" s="31" customFormat="1" ht="60" customHeight="1" x14ac:dyDescent="0.2">
      <c r="A664" s="76">
        <v>663</v>
      </c>
      <c r="B664" s="77">
        <v>50000839</v>
      </c>
      <c r="C664" s="78" t="s">
        <v>1723</v>
      </c>
      <c r="D664" s="79">
        <v>0.05</v>
      </c>
      <c r="E664" s="80">
        <v>30049087</v>
      </c>
      <c r="F664" s="81" t="s">
        <v>1724</v>
      </c>
      <c r="G664" s="82" t="s">
        <v>1725</v>
      </c>
      <c r="H664" s="82" t="s">
        <v>3974</v>
      </c>
      <c r="I664" s="79" t="s">
        <v>2708</v>
      </c>
      <c r="J664" s="83">
        <v>91.83</v>
      </c>
      <c r="K664" s="83">
        <v>69.965714285714284</v>
      </c>
      <c r="L664" s="83">
        <v>58.7712</v>
      </c>
      <c r="M664" s="84">
        <v>52.894079999999995</v>
      </c>
      <c r="N664" s="59">
        <f t="shared" si="10"/>
        <v>0.42400000000000004</v>
      </c>
      <c r="O664" s="85" t="s">
        <v>1657</v>
      </c>
      <c r="P664" s="86" t="s">
        <v>3466</v>
      </c>
      <c r="Q664" s="87" t="s">
        <v>3208</v>
      </c>
      <c r="R664" s="87">
        <v>1</v>
      </c>
      <c r="S664" s="88">
        <v>91.83</v>
      </c>
      <c r="T664" s="88">
        <v>58.7712</v>
      </c>
      <c r="U664" s="88">
        <v>52.894079999999995</v>
      </c>
      <c r="V664" s="87" t="s">
        <v>3067</v>
      </c>
      <c r="W664" s="87" t="s">
        <v>3110</v>
      </c>
      <c r="X664" s="90" t="s">
        <v>3482</v>
      </c>
      <c r="Y664" s="89"/>
      <c r="Z664" s="89">
        <v>1</v>
      </c>
      <c r="AA664" s="89"/>
      <c r="AB664" s="89"/>
    </row>
    <row r="665" spans="1:28" s="31" customFormat="1" ht="60" customHeight="1" x14ac:dyDescent="0.2">
      <c r="A665" s="76">
        <v>664</v>
      </c>
      <c r="B665" s="77">
        <v>50001062</v>
      </c>
      <c r="C665" s="78" t="s">
        <v>1726</v>
      </c>
      <c r="D665" s="79">
        <v>0.05</v>
      </c>
      <c r="E665" s="80">
        <v>30049099</v>
      </c>
      <c r="F665" s="81" t="s">
        <v>1727</v>
      </c>
      <c r="G665" s="82" t="s">
        <v>1728</v>
      </c>
      <c r="H665" s="82" t="s">
        <v>3975</v>
      </c>
      <c r="I665" s="79" t="s">
        <v>2708</v>
      </c>
      <c r="J665" s="83">
        <v>164.39</v>
      </c>
      <c r="K665" s="83">
        <v>125.24952380952382</v>
      </c>
      <c r="L665" s="83">
        <v>125.24952380952382</v>
      </c>
      <c r="M665" s="84">
        <v>112.72457142857142</v>
      </c>
      <c r="N665" s="59">
        <f t="shared" si="10"/>
        <v>0.31428571428571428</v>
      </c>
      <c r="O665" s="85" t="s">
        <v>1657</v>
      </c>
      <c r="P665" s="86" t="s">
        <v>3202</v>
      </c>
      <c r="Q665" s="87" t="s">
        <v>3208</v>
      </c>
      <c r="R665" s="87">
        <v>1</v>
      </c>
      <c r="S665" s="88">
        <v>164.39</v>
      </c>
      <c r="T665" s="88">
        <v>125.24952380952382</v>
      </c>
      <c r="U665" s="88">
        <v>112.72457142857142</v>
      </c>
      <c r="V665" s="87" t="s">
        <v>3067</v>
      </c>
      <c r="W665" s="87" t="s">
        <v>3110</v>
      </c>
      <c r="X665" s="90" t="s">
        <v>3482</v>
      </c>
      <c r="Y665" s="89"/>
      <c r="Z665" s="89">
        <v>1</v>
      </c>
      <c r="AA665" s="89"/>
      <c r="AB665" s="89"/>
    </row>
    <row r="666" spans="1:28" s="31" customFormat="1" ht="60" customHeight="1" x14ac:dyDescent="0.2">
      <c r="A666" s="76">
        <v>665</v>
      </c>
      <c r="B666" s="77">
        <v>50003981</v>
      </c>
      <c r="C666" s="78" t="s">
        <v>1729</v>
      </c>
      <c r="D666" s="79">
        <v>0.05</v>
      </c>
      <c r="E666" s="80">
        <v>21069099</v>
      </c>
      <c r="F666" s="81" t="s">
        <v>1730</v>
      </c>
      <c r="G666" s="82" t="s">
        <v>1730</v>
      </c>
      <c r="H666" s="82" t="s">
        <v>85</v>
      </c>
      <c r="I666" s="79" t="s">
        <v>2666</v>
      </c>
      <c r="J666" s="83">
        <v>244</v>
      </c>
      <c r="K666" s="83">
        <v>185.9047619047619</v>
      </c>
      <c r="L666" s="83">
        <v>148.72380952380951</v>
      </c>
      <c r="M666" s="84">
        <v>141.28761904761902</v>
      </c>
      <c r="N666" s="59">
        <f t="shared" si="10"/>
        <v>0.42095238095238108</v>
      </c>
      <c r="O666" s="85" t="s">
        <v>1657</v>
      </c>
      <c r="P666" s="86" t="s">
        <v>2880</v>
      </c>
      <c r="Q666" s="87" t="s">
        <v>3208</v>
      </c>
      <c r="R666" s="87">
        <v>10</v>
      </c>
      <c r="S666" s="88">
        <v>24.4</v>
      </c>
      <c r="T666" s="88">
        <v>14.872380952380951</v>
      </c>
      <c r="U666" s="88">
        <v>14.128761904761902</v>
      </c>
      <c r="V666" s="87" t="s">
        <v>3061</v>
      </c>
      <c r="W666" s="87" t="s">
        <v>3110</v>
      </c>
      <c r="X666" s="90" t="s">
        <v>3477</v>
      </c>
      <c r="Y666" s="89"/>
      <c r="Z666" s="89">
        <v>10</v>
      </c>
      <c r="AA666" s="89"/>
      <c r="AB666" s="89"/>
    </row>
    <row r="667" spans="1:28" s="31" customFormat="1" ht="60" customHeight="1" x14ac:dyDescent="0.2">
      <c r="A667" s="76">
        <v>666</v>
      </c>
      <c r="B667" s="77">
        <v>50001088</v>
      </c>
      <c r="C667" s="78" t="s">
        <v>1731</v>
      </c>
      <c r="D667" s="79">
        <v>0.05</v>
      </c>
      <c r="E667" s="80">
        <v>30049099</v>
      </c>
      <c r="F667" s="81" t="s">
        <v>1732</v>
      </c>
      <c r="G667" s="82" t="s">
        <v>1733</v>
      </c>
      <c r="H667" s="82" t="s">
        <v>3976</v>
      </c>
      <c r="I667" s="79" t="s">
        <v>2693</v>
      </c>
      <c r="J667" s="83">
        <v>205.88</v>
      </c>
      <c r="K667" s="83">
        <v>156.86095238095237</v>
      </c>
      <c r="L667" s="83">
        <v>130.71746031746031</v>
      </c>
      <c r="M667" s="84">
        <v>124.18158730158731</v>
      </c>
      <c r="N667" s="59">
        <f t="shared" si="10"/>
        <v>0.39682539682539675</v>
      </c>
      <c r="O667" s="85" t="s">
        <v>1657</v>
      </c>
      <c r="P667" s="86" t="s">
        <v>2692</v>
      </c>
      <c r="Q667" s="87" t="s">
        <v>3208</v>
      </c>
      <c r="R667" s="87">
        <v>10</v>
      </c>
      <c r="S667" s="88">
        <v>20.588000000000001</v>
      </c>
      <c r="T667" s="88">
        <v>13.071746031746031</v>
      </c>
      <c r="U667" s="88">
        <v>12.418158730158732</v>
      </c>
      <c r="V667" s="87" t="s">
        <v>3061</v>
      </c>
      <c r="W667" s="87" t="s">
        <v>3110</v>
      </c>
      <c r="X667" s="90" t="s">
        <v>3478</v>
      </c>
      <c r="Y667" s="89"/>
      <c r="Z667" s="89">
        <v>6</v>
      </c>
      <c r="AA667" s="89"/>
      <c r="AB667" s="89"/>
    </row>
    <row r="668" spans="1:28" s="31" customFormat="1" ht="60" customHeight="1" x14ac:dyDescent="0.2">
      <c r="A668" s="76">
        <v>667</v>
      </c>
      <c r="B668" s="77">
        <v>50003846</v>
      </c>
      <c r="C668" s="78" t="s">
        <v>1736</v>
      </c>
      <c r="D668" s="79">
        <v>0.05</v>
      </c>
      <c r="E668" s="80">
        <v>30049099</v>
      </c>
      <c r="F668" s="81" t="s">
        <v>1737</v>
      </c>
      <c r="G668" s="82" t="s">
        <v>1738</v>
      </c>
      <c r="H668" s="82" t="s">
        <v>3977</v>
      </c>
      <c r="I668" s="79" t="s">
        <v>2663</v>
      </c>
      <c r="J668" s="83">
        <v>270.68</v>
      </c>
      <c r="K668" s="83">
        <v>206.23238095238094</v>
      </c>
      <c r="L668" s="83">
        <v>189.04634920634919</v>
      </c>
      <c r="M668" s="84">
        <v>170.14171428571424</v>
      </c>
      <c r="N668" s="59">
        <f t="shared" si="10"/>
        <v>0.37142857142857161</v>
      </c>
      <c r="O668" s="85" t="s">
        <v>1739</v>
      </c>
      <c r="P668" s="86" t="s">
        <v>2792</v>
      </c>
      <c r="Q668" s="87" t="s">
        <v>3208</v>
      </c>
      <c r="R668" s="87">
        <v>15</v>
      </c>
      <c r="S668" s="88">
        <v>18.045333333333335</v>
      </c>
      <c r="T668" s="88">
        <v>12.603089947089947</v>
      </c>
      <c r="U668" s="88">
        <v>11.34278095238095</v>
      </c>
      <c r="V668" s="87" t="s">
        <v>3061</v>
      </c>
      <c r="W668" s="87" t="s">
        <v>3103</v>
      </c>
      <c r="X668" s="90" t="s">
        <v>3477</v>
      </c>
      <c r="Y668" s="89"/>
      <c r="Z668" s="89">
        <v>3</v>
      </c>
      <c r="AA668" s="89" t="s">
        <v>3207</v>
      </c>
      <c r="AB668" s="89"/>
    </row>
    <row r="669" spans="1:28" s="31" customFormat="1" ht="60" customHeight="1" x14ac:dyDescent="0.2">
      <c r="A669" s="76">
        <v>668</v>
      </c>
      <c r="B669" s="77">
        <v>50003739</v>
      </c>
      <c r="C669" s="78" t="s">
        <v>1740</v>
      </c>
      <c r="D669" s="79">
        <v>0.05</v>
      </c>
      <c r="E669" s="80">
        <v>30049099</v>
      </c>
      <c r="F669" s="81" t="s">
        <v>1741</v>
      </c>
      <c r="G669" s="82" t="s">
        <v>1742</v>
      </c>
      <c r="H669" s="82" t="s">
        <v>3978</v>
      </c>
      <c r="I669" s="79" t="s">
        <v>2666</v>
      </c>
      <c r="J669" s="83">
        <v>218.62</v>
      </c>
      <c r="K669" s="83">
        <v>166.56761904761905</v>
      </c>
      <c r="L669" s="83">
        <v>152.68698412698413</v>
      </c>
      <c r="M669" s="84">
        <v>137.41828571428567</v>
      </c>
      <c r="N669" s="59">
        <f t="shared" si="10"/>
        <v>0.37142857142857161</v>
      </c>
      <c r="O669" s="85" t="s">
        <v>1739</v>
      </c>
      <c r="P669" s="86" t="s">
        <v>48</v>
      </c>
      <c r="Q669" s="87" t="s">
        <v>3208</v>
      </c>
      <c r="R669" s="87">
        <v>10</v>
      </c>
      <c r="S669" s="88">
        <v>21.862000000000002</v>
      </c>
      <c r="T669" s="88">
        <v>15.268698412698413</v>
      </c>
      <c r="U669" s="88">
        <v>13.741828571428567</v>
      </c>
      <c r="V669" s="87" t="s">
        <v>3061</v>
      </c>
      <c r="W669" s="87" t="s">
        <v>3103</v>
      </c>
      <c r="X669" s="90" t="s">
        <v>3477</v>
      </c>
      <c r="Y669" s="89"/>
      <c r="Z669" s="89">
        <v>3</v>
      </c>
      <c r="AA669" s="89" t="s">
        <v>3207</v>
      </c>
      <c r="AB669" s="89"/>
    </row>
    <row r="670" spans="1:28" s="31" customFormat="1" ht="60" customHeight="1" x14ac:dyDescent="0.2">
      <c r="A670" s="76">
        <v>669</v>
      </c>
      <c r="B670" s="77">
        <v>50003827</v>
      </c>
      <c r="C670" s="78" t="s">
        <v>1743</v>
      </c>
      <c r="D670" s="79">
        <v>0.05</v>
      </c>
      <c r="E670" s="80">
        <v>30049099</v>
      </c>
      <c r="F670" s="81" t="s">
        <v>925</v>
      </c>
      <c r="G670" s="82" t="s">
        <v>926</v>
      </c>
      <c r="H670" s="82" t="s">
        <v>246</v>
      </c>
      <c r="I670" s="79" t="s">
        <v>2666</v>
      </c>
      <c r="J670" s="83">
        <v>205.77</v>
      </c>
      <c r="K670" s="83">
        <v>156.77714285714285</v>
      </c>
      <c r="L670" s="83">
        <v>143.71238095238095</v>
      </c>
      <c r="M670" s="84">
        <v>125.41544319999997</v>
      </c>
      <c r="N670" s="59">
        <f t="shared" si="10"/>
        <v>0.39050666666666684</v>
      </c>
      <c r="O670" s="85" t="s">
        <v>1739</v>
      </c>
      <c r="P670" s="86" t="s">
        <v>48</v>
      </c>
      <c r="Q670" s="87" t="s">
        <v>3208</v>
      </c>
      <c r="R670" s="87">
        <v>10</v>
      </c>
      <c r="S670" s="88">
        <v>20.577000000000002</v>
      </c>
      <c r="T670" s="88">
        <v>14.371238095238095</v>
      </c>
      <c r="U670" s="88">
        <v>12.541544319999996</v>
      </c>
      <c r="V670" s="87" t="s">
        <v>3061</v>
      </c>
      <c r="W670" s="87" t="s">
        <v>3103</v>
      </c>
      <c r="X670" s="90" t="s">
        <v>3477</v>
      </c>
      <c r="Y670" s="89"/>
      <c r="Z670" s="89">
        <v>3</v>
      </c>
      <c r="AA670" s="89" t="s">
        <v>3207</v>
      </c>
      <c r="AB670" s="89"/>
    </row>
    <row r="671" spans="1:28" s="31" customFormat="1" ht="60" customHeight="1" x14ac:dyDescent="0.2">
      <c r="A671" s="76">
        <v>670</v>
      </c>
      <c r="B671" s="77">
        <v>50005289</v>
      </c>
      <c r="C671" s="78" t="s">
        <v>3407</v>
      </c>
      <c r="D671" s="79">
        <v>0.05</v>
      </c>
      <c r="E671" s="80">
        <v>30049099</v>
      </c>
      <c r="F671" s="81" t="s">
        <v>3410</v>
      </c>
      <c r="G671" s="82" t="s">
        <v>3415</v>
      </c>
      <c r="H671" s="82" t="s">
        <v>3416</v>
      </c>
      <c r="I671" s="79" t="s">
        <v>2682</v>
      </c>
      <c r="J671" s="83">
        <v>103.11</v>
      </c>
      <c r="K671" s="83">
        <v>78.56</v>
      </c>
      <c r="L671" s="83">
        <v>65.466666666666669</v>
      </c>
      <c r="M671" s="84">
        <v>58.920000000000009</v>
      </c>
      <c r="N671" s="59">
        <f t="shared" si="10"/>
        <v>0.42857142857142849</v>
      </c>
      <c r="O671" s="85" t="s">
        <v>1739</v>
      </c>
      <c r="P671" s="86" t="s">
        <v>3412</v>
      </c>
      <c r="Q671" s="87" t="s">
        <v>3208</v>
      </c>
      <c r="R671" s="87">
        <v>1</v>
      </c>
      <c r="S671" s="88">
        <v>103.11</v>
      </c>
      <c r="T671" s="88">
        <v>65.466666666666669</v>
      </c>
      <c r="U671" s="88">
        <v>58.920000000000009</v>
      </c>
      <c r="V671" s="87" t="s">
        <v>3062</v>
      </c>
      <c r="W671" s="87" t="s">
        <v>3103</v>
      </c>
      <c r="X671" s="90" t="s">
        <v>3480</v>
      </c>
      <c r="Y671" s="89"/>
      <c r="Z671" s="89">
        <v>1</v>
      </c>
      <c r="AA671" s="89" t="s">
        <v>3207</v>
      </c>
      <c r="AB671" s="89"/>
    </row>
    <row r="672" spans="1:28" s="31" customFormat="1" ht="60" customHeight="1" x14ac:dyDescent="0.2">
      <c r="A672" s="76">
        <v>671</v>
      </c>
      <c r="B672" s="77">
        <v>50002889</v>
      </c>
      <c r="C672" s="78" t="s">
        <v>1744</v>
      </c>
      <c r="D672" s="79">
        <v>0.05</v>
      </c>
      <c r="E672" s="80">
        <v>30049099</v>
      </c>
      <c r="F672" s="81" t="s">
        <v>1745</v>
      </c>
      <c r="G672" s="82" t="s">
        <v>1746</v>
      </c>
      <c r="H672" s="82" t="s">
        <v>3979</v>
      </c>
      <c r="I672" s="79" t="s">
        <v>3140</v>
      </c>
      <c r="J672" s="83">
        <v>70.3</v>
      </c>
      <c r="K672" s="83">
        <v>53.561904761904756</v>
      </c>
      <c r="L672" s="83">
        <v>48.205714285714279</v>
      </c>
      <c r="M672" s="84">
        <v>43.385142857142853</v>
      </c>
      <c r="N672" s="59">
        <f t="shared" si="10"/>
        <v>0.3828571428571429</v>
      </c>
      <c r="O672" s="85" t="s">
        <v>1739</v>
      </c>
      <c r="P672" s="86" t="s">
        <v>305</v>
      </c>
      <c r="Q672" s="87" t="s">
        <v>3208</v>
      </c>
      <c r="R672" s="87">
        <v>1</v>
      </c>
      <c r="S672" s="88">
        <v>70.3</v>
      </c>
      <c r="T672" s="88">
        <v>48.205714285714279</v>
      </c>
      <c r="U672" s="88">
        <v>43.385142857142853</v>
      </c>
      <c r="V672" s="87" t="s">
        <v>3067</v>
      </c>
      <c r="W672" s="87" t="s">
        <v>3103</v>
      </c>
      <c r="X672" s="90" t="s">
        <v>3480</v>
      </c>
      <c r="Y672" s="89"/>
      <c r="Z672" s="89">
        <v>1</v>
      </c>
      <c r="AA672" s="89" t="s">
        <v>3207</v>
      </c>
      <c r="AB672" s="89"/>
    </row>
    <row r="673" spans="1:28" s="31" customFormat="1" ht="60" customHeight="1" x14ac:dyDescent="0.2">
      <c r="A673" s="76">
        <v>672</v>
      </c>
      <c r="B673" s="77">
        <v>50002679</v>
      </c>
      <c r="C673" s="78" t="s">
        <v>1747</v>
      </c>
      <c r="D673" s="79">
        <v>0.05</v>
      </c>
      <c r="E673" s="80">
        <v>30049099</v>
      </c>
      <c r="F673" s="81" t="s">
        <v>1748</v>
      </c>
      <c r="G673" s="82" t="s">
        <v>1749</v>
      </c>
      <c r="H673" s="82" t="s">
        <v>3980</v>
      </c>
      <c r="I673" s="79" t="s">
        <v>2682</v>
      </c>
      <c r="J673" s="83">
        <v>109.21</v>
      </c>
      <c r="K673" s="83">
        <v>83.207619047619048</v>
      </c>
      <c r="L673" s="83">
        <v>69.339682539682542</v>
      </c>
      <c r="M673" s="84">
        <v>62.405714285714282</v>
      </c>
      <c r="N673" s="59">
        <f t="shared" si="10"/>
        <v>0.42857142857142855</v>
      </c>
      <c r="O673" s="85" t="s">
        <v>1739</v>
      </c>
      <c r="P673" s="86" t="s">
        <v>81</v>
      </c>
      <c r="Q673" s="87" t="s">
        <v>3208</v>
      </c>
      <c r="R673" s="87">
        <v>1</v>
      </c>
      <c r="S673" s="88">
        <v>109.21</v>
      </c>
      <c r="T673" s="88">
        <v>69.339682539682542</v>
      </c>
      <c r="U673" s="88">
        <v>62.405714285714282</v>
      </c>
      <c r="V673" s="87" t="s">
        <v>3062</v>
      </c>
      <c r="W673" s="87" t="s">
        <v>3103</v>
      </c>
      <c r="X673" s="90" t="s">
        <v>3480</v>
      </c>
      <c r="Y673" s="89"/>
      <c r="Z673" s="89">
        <v>1</v>
      </c>
      <c r="AA673" s="89" t="s">
        <v>3207</v>
      </c>
      <c r="AB673" s="89"/>
    </row>
    <row r="674" spans="1:28" s="31" customFormat="1" ht="60" customHeight="1" x14ac:dyDescent="0.2">
      <c r="A674" s="76">
        <v>673</v>
      </c>
      <c r="B674" s="77">
        <v>50002970</v>
      </c>
      <c r="C674" s="78" t="s">
        <v>1747</v>
      </c>
      <c r="D674" s="79">
        <v>0.05</v>
      </c>
      <c r="E674" s="80">
        <v>30049099</v>
      </c>
      <c r="F674" s="81" t="s">
        <v>1748</v>
      </c>
      <c r="G674" s="82" t="s">
        <v>1749</v>
      </c>
      <c r="H674" s="82" t="s">
        <v>3980</v>
      </c>
      <c r="I674" s="79" t="s">
        <v>2680</v>
      </c>
      <c r="J674" s="83">
        <v>79.400000000000006</v>
      </c>
      <c r="K674" s="83">
        <v>60.495238095238108</v>
      </c>
      <c r="L674" s="83">
        <v>50.412698412698425</v>
      </c>
      <c r="M674" s="84">
        <v>45.371428571428581</v>
      </c>
      <c r="N674" s="59">
        <f t="shared" si="10"/>
        <v>0.42857142857142849</v>
      </c>
      <c r="O674" s="85" t="s">
        <v>1739</v>
      </c>
      <c r="P674" s="86" t="s">
        <v>81</v>
      </c>
      <c r="Q674" s="87" t="s">
        <v>3208</v>
      </c>
      <c r="R674" s="87">
        <v>1</v>
      </c>
      <c r="S674" s="88">
        <v>79.400000000000006</v>
      </c>
      <c r="T674" s="88">
        <v>50.412698412698425</v>
      </c>
      <c r="U674" s="88">
        <v>45.371428571428581</v>
      </c>
      <c r="V674" s="87" t="s">
        <v>3062</v>
      </c>
      <c r="W674" s="87" t="s">
        <v>3103</v>
      </c>
      <c r="X674" s="90" t="s">
        <v>3480</v>
      </c>
      <c r="Y674" s="89"/>
      <c r="Z674" s="89">
        <v>1</v>
      </c>
      <c r="AA674" s="89" t="s">
        <v>3207</v>
      </c>
      <c r="AB674" s="89"/>
    </row>
    <row r="675" spans="1:28" s="31" customFormat="1" ht="60" customHeight="1" x14ac:dyDescent="0.2">
      <c r="A675" s="76">
        <v>674</v>
      </c>
      <c r="B675" s="77">
        <v>50003054</v>
      </c>
      <c r="C675" s="78" t="s">
        <v>1750</v>
      </c>
      <c r="D675" s="79">
        <v>0.05</v>
      </c>
      <c r="E675" s="80">
        <v>30049099</v>
      </c>
      <c r="F675" s="81" t="s">
        <v>1751</v>
      </c>
      <c r="G675" s="82" t="s">
        <v>1752</v>
      </c>
      <c r="H675" s="82" t="s">
        <v>3981</v>
      </c>
      <c r="I675" s="79" t="s">
        <v>2680</v>
      </c>
      <c r="J675" s="83">
        <v>83.66</v>
      </c>
      <c r="K675" s="83">
        <v>63.740952380952379</v>
      </c>
      <c r="L675" s="83">
        <v>53.117460317460313</v>
      </c>
      <c r="M675" s="84">
        <v>47.805714285714267</v>
      </c>
      <c r="N675" s="59">
        <f t="shared" si="10"/>
        <v>0.42857142857142877</v>
      </c>
      <c r="O675" s="85" t="s">
        <v>1739</v>
      </c>
      <c r="P675" s="86" t="s">
        <v>2881</v>
      </c>
      <c r="Q675" s="87" t="s">
        <v>3208</v>
      </c>
      <c r="R675" s="87">
        <v>1</v>
      </c>
      <c r="S675" s="88">
        <v>83.66</v>
      </c>
      <c r="T675" s="88">
        <v>53.117460317460313</v>
      </c>
      <c r="U675" s="88">
        <v>47.805714285714267</v>
      </c>
      <c r="V675" s="87" t="s">
        <v>3062</v>
      </c>
      <c r="W675" s="87" t="s">
        <v>3103</v>
      </c>
      <c r="X675" s="90" t="s">
        <v>3480</v>
      </c>
      <c r="Y675" s="89"/>
      <c r="Z675" s="89">
        <v>1</v>
      </c>
      <c r="AA675" s="89" t="s">
        <v>3207</v>
      </c>
      <c r="AB675" s="89"/>
    </row>
    <row r="676" spans="1:28" s="31" customFormat="1" ht="60" customHeight="1" x14ac:dyDescent="0.2">
      <c r="A676" s="76">
        <v>675</v>
      </c>
      <c r="B676" s="77">
        <v>50003333</v>
      </c>
      <c r="C676" s="78" t="s">
        <v>1753</v>
      </c>
      <c r="D676" s="79">
        <v>0.05</v>
      </c>
      <c r="E676" s="80">
        <v>30049039</v>
      </c>
      <c r="F676" s="81" t="s">
        <v>1754</v>
      </c>
      <c r="G676" s="82" t="s">
        <v>1755</v>
      </c>
      <c r="H676" s="82" t="s">
        <v>294</v>
      </c>
      <c r="I676" s="79" t="s">
        <v>2666</v>
      </c>
      <c r="J676" s="83">
        <v>123.52</v>
      </c>
      <c r="K676" s="83">
        <v>94.110476190476192</v>
      </c>
      <c r="L676" s="83">
        <v>86.267936507936511</v>
      </c>
      <c r="M676" s="84">
        <v>77.641142857142896</v>
      </c>
      <c r="N676" s="59">
        <f t="shared" si="10"/>
        <v>0.37142857142857111</v>
      </c>
      <c r="O676" s="85" t="s">
        <v>1739</v>
      </c>
      <c r="P676" s="86" t="s">
        <v>4264</v>
      </c>
      <c r="Q676" s="87" t="s">
        <v>3208</v>
      </c>
      <c r="R676" s="87">
        <v>10</v>
      </c>
      <c r="S676" s="88">
        <v>12.352</v>
      </c>
      <c r="T676" s="88">
        <v>8.6267936507936511</v>
      </c>
      <c r="U676" s="88">
        <v>7.7641142857142897</v>
      </c>
      <c r="V676" s="87" t="s">
        <v>3061</v>
      </c>
      <c r="W676" s="87" t="s">
        <v>3103</v>
      </c>
      <c r="X676" s="90" t="s">
        <v>3477</v>
      </c>
      <c r="Y676" s="89" t="s">
        <v>3455</v>
      </c>
      <c r="Z676" s="89">
        <v>3</v>
      </c>
      <c r="AA676" s="89"/>
      <c r="AB676" s="89"/>
    </row>
    <row r="677" spans="1:28" s="31" customFormat="1" ht="60" customHeight="1" x14ac:dyDescent="0.2">
      <c r="A677" s="76">
        <v>676</v>
      </c>
      <c r="B677" s="77">
        <v>50003334</v>
      </c>
      <c r="C677" s="78" t="s">
        <v>1756</v>
      </c>
      <c r="D677" s="79">
        <v>0.05</v>
      </c>
      <c r="E677" s="80">
        <v>30049039</v>
      </c>
      <c r="F677" s="81" t="s">
        <v>1757</v>
      </c>
      <c r="G677" s="82" t="s">
        <v>1758</v>
      </c>
      <c r="H677" s="82" t="s">
        <v>3982</v>
      </c>
      <c r="I677" s="79" t="s">
        <v>2666</v>
      </c>
      <c r="J677" s="83">
        <v>170.15</v>
      </c>
      <c r="K677" s="83">
        <v>129.63809523809522</v>
      </c>
      <c r="L677" s="83">
        <v>118.83492063492061</v>
      </c>
      <c r="M677" s="84">
        <v>106.95142857142855</v>
      </c>
      <c r="N677" s="59">
        <f t="shared" si="10"/>
        <v>0.37142857142857155</v>
      </c>
      <c r="O677" s="85" t="s">
        <v>1739</v>
      </c>
      <c r="P677" s="86" t="s">
        <v>3338</v>
      </c>
      <c r="Q677" s="87" t="s">
        <v>3208</v>
      </c>
      <c r="R677" s="87">
        <v>10</v>
      </c>
      <c r="S677" s="88">
        <v>17.015000000000001</v>
      </c>
      <c r="T677" s="88">
        <v>11.88349206349206</v>
      </c>
      <c r="U677" s="88">
        <v>10.695142857142855</v>
      </c>
      <c r="V677" s="87" t="s">
        <v>3061</v>
      </c>
      <c r="W677" s="87" t="s">
        <v>3103</v>
      </c>
      <c r="X677" s="90" t="s">
        <v>3477</v>
      </c>
      <c r="Y677" s="89" t="s">
        <v>3455</v>
      </c>
      <c r="Z677" s="89">
        <v>3</v>
      </c>
      <c r="AA677" s="89"/>
      <c r="AB677" s="89"/>
    </row>
    <row r="678" spans="1:28" s="31" customFormat="1" ht="60" customHeight="1" x14ac:dyDescent="0.2">
      <c r="A678" s="76">
        <v>677</v>
      </c>
      <c r="B678" s="77">
        <v>50003335</v>
      </c>
      <c r="C678" s="78" t="s">
        <v>1759</v>
      </c>
      <c r="D678" s="79">
        <v>0.05</v>
      </c>
      <c r="E678" s="80">
        <v>30049039</v>
      </c>
      <c r="F678" s="81" t="s">
        <v>1760</v>
      </c>
      <c r="G678" s="82" t="s">
        <v>1761</v>
      </c>
      <c r="H678" s="82" t="s">
        <v>20</v>
      </c>
      <c r="I678" s="79" t="s">
        <v>2680</v>
      </c>
      <c r="J678" s="83">
        <v>107.8</v>
      </c>
      <c r="K678" s="83">
        <v>82.13333333333334</v>
      </c>
      <c r="L678" s="83">
        <v>82.13333333333334</v>
      </c>
      <c r="M678" s="84">
        <v>73.92</v>
      </c>
      <c r="N678" s="59">
        <f t="shared" si="10"/>
        <v>0.31428571428571428</v>
      </c>
      <c r="O678" s="85" t="s">
        <v>1739</v>
      </c>
      <c r="P678" s="86" t="s">
        <v>2859</v>
      </c>
      <c r="Q678" s="87" t="s">
        <v>3208</v>
      </c>
      <c r="R678" s="87">
        <v>1</v>
      </c>
      <c r="S678" s="88">
        <v>107.8</v>
      </c>
      <c r="T678" s="88">
        <v>82.13333333333334</v>
      </c>
      <c r="U678" s="88">
        <v>73.92</v>
      </c>
      <c r="V678" s="87" t="s">
        <v>3062</v>
      </c>
      <c r="W678" s="87" t="s">
        <v>3103</v>
      </c>
      <c r="X678" s="90" t="s">
        <v>3480</v>
      </c>
      <c r="Y678" s="89" t="s">
        <v>3455</v>
      </c>
      <c r="Z678" s="89">
        <v>1</v>
      </c>
      <c r="AA678" s="89"/>
      <c r="AB678" s="89"/>
    </row>
    <row r="679" spans="1:28" s="31" customFormat="1" ht="60" customHeight="1" x14ac:dyDescent="0.2">
      <c r="A679" s="76">
        <v>678</v>
      </c>
      <c r="B679" s="77">
        <v>50003790</v>
      </c>
      <c r="C679" s="78" t="s">
        <v>1762</v>
      </c>
      <c r="D679" s="79">
        <v>0.05</v>
      </c>
      <c r="E679" s="80">
        <v>30043200</v>
      </c>
      <c r="F679" s="81" t="s">
        <v>1763</v>
      </c>
      <c r="G679" s="82" t="s">
        <v>1764</v>
      </c>
      <c r="H679" s="82" t="s">
        <v>1008</v>
      </c>
      <c r="I679" s="79" t="s">
        <v>2717</v>
      </c>
      <c r="J679" s="83">
        <v>25.38</v>
      </c>
      <c r="K679" s="83">
        <v>19.337142857142858</v>
      </c>
      <c r="L679" s="83">
        <v>9.668571428571429</v>
      </c>
      <c r="M679" s="84">
        <v>9.6685714285714326</v>
      </c>
      <c r="N679" s="59">
        <f t="shared" si="10"/>
        <v>0.61904761904761885</v>
      </c>
      <c r="O679" s="85" t="s">
        <v>1739</v>
      </c>
      <c r="P679" s="86" t="s">
        <v>4124</v>
      </c>
      <c r="Q679" s="87" t="s">
        <v>3207</v>
      </c>
      <c r="R679" s="87">
        <v>1</v>
      </c>
      <c r="S679" s="88">
        <v>25.38</v>
      </c>
      <c r="T679" s="88">
        <v>9.668571428571429</v>
      </c>
      <c r="U679" s="88">
        <v>9.6685714285714326</v>
      </c>
      <c r="V679" s="87" t="s">
        <v>3067</v>
      </c>
      <c r="W679" s="87" t="s">
        <v>3103</v>
      </c>
      <c r="X679" s="90" t="s">
        <v>3495</v>
      </c>
      <c r="Y679" s="89"/>
      <c r="Z679" s="89">
        <v>20</v>
      </c>
      <c r="AA679" s="89" t="s">
        <v>3207</v>
      </c>
      <c r="AB679" s="89"/>
    </row>
    <row r="680" spans="1:28" s="31" customFormat="1" ht="60" customHeight="1" x14ac:dyDescent="0.2">
      <c r="A680" s="76">
        <v>679</v>
      </c>
      <c r="B680" s="77">
        <v>50004969</v>
      </c>
      <c r="C680" s="78" t="s">
        <v>3232</v>
      </c>
      <c r="D680" s="79">
        <v>0.05</v>
      </c>
      <c r="E680" s="80">
        <v>30049099</v>
      </c>
      <c r="F680" s="81" t="s">
        <v>3233</v>
      </c>
      <c r="G680" s="82" t="s">
        <v>3272</v>
      </c>
      <c r="H680" s="82" t="s">
        <v>3674</v>
      </c>
      <c r="I680" s="79" t="s">
        <v>2717</v>
      </c>
      <c r="J680" s="83">
        <v>52.48</v>
      </c>
      <c r="K680" s="83">
        <v>39.984761904761903</v>
      </c>
      <c r="L680" s="83">
        <v>31.987809523809524</v>
      </c>
      <c r="M680" s="84">
        <v>28.789028571428574</v>
      </c>
      <c r="N680" s="59">
        <f t="shared" si="10"/>
        <v>0.45142857142857135</v>
      </c>
      <c r="O680" s="85" t="s">
        <v>1739</v>
      </c>
      <c r="P680" s="86" t="s">
        <v>2882</v>
      </c>
      <c r="Q680" s="87" t="s">
        <v>3208</v>
      </c>
      <c r="R680" s="87">
        <v>1</v>
      </c>
      <c r="S680" s="88">
        <v>52.48</v>
      </c>
      <c r="T680" s="88">
        <v>31.987809523809524</v>
      </c>
      <c r="U680" s="88">
        <v>28.789028571428574</v>
      </c>
      <c r="V680" s="87" t="s">
        <v>3067</v>
      </c>
      <c r="W680" s="87" t="s">
        <v>3103</v>
      </c>
      <c r="X680" s="90" t="s">
        <v>3495</v>
      </c>
      <c r="Y680" s="89"/>
      <c r="Z680" s="89">
        <v>20</v>
      </c>
      <c r="AA680" s="89" t="s">
        <v>3207</v>
      </c>
      <c r="AB680" s="89"/>
    </row>
    <row r="681" spans="1:28" s="31" customFormat="1" ht="60" customHeight="1" x14ac:dyDescent="0.2">
      <c r="A681" s="76">
        <v>680</v>
      </c>
      <c r="B681" s="77">
        <v>50000559</v>
      </c>
      <c r="C681" s="78" t="s">
        <v>1765</v>
      </c>
      <c r="D681" s="79">
        <v>0.05</v>
      </c>
      <c r="E681" s="80">
        <v>30049039</v>
      </c>
      <c r="F681" s="81" t="s">
        <v>1766</v>
      </c>
      <c r="G681" s="82" t="s">
        <v>1767</v>
      </c>
      <c r="H681" s="82" t="s">
        <v>154</v>
      </c>
      <c r="I681" s="79" t="s">
        <v>2666</v>
      </c>
      <c r="J681" s="83">
        <v>69.19</v>
      </c>
      <c r="K681" s="83">
        <v>52.716190476190476</v>
      </c>
      <c r="L681" s="83">
        <v>52.716190476190476</v>
      </c>
      <c r="M681" s="84">
        <v>47.444571428571422</v>
      </c>
      <c r="N681" s="59">
        <f t="shared" si="10"/>
        <v>0.31428571428571433</v>
      </c>
      <c r="O681" s="85" t="s">
        <v>1739</v>
      </c>
      <c r="P681" s="86" t="s">
        <v>22</v>
      </c>
      <c r="Q681" s="87" t="s">
        <v>3208</v>
      </c>
      <c r="R681" s="87">
        <v>10</v>
      </c>
      <c r="S681" s="88">
        <v>6.9189999999999996</v>
      </c>
      <c r="T681" s="88">
        <v>5.2716190476190476</v>
      </c>
      <c r="U681" s="88">
        <v>4.7444571428571418</v>
      </c>
      <c r="V681" s="87" t="s">
        <v>3061</v>
      </c>
      <c r="W681" s="87" t="s">
        <v>3107</v>
      </c>
      <c r="X681" s="90" t="s">
        <v>3477</v>
      </c>
      <c r="Y681" s="89"/>
      <c r="Z681" s="89">
        <v>6</v>
      </c>
      <c r="AA681" s="89"/>
      <c r="AB681" s="89"/>
    </row>
    <row r="682" spans="1:28" s="31" customFormat="1" ht="60" customHeight="1" x14ac:dyDescent="0.2">
      <c r="A682" s="76">
        <v>681</v>
      </c>
      <c r="B682" s="77">
        <v>50001403</v>
      </c>
      <c r="C682" s="78" t="s">
        <v>1768</v>
      </c>
      <c r="D682" s="79">
        <v>0.05</v>
      </c>
      <c r="E682" s="80">
        <v>30049069</v>
      </c>
      <c r="F682" s="81" t="s">
        <v>1769</v>
      </c>
      <c r="G682" s="82" t="s">
        <v>1770</v>
      </c>
      <c r="H682" s="82" t="s">
        <v>119</v>
      </c>
      <c r="I682" s="79" t="s">
        <v>2666</v>
      </c>
      <c r="J682" s="83">
        <v>99.41</v>
      </c>
      <c r="K682" s="83">
        <v>75.740952380952379</v>
      </c>
      <c r="L682" s="83">
        <v>69.429206349206353</v>
      </c>
      <c r="M682" s="84">
        <v>62.486285714285714</v>
      </c>
      <c r="N682" s="59">
        <f t="shared" si="10"/>
        <v>0.37142857142857139</v>
      </c>
      <c r="O682" s="85" t="s">
        <v>1739</v>
      </c>
      <c r="P682" s="86" t="s">
        <v>2729</v>
      </c>
      <c r="Q682" s="87" t="s">
        <v>3208</v>
      </c>
      <c r="R682" s="87">
        <v>10</v>
      </c>
      <c r="S682" s="88">
        <v>9.9409999999999989</v>
      </c>
      <c r="T682" s="88">
        <v>6.9429206349206352</v>
      </c>
      <c r="U682" s="88">
        <v>6.2486285714285712</v>
      </c>
      <c r="V682" s="87" t="s">
        <v>3061</v>
      </c>
      <c r="W682" s="87" t="s">
        <v>3105</v>
      </c>
      <c r="X682" s="90" t="s">
        <v>3477</v>
      </c>
      <c r="Y682" s="89"/>
      <c r="Z682" s="89">
        <v>6</v>
      </c>
      <c r="AA682" s="89"/>
      <c r="AB682" s="89"/>
    </row>
    <row r="683" spans="1:28" s="31" customFormat="1" ht="60" customHeight="1" x14ac:dyDescent="0.2">
      <c r="A683" s="76">
        <v>682</v>
      </c>
      <c r="B683" s="77">
        <v>50000242</v>
      </c>
      <c r="C683" s="78" t="s">
        <v>1771</v>
      </c>
      <c r="D683" s="79">
        <v>0.05</v>
      </c>
      <c r="E683" s="80">
        <v>30049099</v>
      </c>
      <c r="F683" s="81" t="s">
        <v>1772</v>
      </c>
      <c r="G683" s="82" t="s">
        <v>1773</v>
      </c>
      <c r="H683" s="82" t="s">
        <v>3983</v>
      </c>
      <c r="I683" s="79" t="s">
        <v>2666</v>
      </c>
      <c r="J683" s="83">
        <v>116.65</v>
      </c>
      <c r="K683" s="83">
        <v>88.876190476190487</v>
      </c>
      <c r="L683" s="83">
        <v>74.063492063492063</v>
      </c>
      <c r="M683" s="84">
        <v>66.657142857142858</v>
      </c>
      <c r="N683" s="59">
        <f t="shared" si="10"/>
        <v>0.4285714285714286</v>
      </c>
      <c r="O683" s="85" t="s">
        <v>1739</v>
      </c>
      <c r="P683" s="86" t="s">
        <v>2883</v>
      </c>
      <c r="Q683" s="87" t="s">
        <v>3208</v>
      </c>
      <c r="R683" s="87">
        <v>10</v>
      </c>
      <c r="S683" s="88">
        <v>11.665000000000001</v>
      </c>
      <c r="T683" s="88">
        <v>7.4063492063492067</v>
      </c>
      <c r="U683" s="88">
        <v>6.6657142857142855</v>
      </c>
      <c r="V683" s="87" t="s">
        <v>3061</v>
      </c>
      <c r="W683" s="87" t="s">
        <v>3105</v>
      </c>
      <c r="X683" s="90" t="s">
        <v>3477</v>
      </c>
      <c r="Y683" s="89"/>
      <c r="Z683" s="89">
        <v>6</v>
      </c>
      <c r="AA683" s="89"/>
      <c r="AB683" s="89"/>
    </row>
    <row r="684" spans="1:28" s="31" customFormat="1" ht="60" customHeight="1" x14ac:dyDescent="0.2">
      <c r="A684" s="76">
        <v>683</v>
      </c>
      <c r="B684" s="77">
        <v>50000652</v>
      </c>
      <c r="C684" s="78" t="s">
        <v>1774</v>
      </c>
      <c r="D684" s="79">
        <v>0.05</v>
      </c>
      <c r="E684" s="80">
        <v>30049069</v>
      </c>
      <c r="F684" s="81" t="s">
        <v>1775</v>
      </c>
      <c r="G684" s="82" t="s">
        <v>1776</v>
      </c>
      <c r="H684" s="82" t="s">
        <v>3984</v>
      </c>
      <c r="I684" s="79" t="s">
        <v>2717</v>
      </c>
      <c r="J684" s="83">
        <v>39.74</v>
      </c>
      <c r="K684" s="83">
        <v>30.27809523809524</v>
      </c>
      <c r="L684" s="83">
        <v>23.213206349206352</v>
      </c>
      <c r="M684" s="84">
        <v>20.891885714285714</v>
      </c>
      <c r="N684" s="59">
        <f t="shared" si="10"/>
        <v>0.47428571428571431</v>
      </c>
      <c r="O684" s="85" t="s">
        <v>1739</v>
      </c>
      <c r="P684" s="86" t="s">
        <v>2884</v>
      </c>
      <c r="Q684" s="87" t="s">
        <v>3208</v>
      </c>
      <c r="R684" s="87">
        <v>1</v>
      </c>
      <c r="S684" s="88">
        <v>39.74</v>
      </c>
      <c r="T684" s="88">
        <v>23.213206349206352</v>
      </c>
      <c r="U684" s="88">
        <v>20.891885714285714</v>
      </c>
      <c r="V684" s="87" t="s">
        <v>3065</v>
      </c>
      <c r="W684" s="87" t="s">
        <v>3105</v>
      </c>
      <c r="X684" s="90" t="s">
        <v>3479</v>
      </c>
      <c r="Y684" s="89"/>
      <c r="Z684" s="89">
        <v>12</v>
      </c>
      <c r="AA684" s="89"/>
      <c r="AB684" s="89"/>
    </row>
    <row r="685" spans="1:28" s="31" customFormat="1" ht="60" customHeight="1" x14ac:dyDescent="0.2">
      <c r="A685" s="76">
        <v>684</v>
      </c>
      <c r="B685" s="77">
        <v>50002542</v>
      </c>
      <c r="C685" s="78" t="s">
        <v>1777</v>
      </c>
      <c r="D685" s="79">
        <v>0.05</v>
      </c>
      <c r="E685" s="80">
        <v>30024910</v>
      </c>
      <c r="F685" s="81" t="s">
        <v>1778</v>
      </c>
      <c r="G685" s="82" t="s">
        <v>1779</v>
      </c>
      <c r="H685" s="82" t="s">
        <v>1780</v>
      </c>
      <c r="I685" s="79" t="s">
        <v>2708</v>
      </c>
      <c r="J685" s="83">
        <v>47.41</v>
      </c>
      <c r="K685" s="83">
        <v>36.121904761904759</v>
      </c>
      <c r="L685" s="83">
        <v>27.693460317460318</v>
      </c>
      <c r="M685" s="84">
        <v>24.924114285714285</v>
      </c>
      <c r="N685" s="59">
        <f t="shared" si="10"/>
        <v>0.47428571428571425</v>
      </c>
      <c r="O685" s="85" t="s">
        <v>1739</v>
      </c>
      <c r="P685" s="86" t="s">
        <v>1781</v>
      </c>
      <c r="Q685" s="87" t="s">
        <v>3208</v>
      </c>
      <c r="R685" s="87">
        <v>1</v>
      </c>
      <c r="S685" s="88">
        <v>47.41</v>
      </c>
      <c r="T685" s="88">
        <v>27.693460317460318</v>
      </c>
      <c r="U685" s="88">
        <v>24.924114285714285</v>
      </c>
      <c r="V685" s="87" t="s">
        <v>3062</v>
      </c>
      <c r="W685" s="87" t="s">
        <v>3105</v>
      </c>
      <c r="X685" s="90" t="s">
        <v>3484</v>
      </c>
      <c r="Y685" s="89"/>
      <c r="Z685" s="89">
        <v>10</v>
      </c>
      <c r="AA685" s="89" t="s">
        <v>3207</v>
      </c>
      <c r="AB685" s="89" t="s">
        <v>4613</v>
      </c>
    </row>
    <row r="686" spans="1:28" s="31" customFormat="1" ht="60" customHeight="1" x14ac:dyDescent="0.2">
      <c r="A686" s="76">
        <v>685</v>
      </c>
      <c r="B686" s="77">
        <v>50005161</v>
      </c>
      <c r="C686" s="78" t="s">
        <v>3313</v>
      </c>
      <c r="D686" s="79">
        <v>0.05</v>
      </c>
      <c r="E686" s="80">
        <v>21069099</v>
      </c>
      <c r="F686" s="81" t="s">
        <v>3325</v>
      </c>
      <c r="G686" s="82" t="s">
        <v>3348</v>
      </c>
      <c r="H686" s="82" t="s">
        <v>3675</v>
      </c>
      <c r="I686" s="79" t="s">
        <v>2744</v>
      </c>
      <c r="J686" s="83">
        <v>44</v>
      </c>
      <c r="K686" s="83">
        <v>33.523809523809526</v>
      </c>
      <c r="L686" s="83">
        <v>27.93650793650794</v>
      </c>
      <c r="M686" s="84">
        <v>22.201980952380961</v>
      </c>
      <c r="N686" s="59">
        <f t="shared" si="10"/>
        <v>0.49540952380952363</v>
      </c>
      <c r="O686" s="85" t="s">
        <v>1739</v>
      </c>
      <c r="P686" s="86" t="s">
        <v>3332</v>
      </c>
      <c r="Q686" s="87" t="s">
        <v>3208</v>
      </c>
      <c r="R686" s="87">
        <v>1</v>
      </c>
      <c r="S686" s="88">
        <v>44</v>
      </c>
      <c r="T686" s="88">
        <v>27.93650793650794</v>
      </c>
      <c r="U686" s="88">
        <v>22.201980952380961</v>
      </c>
      <c r="V686" s="87" t="s">
        <v>3064</v>
      </c>
      <c r="W686" s="87" t="s">
        <v>3105</v>
      </c>
      <c r="X686" s="90" t="s">
        <v>3489</v>
      </c>
      <c r="Y686" s="89"/>
      <c r="Z686" s="89">
        <v>10</v>
      </c>
      <c r="AA686" s="89" t="s">
        <v>3207</v>
      </c>
      <c r="AB686" s="89"/>
    </row>
    <row r="687" spans="1:28" s="31" customFormat="1" ht="60" customHeight="1" x14ac:dyDescent="0.2">
      <c r="A687" s="76">
        <v>686</v>
      </c>
      <c r="B687" s="77">
        <v>50001019</v>
      </c>
      <c r="C687" s="78" t="s">
        <v>1782</v>
      </c>
      <c r="D687" s="79">
        <v>0.05</v>
      </c>
      <c r="E687" s="80">
        <v>30045010</v>
      </c>
      <c r="F687" s="81" t="s">
        <v>1783</v>
      </c>
      <c r="G687" s="82" t="s">
        <v>1784</v>
      </c>
      <c r="H687" s="82" t="s">
        <v>3985</v>
      </c>
      <c r="I687" s="79" t="s">
        <v>3140</v>
      </c>
      <c r="J687" s="83">
        <v>97.96</v>
      </c>
      <c r="K687" s="83">
        <v>74.636190476190478</v>
      </c>
      <c r="L687" s="83">
        <v>74.636190476190478</v>
      </c>
      <c r="M687" s="84">
        <v>67.17257142857143</v>
      </c>
      <c r="N687" s="59">
        <f t="shared" si="10"/>
        <v>0.31428571428571422</v>
      </c>
      <c r="O687" s="85" t="s">
        <v>1739</v>
      </c>
      <c r="P687" s="86" t="s">
        <v>803</v>
      </c>
      <c r="Q687" s="87" t="s">
        <v>3208</v>
      </c>
      <c r="R687" s="87">
        <v>1</v>
      </c>
      <c r="S687" s="88">
        <v>97.96</v>
      </c>
      <c r="T687" s="88">
        <v>74.636190476190478</v>
      </c>
      <c r="U687" s="88">
        <v>67.17257142857143</v>
      </c>
      <c r="V687" s="87" t="s">
        <v>3062</v>
      </c>
      <c r="W687" s="87" t="s">
        <v>3113</v>
      </c>
      <c r="X687" s="90" t="s">
        <v>3482</v>
      </c>
      <c r="Y687" s="89"/>
      <c r="Z687" s="89">
        <v>1</v>
      </c>
      <c r="AA687" s="89" t="s">
        <v>3207</v>
      </c>
      <c r="AB687" s="89"/>
    </row>
    <row r="688" spans="1:28" s="31" customFormat="1" ht="60" customHeight="1" x14ac:dyDescent="0.2">
      <c r="A688" s="76">
        <v>687</v>
      </c>
      <c r="B688" s="77">
        <v>50002384</v>
      </c>
      <c r="C688" s="78" t="s">
        <v>1785</v>
      </c>
      <c r="D688" s="79">
        <v>0.05</v>
      </c>
      <c r="E688" s="80">
        <v>30045010</v>
      </c>
      <c r="F688" s="81" t="s">
        <v>1786</v>
      </c>
      <c r="G688" s="82" t="s">
        <v>1787</v>
      </c>
      <c r="H688" s="82" t="s">
        <v>3986</v>
      </c>
      <c r="I688" s="79" t="s">
        <v>2666</v>
      </c>
      <c r="J688" s="83">
        <v>185.61</v>
      </c>
      <c r="K688" s="83">
        <v>141.41714285714286</v>
      </c>
      <c r="L688" s="83">
        <v>129.63238095238094</v>
      </c>
      <c r="M688" s="84">
        <v>116.66914285714282</v>
      </c>
      <c r="N688" s="59">
        <f t="shared" si="10"/>
        <v>0.37142857142857172</v>
      </c>
      <c r="O688" s="85" t="s">
        <v>1739</v>
      </c>
      <c r="P688" s="86" t="s">
        <v>2885</v>
      </c>
      <c r="Q688" s="87" t="s">
        <v>3208</v>
      </c>
      <c r="R688" s="87">
        <v>10</v>
      </c>
      <c r="S688" s="88">
        <v>18.561</v>
      </c>
      <c r="T688" s="88">
        <v>12.963238095238093</v>
      </c>
      <c r="U688" s="88">
        <v>11.666914285714281</v>
      </c>
      <c r="V688" s="87" t="s">
        <v>3061</v>
      </c>
      <c r="W688" s="87" t="s">
        <v>3113</v>
      </c>
      <c r="X688" s="90" t="s">
        <v>3477</v>
      </c>
      <c r="Y688" s="89"/>
      <c r="Z688" s="89">
        <v>3</v>
      </c>
      <c r="AA688" s="89" t="s">
        <v>3207</v>
      </c>
      <c r="AB688" s="89" t="s">
        <v>4613</v>
      </c>
    </row>
    <row r="689" spans="1:28" s="31" customFormat="1" ht="60" customHeight="1" x14ac:dyDescent="0.2">
      <c r="A689" s="76">
        <v>688</v>
      </c>
      <c r="B689" s="77">
        <v>50001832</v>
      </c>
      <c r="C689" s="78" t="s">
        <v>1788</v>
      </c>
      <c r="D689" s="79">
        <v>0.05</v>
      </c>
      <c r="E689" s="80">
        <v>30045010</v>
      </c>
      <c r="F689" s="81" t="s">
        <v>1789</v>
      </c>
      <c r="G689" s="82" t="s">
        <v>1790</v>
      </c>
      <c r="H689" s="82" t="s">
        <v>3987</v>
      </c>
      <c r="I689" s="79" t="s">
        <v>2823</v>
      </c>
      <c r="J689" s="83">
        <v>190</v>
      </c>
      <c r="K689" s="83">
        <v>144.76190476190476</v>
      </c>
      <c r="L689" s="83">
        <v>120.63492063492065</v>
      </c>
      <c r="M689" s="84">
        <v>108.57142857142858</v>
      </c>
      <c r="N689" s="59">
        <f t="shared" si="10"/>
        <v>0.42857142857142849</v>
      </c>
      <c r="O689" s="85" t="s">
        <v>1739</v>
      </c>
      <c r="P689" s="86" t="s">
        <v>2825</v>
      </c>
      <c r="Q689" s="87" t="s">
        <v>3208</v>
      </c>
      <c r="R689" s="87">
        <v>1</v>
      </c>
      <c r="S689" s="88">
        <v>190</v>
      </c>
      <c r="T689" s="88">
        <v>120.63492063492065</v>
      </c>
      <c r="U689" s="88">
        <v>108.57142857142858</v>
      </c>
      <c r="V689" s="87" t="s">
        <v>3062</v>
      </c>
      <c r="W689" s="87" t="s">
        <v>3113</v>
      </c>
      <c r="X689" s="90" t="s">
        <v>3484</v>
      </c>
      <c r="Y689" s="89"/>
      <c r="Z689" s="89">
        <v>1</v>
      </c>
      <c r="AA689" s="89" t="s">
        <v>3207</v>
      </c>
      <c r="AB689" s="89"/>
    </row>
    <row r="690" spans="1:28" s="31" customFormat="1" ht="60" customHeight="1" x14ac:dyDescent="0.2">
      <c r="A690" s="76">
        <v>689</v>
      </c>
      <c r="B690" s="77">
        <v>50001113</v>
      </c>
      <c r="C690" s="78" t="s">
        <v>1791</v>
      </c>
      <c r="D690" s="79">
        <v>0.05</v>
      </c>
      <c r="E690" s="80">
        <v>30045010</v>
      </c>
      <c r="F690" s="81" t="s">
        <v>1792</v>
      </c>
      <c r="G690" s="82" t="s">
        <v>1793</v>
      </c>
      <c r="H690" s="82" t="s">
        <v>3988</v>
      </c>
      <c r="I690" s="79" t="s">
        <v>2886</v>
      </c>
      <c r="J690" s="83">
        <v>72.31</v>
      </c>
      <c r="K690" s="83">
        <v>55.093333333333327</v>
      </c>
      <c r="L690" s="83">
        <v>50.502222222222215</v>
      </c>
      <c r="M690" s="84">
        <v>45.451999999999998</v>
      </c>
      <c r="N690" s="59">
        <f t="shared" si="10"/>
        <v>0.3714285714285715</v>
      </c>
      <c r="O690" s="85" t="s">
        <v>1739</v>
      </c>
      <c r="P690" s="86" t="s">
        <v>210</v>
      </c>
      <c r="Q690" s="87" t="s">
        <v>3208</v>
      </c>
      <c r="R690" s="87">
        <v>1</v>
      </c>
      <c r="S690" s="88">
        <v>72.31</v>
      </c>
      <c r="T690" s="88">
        <v>50.502222222222215</v>
      </c>
      <c r="U690" s="88">
        <v>45.451999999999998</v>
      </c>
      <c r="V690" s="87" t="s">
        <v>3065</v>
      </c>
      <c r="W690" s="87" t="s">
        <v>3113</v>
      </c>
      <c r="X690" s="90" t="s">
        <v>3479</v>
      </c>
      <c r="Y690" s="89"/>
      <c r="Z690" s="89">
        <v>1</v>
      </c>
      <c r="AA690" s="89" t="s">
        <v>3207</v>
      </c>
      <c r="AB690" s="89"/>
    </row>
    <row r="691" spans="1:28" s="31" customFormat="1" ht="60" customHeight="1" x14ac:dyDescent="0.2">
      <c r="A691" s="76">
        <v>690</v>
      </c>
      <c r="B691" s="77">
        <v>50001398</v>
      </c>
      <c r="C691" s="78" t="s">
        <v>1794</v>
      </c>
      <c r="D691" s="79">
        <v>0.05</v>
      </c>
      <c r="E691" s="80">
        <v>30042019</v>
      </c>
      <c r="F691" s="81" t="s">
        <v>1795</v>
      </c>
      <c r="G691" s="82" t="s">
        <v>1796</v>
      </c>
      <c r="H691" s="82" t="s">
        <v>1797</v>
      </c>
      <c r="I691" s="79" t="s">
        <v>2678</v>
      </c>
      <c r="J691" s="83">
        <v>175.3</v>
      </c>
      <c r="K691" s="83">
        <v>133.56190476190477</v>
      </c>
      <c r="L691" s="83">
        <v>122.43174603174604</v>
      </c>
      <c r="M691" s="84">
        <v>110.18857142857144</v>
      </c>
      <c r="N691" s="59">
        <f t="shared" si="10"/>
        <v>0.37142857142857144</v>
      </c>
      <c r="O691" s="85" t="s">
        <v>1739</v>
      </c>
      <c r="P691" s="86" t="s">
        <v>4743</v>
      </c>
      <c r="Q691" s="87" t="s">
        <v>3208</v>
      </c>
      <c r="R691" s="87">
        <v>1</v>
      </c>
      <c r="S691" s="88">
        <v>175.3</v>
      </c>
      <c r="T691" s="88">
        <v>122.43174603174604</v>
      </c>
      <c r="U691" s="88">
        <v>110.18857142857144</v>
      </c>
      <c r="V691" s="87" t="s">
        <v>3062</v>
      </c>
      <c r="W691" s="87" t="s">
        <v>3102</v>
      </c>
      <c r="X691" s="90" t="s">
        <v>3480</v>
      </c>
      <c r="Y691" s="89"/>
      <c r="Z691" s="89">
        <v>1</v>
      </c>
      <c r="AA691" s="89"/>
      <c r="AB691" s="89"/>
    </row>
    <row r="692" spans="1:28" s="31" customFormat="1" ht="60" customHeight="1" x14ac:dyDescent="0.2">
      <c r="A692" s="76">
        <v>691</v>
      </c>
      <c r="B692" s="77">
        <v>50001393</v>
      </c>
      <c r="C692" s="78" t="s">
        <v>1798</v>
      </c>
      <c r="D692" s="79">
        <v>0.05</v>
      </c>
      <c r="E692" s="80">
        <v>30042019</v>
      </c>
      <c r="F692" s="81" t="s">
        <v>1799</v>
      </c>
      <c r="G692" s="82" t="s">
        <v>1800</v>
      </c>
      <c r="H692" s="82" t="s">
        <v>158</v>
      </c>
      <c r="I692" s="79" t="s">
        <v>2887</v>
      </c>
      <c r="J692" s="83">
        <v>97.96</v>
      </c>
      <c r="K692" s="83">
        <v>74.636190476190478</v>
      </c>
      <c r="L692" s="83">
        <v>68.416507936507941</v>
      </c>
      <c r="M692" s="84">
        <v>61.574857142857148</v>
      </c>
      <c r="N692" s="59">
        <f t="shared" si="10"/>
        <v>0.37142857142857133</v>
      </c>
      <c r="O692" s="85" t="s">
        <v>1739</v>
      </c>
      <c r="P692" s="86" t="s">
        <v>3261</v>
      </c>
      <c r="Q692" s="87" t="s">
        <v>3208</v>
      </c>
      <c r="R692" s="87">
        <v>1</v>
      </c>
      <c r="S692" s="88">
        <v>97.96</v>
      </c>
      <c r="T692" s="88">
        <v>68.416507936507941</v>
      </c>
      <c r="U692" s="88">
        <v>61.574857142857148</v>
      </c>
      <c r="V692" s="87" t="s">
        <v>3062</v>
      </c>
      <c r="W692" s="87" t="s">
        <v>3102</v>
      </c>
      <c r="X692" s="90" t="s">
        <v>3482</v>
      </c>
      <c r="Y692" s="89"/>
      <c r="Z692" s="89">
        <v>1</v>
      </c>
      <c r="AA692" s="89"/>
      <c r="AB692" s="89"/>
    </row>
    <row r="693" spans="1:28" s="31" customFormat="1" ht="60" customHeight="1" x14ac:dyDescent="0.2">
      <c r="A693" s="76">
        <v>692</v>
      </c>
      <c r="B693" s="77">
        <v>50001142</v>
      </c>
      <c r="C693" s="78" t="s">
        <v>1801</v>
      </c>
      <c r="D693" s="79">
        <v>0.05</v>
      </c>
      <c r="E693" s="80">
        <v>30049087</v>
      </c>
      <c r="F693" s="81" t="s">
        <v>1802</v>
      </c>
      <c r="G693" s="82" t="s">
        <v>1803</v>
      </c>
      <c r="H693" s="82" t="s">
        <v>3715</v>
      </c>
      <c r="I693" s="79" t="s">
        <v>2666</v>
      </c>
      <c r="J693" s="83">
        <v>232.02</v>
      </c>
      <c r="K693" s="83">
        <v>176.77714285714285</v>
      </c>
      <c r="L693" s="83">
        <v>147.31428571428572</v>
      </c>
      <c r="M693" s="84">
        <v>145.84114285714287</v>
      </c>
      <c r="N693" s="59">
        <f t="shared" si="10"/>
        <v>0.37142857142857139</v>
      </c>
      <c r="O693" s="85" t="s">
        <v>1739</v>
      </c>
      <c r="P693" s="86" t="s">
        <v>2888</v>
      </c>
      <c r="Q693" s="87" t="s">
        <v>3208</v>
      </c>
      <c r="R693" s="87">
        <v>10</v>
      </c>
      <c r="S693" s="88">
        <v>23.202000000000002</v>
      </c>
      <c r="T693" s="88">
        <v>14.731428571428571</v>
      </c>
      <c r="U693" s="88">
        <v>14.584114285714287</v>
      </c>
      <c r="V693" s="87" t="s">
        <v>3061</v>
      </c>
      <c r="W693" s="87" t="s">
        <v>3102</v>
      </c>
      <c r="X693" s="90" t="s">
        <v>3477</v>
      </c>
      <c r="Y693" s="89"/>
      <c r="Z693" s="89">
        <v>6</v>
      </c>
      <c r="AA693" s="89"/>
      <c r="AB693" s="89"/>
    </row>
    <row r="694" spans="1:28" s="31" customFormat="1" ht="60" customHeight="1" x14ac:dyDescent="0.2">
      <c r="A694" s="76">
        <v>693</v>
      </c>
      <c r="B694" s="77">
        <v>50003248</v>
      </c>
      <c r="C694" s="78" t="s">
        <v>1804</v>
      </c>
      <c r="D694" s="79">
        <v>0.05</v>
      </c>
      <c r="E694" s="80">
        <v>30049087</v>
      </c>
      <c r="F694" s="81" t="s">
        <v>1805</v>
      </c>
      <c r="G694" s="82" t="s">
        <v>1806</v>
      </c>
      <c r="H694" s="82" t="s">
        <v>3752</v>
      </c>
      <c r="I694" s="79" t="s">
        <v>2666</v>
      </c>
      <c r="J694" s="83">
        <v>283.58</v>
      </c>
      <c r="K694" s="83">
        <v>216.06095238095241</v>
      </c>
      <c r="L694" s="83">
        <v>198.05587301587306</v>
      </c>
      <c r="M694" s="84">
        <v>178.25028571428581</v>
      </c>
      <c r="N694" s="59">
        <f t="shared" si="10"/>
        <v>0.37142857142857105</v>
      </c>
      <c r="O694" s="85" t="s">
        <v>1739</v>
      </c>
      <c r="P694" s="86" t="s">
        <v>1807</v>
      </c>
      <c r="Q694" s="87" t="s">
        <v>3208</v>
      </c>
      <c r="R694" s="87">
        <v>10</v>
      </c>
      <c r="S694" s="88">
        <v>28.357999999999997</v>
      </c>
      <c r="T694" s="88">
        <v>19.805587301587305</v>
      </c>
      <c r="U694" s="88">
        <v>17.825028571428582</v>
      </c>
      <c r="V694" s="87" t="s">
        <v>3061</v>
      </c>
      <c r="W694" s="87" t="s">
        <v>3102</v>
      </c>
      <c r="X694" s="90" t="s">
        <v>3477</v>
      </c>
      <c r="Y694" s="89"/>
      <c r="Z694" s="89">
        <v>6</v>
      </c>
      <c r="AA694" s="89"/>
      <c r="AB694" s="89"/>
    </row>
    <row r="695" spans="1:28" s="31" customFormat="1" ht="60" customHeight="1" x14ac:dyDescent="0.2">
      <c r="A695" s="76">
        <v>694</v>
      </c>
      <c r="B695" s="77">
        <v>50003141</v>
      </c>
      <c r="C695" s="78" t="s">
        <v>1808</v>
      </c>
      <c r="D695" s="79">
        <v>0.05</v>
      </c>
      <c r="E695" s="80">
        <v>30049011</v>
      </c>
      <c r="F695" s="81" t="s">
        <v>1809</v>
      </c>
      <c r="G695" s="82" t="s">
        <v>1810</v>
      </c>
      <c r="H695" s="82" t="s">
        <v>3989</v>
      </c>
      <c r="I695" s="79" t="s">
        <v>2666</v>
      </c>
      <c r="J695" s="83">
        <v>65</v>
      </c>
      <c r="K695" s="83">
        <v>49.523809523809526</v>
      </c>
      <c r="L695" s="83">
        <v>41.269841269841272</v>
      </c>
      <c r="M695" s="84">
        <v>37.142857142857146</v>
      </c>
      <c r="N695" s="59">
        <f t="shared" si="10"/>
        <v>0.42857142857142855</v>
      </c>
      <c r="O695" s="85" t="s">
        <v>1739</v>
      </c>
      <c r="P695" s="86" t="s">
        <v>2866</v>
      </c>
      <c r="Q695" s="87" t="s">
        <v>3208</v>
      </c>
      <c r="R695" s="87">
        <v>10</v>
      </c>
      <c r="S695" s="88">
        <v>6.5</v>
      </c>
      <c r="T695" s="88">
        <v>4.1269841269841274</v>
      </c>
      <c r="U695" s="88">
        <v>3.7142857142857144</v>
      </c>
      <c r="V695" s="87" t="s">
        <v>3061</v>
      </c>
      <c r="W695" s="87" t="s">
        <v>3119</v>
      </c>
      <c r="X695" s="90" t="s">
        <v>3477</v>
      </c>
      <c r="Y695" s="89"/>
      <c r="Z695" s="89">
        <v>6</v>
      </c>
      <c r="AA695" s="89"/>
      <c r="AB695" s="89"/>
    </row>
    <row r="696" spans="1:28" s="31" customFormat="1" ht="60" customHeight="1" x14ac:dyDescent="0.2">
      <c r="A696" s="76">
        <v>695</v>
      </c>
      <c r="B696" s="77">
        <v>50003124</v>
      </c>
      <c r="C696" s="78" t="s">
        <v>1811</v>
      </c>
      <c r="D696" s="79">
        <v>0.05</v>
      </c>
      <c r="E696" s="80">
        <v>30049011</v>
      </c>
      <c r="F696" s="81" t="s">
        <v>1812</v>
      </c>
      <c r="G696" s="82" t="s">
        <v>1813</v>
      </c>
      <c r="H696" s="82" t="s">
        <v>3990</v>
      </c>
      <c r="I696" s="79" t="s">
        <v>2687</v>
      </c>
      <c r="J696" s="83">
        <v>154</v>
      </c>
      <c r="K696" s="83">
        <v>117.33333333333333</v>
      </c>
      <c r="L696" s="83">
        <v>97.777777777777771</v>
      </c>
      <c r="M696" s="84">
        <v>87.999999999999957</v>
      </c>
      <c r="N696" s="59">
        <f t="shared" si="10"/>
        <v>0.42857142857142883</v>
      </c>
      <c r="O696" s="85" t="s">
        <v>1739</v>
      </c>
      <c r="P696" s="86" t="s">
        <v>82</v>
      </c>
      <c r="Q696" s="87" t="s">
        <v>3208</v>
      </c>
      <c r="R696" s="87">
        <v>1</v>
      </c>
      <c r="S696" s="88">
        <v>154</v>
      </c>
      <c r="T696" s="88">
        <v>97.777777777777771</v>
      </c>
      <c r="U696" s="88">
        <v>87.999999999999957</v>
      </c>
      <c r="V696" s="87" t="s">
        <v>3062</v>
      </c>
      <c r="W696" s="87" t="s">
        <v>3119</v>
      </c>
      <c r="X696" s="90" t="s">
        <v>3480</v>
      </c>
      <c r="Y696" s="89"/>
      <c r="Z696" s="89">
        <v>1</v>
      </c>
      <c r="AA696" s="89"/>
      <c r="AB696" s="89"/>
    </row>
    <row r="697" spans="1:28" s="31" customFormat="1" ht="60" customHeight="1" x14ac:dyDescent="0.2">
      <c r="A697" s="76">
        <v>696</v>
      </c>
      <c r="B697" s="77">
        <v>50004797</v>
      </c>
      <c r="C697" s="78" t="s">
        <v>1814</v>
      </c>
      <c r="D697" s="79">
        <v>0.05</v>
      </c>
      <c r="E697" s="80">
        <v>30049099</v>
      </c>
      <c r="F697" s="81" t="s">
        <v>1815</v>
      </c>
      <c r="G697" s="82" t="s">
        <v>1816</v>
      </c>
      <c r="H697" s="82" t="s">
        <v>3991</v>
      </c>
      <c r="I697" s="79" t="s">
        <v>2889</v>
      </c>
      <c r="J697" s="83">
        <v>17.41</v>
      </c>
      <c r="K697" s="83">
        <v>13.264761904761906</v>
      </c>
      <c r="L697" s="83">
        <v>9.2853333333333339</v>
      </c>
      <c r="M697" s="84">
        <v>8.3568000000000016</v>
      </c>
      <c r="N697" s="59">
        <f t="shared" si="10"/>
        <v>0.51999999999999991</v>
      </c>
      <c r="O697" s="85" t="s">
        <v>1739</v>
      </c>
      <c r="P697" s="86" t="s">
        <v>2882</v>
      </c>
      <c r="Q697" s="87" t="s">
        <v>3208</v>
      </c>
      <c r="R697" s="87">
        <v>1</v>
      </c>
      <c r="S697" s="88">
        <v>17.41</v>
      </c>
      <c r="T697" s="88">
        <v>9.2853333333333339</v>
      </c>
      <c r="U697" s="88">
        <v>8.3568000000000016</v>
      </c>
      <c r="V697" s="87" t="s">
        <v>3067</v>
      </c>
      <c r="W697" s="87" t="s">
        <v>3103</v>
      </c>
      <c r="X697" s="90" t="s">
        <v>3495</v>
      </c>
      <c r="Y697" s="89"/>
      <c r="Z697" s="89">
        <v>20</v>
      </c>
      <c r="AA697" s="89"/>
      <c r="AB697" s="89"/>
    </row>
    <row r="698" spans="1:28" s="31" customFormat="1" ht="60" customHeight="1" x14ac:dyDescent="0.2">
      <c r="A698" s="76">
        <v>697</v>
      </c>
      <c r="B698" s="77">
        <v>50004186</v>
      </c>
      <c r="C698" s="78" t="s">
        <v>1817</v>
      </c>
      <c r="D698" s="79">
        <v>0.05</v>
      </c>
      <c r="E698" s="80">
        <v>30045090</v>
      </c>
      <c r="F698" s="81" t="s">
        <v>1818</v>
      </c>
      <c r="G698" s="82" t="s">
        <v>1819</v>
      </c>
      <c r="H698" s="82" t="s">
        <v>3992</v>
      </c>
      <c r="I698" s="79" t="s">
        <v>2666</v>
      </c>
      <c r="J698" s="83">
        <v>197.54</v>
      </c>
      <c r="K698" s="83">
        <v>150.50666666666666</v>
      </c>
      <c r="L698" s="83">
        <v>150.50666666666666</v>
      </c>
      <c r="M698" s="84">
        <v>112.88000000000001</v>
      </c>
      <c r="N698" s="59">
        <f t="shared" si="10"/>
        <v>0.42857142857142849</v>
      </c>
      <c r="O698" s="85" t="s">
        <v>1739</v>
      </c>
      <c r="P698" s="86" t="s">
        <v>4666</v>
      </c>
      <c r="Q698" s="87" t="s">
        <v>3208</v>
      </c>
      <c r="R698" s="87">
        <v>10</v>
      </c>
      <c r="S698" s="88">
        <v>19.753999999999998</v>
      </c>
      <c r="T698" s="88">
        <v>15.050666666666666</v>
      </c>
      <c r="U698" s="88">
        <v>11.288</v>
      </c>
      <c r="V698" s="87" t="s">
        <v>3061</v>
      </c>
      <c r="W698" s="87" t="s">
        <v>3106</v>
      </c>
      <c r="X698" s="90" t="s">
        <v>3477</v>
      </c>
      <c r="Y698" s="89"/>
      <c r="Z698" s="89">
        <v>3</v>
      </c>
      <c r="AA698" s="89"/>
      <c r="AB698" s="89"/>
    </row>
    <row r="699" spans="1:28" s="31" customFormat="1" ht="60" customHeight="1" x14ac:dyDescent="0.2">
      <c r="A699" s="76">
        <v>698</v>
      </c>
      <c r="B699" s="77">
        <v>50001410</v>
      </c>
      <c r="C699" s="78" t="s">
        <v>1820</v>
      </c>
      <c r="D699" s="79">
        <v>0.05</v>
      </c>
      <c r="E699" s="80">
        <v>30049069</v>
      </c>
      <c r="F699" s="81" t="s">
        <v>1821</v>
      </c>
      <c r="G699" s="82" t="s">
        <v>1822</v>
      </c>
      <c r="H699" s="82" t="s">
        <v>1823</v>
      </c>
      <c r="I699" s="79" t="s">
        <v>2680</v>
      </c>
      <c r="J699" s="83">
        <v>35.869999999999997</v>
      </c>
      <c r="K699" s="83">
        <v>27.329523809523806</v>
      </c>
      <c r="L699" s="83">
        <v>25.052063492063489</v>
      </c>
      <c r="M699" s="84">
        <v>25.052063492063496</v>
      </c>
      <c r="N699" s="59">
        <f t="shared" si="10"/>
        <v>0.3015873015873014</v>
      </c>
      <c r="O699" s="85" t="s">
        <v>1739</v>
      </c>
      <c r="P699" s="86" t="s">
        <v>4667</v>
      </c>
      <c r="Q699" s="87" t="s">
        <v>3207</v>
      </c>
      <c r="R699" s="87">
        <v>1</v>
      </c>
      <c r="S699" s="88">
        <v>35.869999999999997</v>
      </c>
      <c r="T699" s="88">
        <v>25.052063492063489</v>
      </c>
      <c r="U699" s="88">
        <v>25.052063492063496</v>
      </c>
      <c r="V699" s="87" t="s">
        <v>3062</v>
      </c>
      <c r="W699" s="87" t="s">
        <v>3106</v>
      </c>
      <c r="X699" s="90" t="s">
        <v>3480</v>
      </c>
      <c r="Y699" s="89"/>
      <c r="Z699" s="89">
        <v>1</v>
      </c>
      <c r="AA699" s="89"/>
      <c r="AB699" s="89"/>
    </row>
    <row r="700" spans="1:28" s="31" customFormat="1" ht="60" customHeight="1" x14ac:dyDescent="0.2">
      <c r="A700" s="76">
        <v>699</v>
      </c>
      <c r="B700" s="77">
        <v>50002622</v>
      </c>
      <c r="C700" s="78" t="s">
        <v>1826</v>
      </c>
      <c r="D700" s="79">
        <v>0.05</v>
      </c>
      <c r="E700" s="80">
        <v>30049099</v>
      </c>
      <c r="F700" s="81" t="s">
        <v>1827</v>
      </c>
      <c r="G700" s="82" t="s">
        <v>1828</v>
      </c>
      <c r="H700" s="82" t="s">
        <v>3993</v>
      </c>
      <c r="I700" s="79" t="s">
        <v>3140</v>
      </c>
      <c r="J700" s="83">
        <v>72.31</v>
      </c>
      <c r="K700" s="83">
        <v>55.093333333333327</v>
      </c>
      <c r="L700" s="83">
        <v>45.911111111111104</v>
      </c>
      <c r="M700" s="84">
        <v>41.319999999999993</v>
      </c>
      <c r="N700" s="59">
        <f t="shared" si="10"/>
        <v>0.42857142857142866</v>
      </c>
      <c r="O700" s="85" t="s">
        <v>1739</v>
      </c>
      <c r="P700" s="86" t="s">
        <v>4217</v>
      </c>
      <c r="Q700" s="87" t="s">
        <v>3208</v>
      </c>
      <c r="R700" s="87">
        <v>1</v>
      </c>
      <c r="S700" s="88">
        <v>72.31</v>
      </c>
      <c r="T700" s="88">
        <v>45.911111111111104</v>
      </c>
      <c r="U700" s="88">
        <v>41.319999999999993</v>
      </c>
      <c r="V700" s="87" t="s">
        <v>3062</v>
      </c>
      <c r="W700" s="87" t="s">
        <v>3103</v>
      </c>
      <c r="X700" s="90" t="s">
        <v>3480</v>
      </c>
      <c r="Y700" s="89"/>
      <c r="Z700" s="89">
        <v>1</v>
      </c>
      <c r="AA700" s="89"/>
      <c r="AB700" s="89"/>
    </row>
    <row r="701" spans="1:28" s="31" customFormat="1" ht="60" customHeight="1" x14ac:dyDescent="0.2">
      <c r="A701" s="76">
        <v>700</v>
      </c>
      <c r="B701" s="77">
        <v>50003064</v>
      </c>
      <c r="C701" s="78" t="s">
        <v>1829</v>
      </c>
      <c r="D701" s="79">
        <v>0.05</v>
      </c>
      <c r="E701" s="80">
        <v>30049099</v>
      </c>
      <c r="F701" s="81" t="s">
        <v>1830</v>
      </c>
      <c r="G701" s="82" t="s">
        <v>1828</v>
      </c>
      <c r="H701" s="82" t="s">
        <v>3994</v>
      </c>
      <c r="I701" s="79" t="s">
        <v>2680</v>
      </c>
      <c r="J701" s="83">
        <v>78.75</v>
      </c>
      <c r="K701" s="83">
        <v>60</v>
      </c>
      <c r="L701" s="83">
        <v>55</v>
      </c>
      <c r="M701" s="84">
        <v>49.5</v>
      </c>
      <c r="N701" s="59">
        <f t="shared" si="10"/>
        <v>0.37142857142857144</v>
      </c>
      <c r="O701" s="85" t="s">
        <v>1739</v>
      </c>
      <c r="P701" s="86" t="s">
        <v>4189</v>
      </c>
      <c r="Q701" s="87" t="s">
        <v>3208</v>
      </c>
      <c r="R701" s="87">
        <v>1</v>
      </c>
      <c r="S701" s="88">
        <v>78.75</v>
      </c>
      <c r="T701" s="88">
        <v>55</v>
      </c>
      <c r="U701" s="88">
        <v>49.5</v>
      </c>
      <c r="V701" s="87" t="s">
        <v>3062</v>
      </c>
      <c r="W701" s="87" t="s">
        <v>3103</v>
      </c>
      <c r="X701" s="90" t="s">
        <v>3480</v>
      </c>
      <c r="Y701" s="89"/>
      <c r="Z701" s="89">
        <v>1</v>
      </c>
      <c r="AA701" s="89"/>
      <c r="AB701" s="89"/>
    </row>
    <row r="702" spans="1:28" s="31" customFormat="1" ht="60" customHeight="1" x14ac:dyDescent="0.2">
      <c r="A702" s="76">
        <v>701</v>
      </c>
      <c r="B702" s="77">
        <v>50001049</v>
      </c>
      <c r="C702" s="78" t="s">
        <v>1831</v>
      </c>
      <c r="D702" s="79">
        <v>0.05</v>
      </c>
      <c r="E702" s="80">
        <v>30049099</v>
      </c>
      <c r="F702" s="81" t="s">
        <v>1832</v>
      </c>
      <c r="G702" s="82" t="s">
        <v>1833</v>
      </c>
      <c r="H702" s="82" t="s">
        <v>3995</v>
      </c>
      <c r="I702" s="79" t="s">
        <v>3140</v>
      </c>
      <c r="J702" s="83">
        <v>79.680000000000007</v>
      </c>
      <c r="K702" s="83">
        <v>60.708571428571439</v>
      </c>
      <c r="L702" s="83">
        <v>54.637714285714296</v>
      </c>
      <c r="M702" s="84">
        <v>49.173942857142876</v>
      </c>
      <c r="N702" s="59">
        <f t="shared" si="10"/>
        <v>0.38285714285714267</v>
      </c>
      <c r="O702" s="85" t="s">
        <v>1739</v>
      </c>
      <c r="P702" s="86" t="s">
        <v>2890</v>
      </c>
      <c r="Q702" s="87" t="s">
        <v>3208</v>
      </c>
      <c r="R702" s="87">
        <v>1</v>
      </c>
      <c r="S702" s="88">
        <v>79.680000000000007</v>
      </c>
      <c r="T702" s="88">
        <v>54.637714285714296</v>
      </c>
      <c r="U702" s="88">
        <v>49.173942857142876</v>
      </c>
      <c r="V702" s="87" t="s">
        <v>3062</v>
      </c>
      <c r="W702" s="87" t="s">
        <v>3103</v>
      </c>
      <c r="X702" s="90" t="s">
        <v>3480</v>
      </c>
      <c r="Y702" s="89"/>
      <c r="Z702" s="89">
        <v>1</v>
      </c>
      <c r="AA702" s="89"/>
      <c r="AB702" s="89"/>
    </row>
    <row r="703" spans="1:28" s="31" customFormat="1" ht="60" customHeight="1" x14ac:dyDescent="0.2">
      <c r="A703" s="76">
        <v>702</v>
      </c>
      <c r="B703" s="77">
        <v>50002935</v>
      </c>
      <c r="C703" s="78" t="s">
        <v>1834</v>
      </c>
      <c r="D703" s="79">
        <v>0.05</v>
      </c>
      <c r="E703" s="80">
        <v>30049099</v>
      </c>
      <c r="F703" s="81" t="s">
        <v>1835</v>
      </c>
      <c r="G703" s="82" t="s">
        <v>1836</v>
      </c>
      <c r="H703" s="82" t="s">
        <v>3996</v>
      </c>
      <c r="I703" s="79" t="s">
        <v>2666</v>
      </c>
      <c r="J703" s="83">
        <v>49.68</v>
      </c>
      <c r="K703" s="83">
        <v>37.851428571428571</v>
      </c>
      <c r="L703" s="83">
        <v>31.542857142857141</v>
      </c>
      <c r="M703" s="84">
        <v>28.388571428571424</v>
      </c>
      <c r="N703" s="59">
        <f t="shared" si="10"/>
        <v>0.42857142857142866</v>
      </c>
      <c r="O703" s="85" t="s">
        <v>1739</v>
      </c>
      <c r="P703" s="86" t="s">
        <v>3263</v>
      </c>
      <c r="Q703" s="87" t="s">
        <v>3208</v>
      </c>
      <c r="R703" s="87">
        <v>10</v>
      </c>
      <c r="S703" s="88">
        <v>4.968</v>
      </c>
      <c r="T703" s="88">
        <v>3.1542857142857139</v>
      </c>
      <c r="U703" s="88">
        <v>2.8388571428571425</v>
      </c>
      <c r="V703" s="87" t="s">
        <v>3061</v>
      </c>
      <c r="W703" s="87" t="s">
        <v>3103</v>
      </c>
      <c r="X703" s="90" t="s">
        <v>3477</v>
      </c>
      <c r="Y703" s="89"/>
      <c r="Z703" s="89">
        <v>10</v>
      </c>
      <c r="AA703" s="89"/>
      <c r="AB703" s="89"/>
    </row>
    <row r="704" spans="1:28" s="31" customFormat="1" ht="60" customHeight="1" x14ac:dyDescent="0.2">
      <c r="A704" s="76">
        <v>703</v>
      </c>
      <c r="B704" s="77">
        <v>50003053</v>
      </c>
      <c r="C704" s="78" t="s">
        <v>1837</v>
      </c>
      <c r="D704" s="79">
        <v>0.05</v>
      </c>
      <c r="E704" s="80">
        <v>30049099</v>
      </c>
      <c r="F704" s="81" t="s">
        <v>1838</v>
      </c>
      <c r="G704" s="82" t="s">
        <v>1839</v>
      </c>
      <c r="H704" s="82" t="s">
        <v>3997</v>
      </c>
      <c r="I704" s="79" t="s">
        <v>2869</v>
      </c>
      <c r="J704" s="83">
        <v>62.38</v>
      </c>
      <c r="K704" s="83">
        <v>47.527619047619048</v>
      </c>
      <c r="L704" s="83">
        <v>43.566984126984124</v>
      </c>
      <c r="M704" s="84">
        <v>39.21028571428571</v>
      </c>
      <c r="N704" s="59">
        <f t="shared" si="10"/>
        <v>0.3714285714285715</v>
      </c>
      <c r="O704" s="85" t="s">
        <v>1739</v>
      </c>
      <c r="P704" s="86" t="s">
        <v>2719</v>
      </c>
      <c r="Q704" s="87" t="s">
        <v>3208</v>
      </c>
      <c r="R704" s="87">
        <v>1</v>
      </c>
      <c r="S704" s="88">
        <v>62.38</v>
      </c>
      <c r="T704" s="88">
        <v>43.566984126984124</v>
      </c>
      <c r="U704" s="88">
        <v>39.21028571428571</v>
      </c>
      <c r="V704" s="87" t="s">
        <v>3062</v>
      </c>
      <c r="W704" s="87" t="s">
        <v>3103</v>
      </c>
      <c r="X704" s="90" t="s">
        <v>3485</v>
      </c>
      <c r="Y704" s="89"/>
      <c r="Z704" s="89">
        <v>1</v>
      </c>
      <c r="AA704" s="89"/>
      <c r="AB704" s="89"/>
    </row>
    <row r="705" spans="1:28" s="31" customFormat="1" ht="60" customHeight="1" x14ac:dyDescent="0.2">
      <c r="A705" s="76">
        <v>704</v>
      </c>
      <c r="B705" s="77">
        <v>50000973</v>
      </c>
      <c r="C705" s="78" t="s">
        <v>1840</v>
      </c>
      <c r="D705" s="79">
        <v>0.05</v>
      </c>
      <c r="E705" s="80">
        <v>30049099</v>
      </c>
      <c r="F705" s="81" t="s">
        <v>1841</v>
      </c>
      <c r="G705" s="82" t="s">
        <v>1842</v>
      </c>
      <c r="H705" s="82" t="s">
        <v>3998</v>
      </c>
      <c r="I705" s="79" t="s">
        <v>2680</v>
      </c>
      <c r="J705" s="83">
        <v>87.34</v>
      </c>
      <c r="K705" s="83">
        <v>66.544761904761899</v>
      </c>
      <c r="L705" s="83">
        <v>55.453968253968249</v>
      </c>
      <c r="M705" s="84">
        <v>49.90857142857142</v>
      </c>
      <c r="N705" s="59">
        <f t="shared" si="10"/>
        <v>0.42857142857142871</v>
      </c>
      <c r="O705" s="85" t="s">
        <v>1739</v>
      </c>
      <c r="P705" s="86" t="s">
        <v>2851</v>
      </c>
      <c r="Q705" s="87" t="s">
        <v>3208</v>
      </c>
      <c r="R705" s="87">
        <v>1</v>
      </c>
      <c r="S705" s="88">
        <v>87.34</v>
      </c>
      <c r="T705" s="88">
        <v>55.453968253968249</v>
      </c>
      <c r="U705" s="88">
        <v>49.90857142857142</v>
      </c>
      <c r="V705" s="87" t="s">
        <v>3062</v>
      </c>
      <c r="W705" s="87" t="s">
        <v>3103</v>
      </c>
      <c r="X705" s="90" t="s">
        <v>3480</v>
      </c>
      <c r="Y705" s="89"/>
      <c r="Z705" s="89">
        <v>1</v>
      </c>
      <c r="AA705" s="89"/>
      <c r="AB705" s="89"/>
    </row>
    <row r="706" spans="1:28" s="31" customFormat="1" ht="60" customHeight="1" x14ac:dyDescent="0.2">
      <c r="A706" s="76">
        <v>705</v>
      </c>
      <c r="B706" s="77">
        <v>50002203</v>
      </c>
      <c r="C706" s="78" t="s">
        <v>1843</v>
      </c>
      <c r="D706" s="79">
        <v>0.05</v>
      </c>
      <c r="E706" s="80">
        <v>30049029</v>
      </c>
      <c r="F706" s="81" t="s">
        <v>1506</v>
      </c>
      <c r="G706" s="82" t="s">
        <v>1844</v>
      </c>
      <c r="H706" s="82" t="s">
        <v>3927</v>
      </c>
      <c r="I706" s="79" t="s">
        <v>2704</v>
      </c>
      <c r="J706" s="83">
        <v>276.27999999999997</v>
      </c>
      <c r="K706" s="83">
        <v>210.49904761904759</v>
      </c>
      <c r="L706" s="83">
        <v>192.95746031746026</v>
      </c>
      <c r="M706" s="84">
        <v>173.66171428571425</v>
      </c>
      <c r="N706" s="59">
        <f t="shared" ref="N706:N769" si="11">(J706-M706)/J706</f>
        <v>0.3714285714285715</v>
      </c>
      <c r="O706" s="85" t="s">
        <v>1739</v>
      </c>
      <c r="P706" s="86" t="s">
        <v>235</v>
      </c>
      <c r="Q706" s="87" t="s">
        <v>3208</v>
      </c>
      <c r="R706" s="87">
        <v>1</v>
      </c>
      <c r="S706" s="88">
        <v>276.27999999999997</v>
      </c>
      <c r="T706" s="88">
        <v>192.95746031746026</v>
      </c>
      <c r="U706" s="88">
        <v>173.66171428571425</v>
      </c>
      <c r="V706" s="87" t="s">
        <v>3066</v>
      </c>
      <c r="W706" s="87" t="s">
        <v>3104</v>
      </c>
      <c r="X706" s="90" t="s">
        <v>3483</v>
      </c>
      <c r="Y706" s="89"/>
      <c r="Z706" s="89">
        <v>1</v>
      </c>
      <c r="AA706" s="89"/>
      <c r="AB706" s="89"/>
    </row>
    <row r="707" spans="1:28" s="31" customFormat="1" ht="60" customHeight="1" x14ac:dyDescent="0.2">
      <c r="A707" s="76">
        <v>706</v>
      </c>
      <c r="B707" s="77">
        <v>50000877</v>
      </c>
      <c r="C707" s="78" t="s">
        <v>4763</v>
      </c>
      <c r="D707" s="79">
        <v>0.05</v>
      </c>
      <c r="E707" s="80">
        <v>30049099</v>
      </c>
      <c r="F707" s="81" t="s">
        <v>4764</v>
      </c>
      <c r="G707" s="82" t="s">
        <v>1845</v>
      </c>
      <c r="H707" s="82" t="s">
        <v>3999</v>
      </c>
      <c r="I707" s="79" t="s">
        <v>3141</v>
      </c>
      <c r="J707" s="83">
        <v>139.19999999999999</v>
      </c>
      <c r="K707" s="83">
        <v>106.05714285714285</v>
      </c>
      <c r="L707" s="83">
        <v>106.05714285714285</v>
      </c>
      <c r="M707" s="84">
        <v>95.451428571428551</v>
      </c>
      <c r="N707" s="59">
        <f t="shared" si="11"/>
        <v>0.31428571428571439</v>
      </c>
      <c r="O707" s="85" t="s">
        <v>1739</v>
      </c>
      <c r="P707" s="86" t="s">
        <v>1846</v>
      </c>
      <c r="Q707" s="87" t="s">
        <v>3208</v>
      </c>
      <c r="R707" s="87">
        <v>1</v>
      </c>
      <c r="S707" s="88">
        <v>139.19999999999999</v>
      </c>
      <c r="T707" s="88">
        <v>106.05714285714285</v>
      </c>
      <c r="U707" s="88">
        <v>95.451428571428551</v>
      </c>
      <c r="V707" s="87" t="s">
        <v>3061</v>
      </c>
      <c r="W707" s="87" t="s">
        <v>3113</v>
      </c>
      <c r="X707" s="90" t="s">
        <v>3562</v>
      </c>
      <c r="Y707" s="89"/>
      <c r="Z707" s="89">
        <v>1</v>
      </c>
      <c r="AA707" s="89"/>
      <c r="AB707" s="89"/>
    </row>
    <row r="708" spans="1:28" s="31" customFormat="1" ht="60" customHeight="1" x14ac:dyDescent="0.2">
      <c r="A708" s="76">
        <v>707</v>
      </c>
      <c r="B708" s="77">
        <v>50004071</v>
      </c>
      <c r="C708" s="78" t="s">
        <v>1851</v>
      </c>
      <c r="D708" s="79">
        <v>0.05</v>
      </c>
      <c r="E708" s="80">
        <v>30049099</v>
      </c>
      <c r="F708" s="81" t="s">
        <v>1852</v>
      </c>
      <c r="G708" s="82" t="s">
        <v>1853</v>
      </c>
      <c r="H708" s="82" t="s">
        <v>4000</v>
      </c>
      <c r="I708" s="79" t="s">
        <v>2682</v>
      </c>
      <c r="J708" s="83">
        <v>113.43</v>
      </c>
      <c r="K708" s="83">
        <v>86.42285714285714</v>
      </c>
      <c r="L708" s="83">
        <v>66.257523809523803</v>
      </c>
      <c r="M708" s="84">
        <v>59.631771428571419</v>
      </c>
      <c r="N708" s="59">
        <f t="shared" si="11"/>
        <v>0.47428571428571442</v>
      </c>
      <c r="O708" s="85" t="s">
        <v>1739</v>
      </c>
      <c r="P708" s="86" t="s">
        <v>253</v>
      </c>
      <c r="Q708" s="87" t="s">
        <v>3208</v>
      </c>
      <c r="R708" s="87">
        <v>1</v>
      </c>
      <c r="S708" s="88">
        <v>113.43</v>
      </c>
      <c r="T708" s="88">
        <v>66.257523809523803</v>
      </c>
      <c r="U708" s="88">
        <v>59.631771428571419</v>
      </c>
      <c r="V708" s="87" t="s">
        <v>3062</v>
      </c>
      <c r="W708" s="87" t="s">
        <v>3103</v>
      </c>
      <c r="X708" s="90" t="s">
        <v>3480</v>
      </c>
      <c r="Y708" s="89"/>
      <c r="Z708" s="89">
        <v>1</v>
      </c>
      <c r="AA708" s="89"/>
      <c r="AB708" s="89" t="s">
        <v>4613</v>
      </c>
    </row>
    <row r="709" spans="1:28" s="31" customFormat="1" ht="60" customHeight="1" x14ac:dyDescent="0.2">
      <c r="A709" s="76">
        <v>708</v>
      </c>
      <c r="B709" s="77">
        <v>50004104</v>
      </c>
      <c r="C709" s="78" t="s">
        <v>1854</v>
      </c>
      <c r="D709" s="79">
        <v>0.05</v>
      </c>
      <c r="E709" s="80">
        <v>30049099</v>
      </c>
      <c r="F709" s="81" t="s">
        <v>1855</v>
      </c>
      <c r="G709" s="82" t="s">
        <v>1853</v>
      </c>
      <c r="H709" s="82" t="s">
        <v>4000</v>
      </c>
      <c r="I709" s="79" t="s">
        <v>2666</v>
      </c>
      <c r="J709" s="83">
        <v>71.03</v>
      </c>
      <c r="K709" s="83">
        <v>54.118095238095236</v>
      </c>
      <c r="L709" s="83">
        <v>45.098412698412702</v>
      </c>
      <c r="M709" s="84">
        <v>40.588571428571427</v>
      </c>
      <c r="N709" s="59">
        <f t="shared" si="11"/>
        <v>0.4285714285714286</v>
      </c>
      <c r="O709" s="85" t="s">
        <v>1739</v>
      </c>
      <c r="P709" s="86" t="s">
        <v>2681</v>
      </c>
      <c r="Q709" s="87" t="s">
        <v>3208</v>
      </c>
      <c r="R709" s="87">
        <v>10</v>
      </c>
      <c r="S709" s="88">
        <v>7.1029999999999998</v>
      </c>
      <c r="T709" s="88">
        <v>4.50984126984127</v>
      </c>
      <c r="U709" s="88">
        <v>4.0588571428571427</v>
      </c>
      <c r="V709" s="87" t="s">
        <v>3061</v>
      </c>
      <c r="W709" s="87" t="s">
        <v>3103</v>
      </c>
      <c r="X709" s="90" t="s">
        <v>3477</v>
      </c>
      <c r="Y709" s="89"/>
      <c r="Z709" s="89">
        <v>10</v>
      </c>
      <c r="AA709" s="89"/>
      <c r="AB709" s="89"/>
    </row>
    <row r="710" spans="1:28" s="31" customFormat="1" ht="60" customHeight="1" x14ac:dyDescent="0.2">
      <c r="A710" s="76">
        <v>709</v>
      </c>
      <c r="B710" s="77">
        <v>50002526</v>
      </c>
      <c r="C710" s="78" t="s">
        <v>1592</v>
      </c>
      <c r="D710" s="79">
        <v>0.05</v>
      </c>
      <c r="E710" s="80">
        <v>21069099</v>
      </c>
      <c r="F710" s="81" t="s">
        <v>1593</v>
      </c>
      <c r="G710" s="82" t="s">
        <v>1594</v>
      </c>
      <c r="H710" s="82" t="s">
        <v>4001</v>
      </c>
      <c r="I710" s="79" t="s">
        <v>2724</v>
      </c>
      <c r="J710" s="83">
        <v>37</v>
      </c>
      <c r="K710" s="83">
        <v>28.190476190476193</v>
      </c>
      <c r="L710" s="83">
        <v>25.841269841269845</v>
      </c>
      <c r="M710" s="84">
        <v>23.25714285714286</v>
      </c>
      <c r="N710" s="59">
        <f t="shared" si="11"/>
        <v>0.37142857142857133</v>
      </c>
      <c r="O710" s="85" t="s">
        <v>1739</v>
      </c>
      <c r="P710" s="86" t="s">
        <v>2864</v>
      </c>
      <c r="Q710" s="87" t="s">
        <v>3208</v>
      </c>
      <c r="R710" s="87">
        <v>1</v>
      </c>
      <c r="S710" s="88">
        <v>37</v>
      </c>
      <c r="T710" s="88">
        <v>25.841269841269845</v>
      </c>
      <c r="U710" s="88">
        <v>23.25714285714286</v>
      </c>
      <c r="V710" s="87" t="s">
        <v>3064</v>
      </c>
      <c r="W710" s="87" t="s">
        <v>3116</v>
      </c>
      <c r="X710" s="90" t="s">
        <v>3489</v>
      </c>
      <c r="Y710" s="89"/>
      <c r="Z710" s="89">
        <v>10</v>
      </c>
      <c r="AA710" s="89"/>
      <c r="AB710" s="89"/>
    </row>
    <row r="711" spans="1:28" s="31" customFormat="1" ht="60" customHeight="1" x14ac:dyDescent="0.2">
      <c r="A711" s="76">
        <v>710</v>
      </c>
      <c r="B711" s="77">
        <v>50003185</v>
      </c>
      <c r="C711" s="78" t="s">
        <v>1856</v>
      </c>
      <c r="D711" s="79">
        <v>0.05</v>
      </c>
      <c r="E711" s="80">
        <v>21069099</v>
      </c>
      <c r="F711" s="81" t="s">
        <v>1857</v>
      </c>
      <c r="G711" s="82" t="s">
        <v>1858</v>
      </c>
      <c r="H711" s="82" t="s">
        <v>4086</v>
      </c>
      <c r="I711" s="79" t="s">
        <v>2682</v>
      </c>
      <c r="J711" s="83">
        <v>164</v>
      </c>
      <c r="K711" s="83">
        <v>124.95238095238096</v>
      </c>
      <c r="L711" s="83">
        <v>114.53968253968256</v>
      </c>
      <c r="M711" s="84">
        <v>103.0857142857143</v>
      </c>
      <c r="N711" s="59">
        <f t="shared" si="11"/>
        <v>0.37142857142857133</v>
      </c>
      <c r="O711" s="85" t="s">
        <v>1739</v>
      </c>
      <c r="P711" s="86" t="s">
        <v>753</v>
      </c>
      <c r="Q711" s="87" t="s">
        <v>3208</v>
      </c>
      <c r="R711" s="87">
        <v>1</v>
      </c>
      <c r="S711" s="88">
        <v>164</v>
      </c>
      <c r="T711" s="88">
        <v>114.53968253968256</v>
      </c>
      <c r="U711" s="88">
        <v>103.0857142857143</v>
      </c>
      <c r="V711" s="87" t="s">
        <v>3062</v>
      </c>
      <c r="W711" s="87" t="s">
        <v>3116</v>
      </c>
      <c r="X711" s="90" t="s">
        <v>3484</v>
      </c>
      <c r="Y711" s="89"/>
      <c r="Z711" s="89">
        <v>1</v>
      </c>
      <c r="AA711" s="89"/>
      <c r="AB711" s="89"/>
    </row>
    <row r="712" spans="1:28" s="31" customFormat="1" ht="60" customHeight="1" x14ac:dyDescent="0.2">
      <c r="A712" s="76">
        <v>711</v>
      </c>
      <c r="B712" s="77">
        <v>50001966</v>
      </c>
      <c r="C712" s="78" t="s">
        <v>1859</v>
      </c>
      <c r="D712" s="79">
        <v>0.05</v>
      </c>
      <c r="E712" s="80">
        <v>30049099</v>
      </c>
      <c r="F712" s="81" t="s">
        <v>1860</v>
      </c>
      <c r="G712" s="82" t="s">
        <v>1861</v>
      </c>
      <c r="H712" s="82" t="s">
        <v>4002</v>
      </c>
      <c r="I712" s="79" t="s">
        <v>2682</v>
      </c>
      <c r="J712" s="83">
        <v>131.01</v>
      </c>
      <c r="K712" s="83">
        <v>99.817142857142855</v>
      </c>
      <c r="L712" s="83">
        <v>91.49904761904763</v>
      </c>
      <c r="M712" s="84">
        <v>82.349142857142894</v>
      </c>
      <c r="N712" s="59">
        <f t="shared" si="11"/>
        <v>0.37142857142857111</v>
      </c>
      <c r="O712" s="85" t="s">
        <v>1739</v>
      </c>
      <c r="P712" s="86" t="s">
        <v>2891</v>
      </c>
      <c r="Q712" s="87" t="s">
        <v>3208</v>
      </c>
      <c r="R712" s="87">
        <v>1</v>
      </c>
      <c r="S712" s="88">
        <v>131.01</v>
      </c>
      <c r="T712" s="88">
        <v>91.49904761904763</v>
      </c>
      <c r="U712" s="88">
        <v>82.349142857142894</v>
      </c>
      <c r="V712" s="87" t="s">
        <v>3062</v>
      </c>
      <c r="W712" s="87" t="s">
        <v>3116</v>
      </c>
      <c r="X712" s="90" t="s">
        <v>3484</v>
      </c>
      <c r="Y712" s="89"/>
      <c r="Z712" s="89">
        <v>1</v>
      </c>
      <c r="AA712" s="89"/>
      <c r="AB712" s="89"/>
    </row>
    <row r="713" spans="1:28" s="31" customFormat="1" ht="60" customHeight="1" x14ac:dyDescent="0.2">
      <c r="A713" s="76">
        <v>712</v>
      </c>
      <c r="B713" s="77">
        <v>50001965</v>
      </c>
      <c r="C713" s="78" t="s">
        <v>1859</v>
      </c>
      <c r="D713" s="79">
        <v>0.05</v>
      </c>
      <c r="E713" s="80">
        <v>30049099</v>
      </c>
      <c r="F713" s="81" t="s">
        <v>1860</v>
      </c>
      <c r="G713" s="82" t="s">
        <v>1861</v>
      </c>
      <c r="H713" s="82" t="s">
        <v>4002</v>
      </c>
      <c r="I713" s="79" t="s">
        <v>2687</v>
      </c>
      <c r="J713" s="83">
        <v>233.33</v>
      </c>
      <c r="K713" s="83">
        <v>177.77523809523808</v>
      </c>
      <c r="L713" s="83">
        <v>162.9606349206349</v>
      </c>
      <c r="M713" s="84">
        <v>146.66457142857141</v>
      </c>
      <c r="N713" s="59">
        <f t="shared" si="11"/>
        <v>0.37142857142857155</v>
      </c>
      <c r="O713" s="85" t="s">
        <v>1739</v>
      </c>
      <c r="P713" s="86" t="s">
        <v>2783</v>
      </c>
      <c r="Q713" s="87" t="s">
        <v>3208</v>
      </c>
      <c r="R713" s="87">
        <v>1</v>
      </c>
      <c r="S713" s="88">
        <v>233.33</v>
      </c>
      <c r="T713" s="88">
        <v>162.9606349206349</v>
      </c>
      <c r="U713" s="88">
        <v>146.66457142857141</v>
      </c>
      <c r="V713" s="87" t="s">
        <v>3062</v>
      </c>
      <c r="W713" s="87" t="s">
        <v>3116</v>
      </c>
      <c r="X713" s="90" t="s">
        <v>3480</v>
      </c>
      <c r="Y713" s="89"/>
      <c r="Z713" s="89">
        <v>1</v>
      </c>
      <c r="AA713" s="89"/>
      <c r="AB713" s="89"/>
    </row>
    <row r="714" spans="1:28" s="31" customFormat="1" ht="60" customHeight="1" x14ac:dyDescent="0.2">
      <c r="A714" s="76">
        <v>713</v>
      </c>
      <c r="B714" s="77">
        <v>50004154</v>
      </c>
      <c r="C714" s="78" t="s">
        <v>1862</v>
      </c>
      <c r="D714" s="79">
        <v>0.05</v>
      </c>
      <c r="E714" s="80">
        <v>30049084</v>
      </c>
      <c r="F714" s="81" t="s">
        <v>1863</v>
      </c>
      <c r="G714" s="82" t="s">
        <v>1864</v>
      </c>
      <c r="H714" s="82" t="s">
        <v>4003</v>
      </c>
      <c r="I714" s="79" t="s">
        <v>3140</v>
      </c>
      <c r="J714" s="83">
        <v>79.680000000000007</v>
      </c>
      <c r="K714" s="83">
        <v>60.708571428571439</v>
      </c>
      <c r="L714" s="83">
        <v>48.566857142857152</v>
      </c>
      <c r="M714" s="84">
        <v>43.710171428571456</v>
      </c>
      <c r="N714" s="59">
        <f t="shared" si="11"/>
        <v>0.45142857142857112</v>
      </c>
      <c r="O714" s="85" t="s">
        <v>1739</v>
      </c>
      <c r="P714" s="86" t="s">
        <v>3467</v>
      </c>
      <c r="Q714" s="87" t="s">
        <v>3208</v>
      </c>
      <c r="R714" s="87">
        <v>1</v>
      </c>
      <c r="S714" s="88">
        <v>79.680000000000007</v>
      </c>
      <c r="T714" s="88">
        <v>48.566857142857152</v>
      </c>
      <c r="U714" s="88">
        <v>43.710171428571456</v>
      </c>
      <c r="V714" s="87" t="s">
        <v>3062</v>
      </c>
      <c r="W714" s="87" t="s">
        <v>3112</v>
      </c>
      <c r="X714" s="90" t="s">
        <v>3480</v>
      </c>
      <c r="Y714" s="89"/>
      <c r="Z714" s="89">
        <v>1</v>
      </c>
      <c r="AA714" s="89"/>
      <c r="AB714" s="89"/>
    </row>
    <row r="715" spans="1:28" s="31" customFormat="1" ht="60" customHeight="1" x14ac:dyDescent="0.2">
      <c r="A715" s="76">
        <v>714</v>
      </c>
      <c r="B715" s="77">
        <v>50003108</v>
      </c>
      <c r="C715" s="78" t="s">
        <v>1865</v>
      </c>
      <c r="D715" s="79">
        <v>0.05</v>
      </c>
      <c r="E715" s="80">
        <v>30049029</v>
      </c>
      <c r="F715" s="81" t="s">
        <v>1866</v>
      </c>
      <c r="G715" s="82" t="s">
        <v>1867</v>
      </c>
      <c r="H715" s="82" t="s">
        <v>4004</v>
      </c>
      <c r="I715" s="79" t="s">
        <v>2771</v>
      </c>
      <c r="J715" s="83">
        <v>173.25</v>
      </c>
      <c r="K715" s="83">
        <v>132</v>
      </c>
      <c r="L715" s="83">
        <v>132</v>
      </c>
      <c r="M715" s="84">
        <v>118.8</v>
      </c>
      <c r="N715" s="59">
        <f t="shared" si="11"/>
        <v>0.31428571428571428</v>
      </c>
      <c r="O715" s="85" t="s">
        <v>1868</v>
      </c>
      <c r="P715" s="86" t="s">
        <v>1309</v>
      </c>
      <c r="Q715" s="87" t="s">
        <v>3208</v>
      </c>
      <c r="R715" s="87">
        <v>1</v>
      </c>
      <c r="S715" s="88">
        <v>173.25</v>
      </c>
      <c r="T715" s="88">
        <v>132</v>
      </c>
      <c r="U715" s="88">
        <v>118.8</v>
      </c>
      <c r="V715" s="87" t="s">
        <v>3066</v>
      </c>
      <c r="W715" s="87" t="s">
        <v>3104</v>
      </c>
      <c r="X715" s="90" t="s">
        <v>3481</v>
      </c>
      <c r="Y715" s="89"/>
      <c r="Z715" s="89">
        <v>1</v>
      </c>
      <c r="AA715" s="89"/>
      <c r="AB715" s="89"/>
    </row>
    <row r="716" spans="1:28" s="31" customFormat="1" ht="60" customHeight="1" x14ac:dyDescent="0.2">
      <c r="A716" s="76">
        <v>715</v>
      </c>
      <c r="B716" s="77">
        <v>50003109</v>
      </c>
      <c r="C716" s="78" t="s">
        <v>1865</v>
      </c>
      <c r="D716" s="79">
        <v>0.05</v>
      </c>
      <c r="E716" s="80">
        <v>30049029</v>
      </c>
      <c r="F716" s="81" t="s">
        <v>1866</v>
      </c>
      <c r="G716" s="82" t="s">
        <v>1867</v>
      </c>
      <c r="H716" s="82" t="s">
        <v>4004</v>
      </c>
      <c r="I716" s="79" t="s">
        <v>2892</v>
      </c>
      <c r="J716" s="83">
        <v>346.86</v>
      </c>
      <c r="K716" s="83">
        <v>264.27428571428572</v>
      </c>
      <c r="L716" s="83">
        <v>264.27428571428572</v>
      </c>
      <c r="M716" s="84">
        <v>237.84685714285712</v>
      </c>
      <c r="N716" s="59">
        <f t="shared" si="11"/>
        <v>0.31428571428571439</v>
      </c>
      <c r="O716" s="85" t="s">
        <v>1868</v>
      </c>
      <c r="P716" s="86" t="s">
        <v>1309</v>
      </c>
      <c r="Q716" s="87" t="s">
        <v>3208</v>
      </c>
      <c r="R716" s="87">
        <v>1</v>
      </c>
      <c r="S716" s="88">
        <v>346.86</v>
      </c>
      <c r="T716" s="88">
        <v>264.27428571428572</v>
      </c>
      <c r="U716" s="88">
        <v>237.84685714285712</v>
      </c>
      <c r="V716" s="87" t="s">
        <v>3066</v>
      </c>
      <c r="W716" s="87" t="s">
        <v>3104</v>
      </c>
      <c r="X716" s="90" t="s">
        <v>3481</v>
      </c>
      <c r="Y716" s="89"/>
      <c r="Z716" s="89">
        <v>1</v>
      </c>
      <c r="AA716" s="89"/>
      <c r="AB716" s="89"/>
    </row>
    <row r="717" spans="1:28" s="31" customFormat="1" ht="60" customHeight="1" x14ac:dyDescent="0.2">
      <c r="A717" s="76">
        <v>716</v>
      </c>
      <c r="B717" s="77">
        <v>50004878</v>
      </c>
      <c r="C717" s="78" t="s">
        <v>1869</v>
      </c>
      <c r="D717" s="79">
        <v>0.05</v>
      </c>
      <c r="E717" s="80">
        <v>30049077</v>
      </c>
      <c r="F717" s="81" t="s">
        <v>1870</v>
      </c>
      <c r="G717" s="82" t="s">
        <v>1871</v>
      </c>
      <c r="H717" s="82" t="s">
        <v>20</v>
      </c>
      <c r="I717" s="79" t="s">
        <v>2666</v>
      </c>
      <c r="J717" s="83">
        <v>206.24</v>
      </c>
      <c r="K717" s="83">
        <v>157.13523809523809</v>
      </c>
      <c r="L717" s="83">
        <v>157.13523809523809</v>
      </c>
      <c r="M717" s="84">
        <v>141.4217142857143</v>
      </c>
      <c r="N717" s="59">
        <f t="shared" si="11"/>
        <v>0.31428571428571422</v>
      </c>
      <c r="O717" s="85" t="s">
        <v>1868</v>
      </c>
      <c r="P717" s="86" t="s">
        <v>123</v>
      </c>
      <c r="Q717" s="87" t="s">
        <v>3208</v>
      </c>
      <c r="R717" s="87">
        <v>10</v>
      </c>
      <c r="S717" s="88">
        <v>20.624000000000002</v>
      </c>
      <c r="T717" s="88">
        <v>15.71352380952381</v>
      </c>
      <c r="U717" s="88">
        <v>14.14217142857143</v>
      </c>
      <c r="V717" s="87" t="s">
        <v>3061</v>
      </c>
      <c r="W717" s="87" t="s">
        <v>3104</v>
      </c>
      <c r="X717" s="90" t="s">
        <v>3477</v>
      </c>
      <c r="Y717" s="89" t="s">
        <v>3455</v>
      </c>
      <c r="Z717" s="89">
        <v>3</v>
      </c>
      <c r="AA717" s="89"/>
      <c r="AB717" s="89"/>
    </row>
    <row r="718" spans="1:28" s="31" customFormat="1" ht="60" customHeight="1" x14ac:dyDescent="0.2">
      <c r="A718" s="76">
        <v>717</v>
      </c>
      <c r="B718" s="77">
        <v>50003204</v>
      </c>
      <c r="C718" s="78" t="s">
        <v>1872</v>
      </c>
      <c r="D718" s="79">
        <v>0.05</v>
      </c>
      <c r="E718" s="80">
        <v>30049099</v>
      </c>
      <c r="F718" s="81" t="s">
        <v>1873</v>
      </c>
      <c r="G718" s="82" t="s">
        <v>1874</v>
      </c>
      <c r="H718" s="82" t="s">
        <v>4005</v>
      </c>
      <c r="I718" s="79" t="s">
        <v>2680</v>
      </c>
      <c r="J718" s="83">
        <v>1136.24</v>
      </c>
      <c r="K718" s="83">
        <v>865.70666666666671</v>
      </c>
      <c r="L718" s="83">
        <v>865.70666666666671</v>
      </c>
      <c r="M718" s="84">
        <v>779.13600000000019</v>
      </c>
      <c r="N718" s="59">
        <f t="shared" si="11"/>
        <v>0.31428571428571411</v>
      </c>
      <c r="O718" s="85" t="s">
        <v>1868</v>
      </c>
      <c r="P718" s="86" t="s">
        <v>4668</v>
      </c>
      <c r="Q718" s="87" t="s">
        <v>3208</v>
      </c>
      <c r="R718" s="87">
        <v>1</v>
      </c>
      <c r="S718" s="88">
        <v>1136.24</v>
      </c>
      <c r="T718" s="88">
        <v>865.70666666666671</v>
      </c>
      <c r="U718" s="88">
        <v>779.13600000000019</v>
      </c>
      <c r="V718" s="87" t="s">
        <v>3062</v>
      </c>
      <c r="W718" s="87" t="s">
        <v>3104</v>
      </c>
      <c r="X718" s="90" t="s">
        <v>3485</v>
      </c>
      <c r="Y718" s="89" t="s">
        <v>3455</v>
      </c>
      <c r="Z718" s="89">
        <v>1</v>
      </c>
      <c r="AA718" s="89"/>
      <c r="AB718" s="89"/>
    </row>
    <row r="719" spans="1:28" s="31" customFormat="1" ht="60" customHeight="1" x14ac:dyDescent="0.2">
      <c r="A719" s="76">
        <v>718</v>
      </c>
      <c r="B719" s="77">
        <v>50003286</v>
      </c>
      <c r="C719" s="78" t="s">
        <v>1875</v>
      </c>
      <c r="D719" s="79">
        <v>0.05</v>
      </c>
      <c r="E719" s="80">
        <v>30049099</v>
      </c>
      <c r="F719" s="81" t="s">
        <v>1876</v>
      </c>
      <c r="G719" s="82" t="s">
        <v>1877</v>
      </c>
      <c r="H719" s="82" t="s">
        <v>4006</v>
      </c>
      <c r="I719" s="79" t="s">
        <v>2680</v>
      </c>
      <c r="J719" s="83">
        <v>1124.99</v>
      </c>
      <c r="K719" s="83">
        <v>857.13523809523815</v>
      </c>
      <c r="L719" s="83">
        <v>857.13523809523815</v>
      </c>
      <c r="M719" s="84">
        <v>771.4217142857143</v>
      </c>
      <c r="N719" s="59">
        <f t="shared" si="11"/>
        <v>0.31428571428571428</v>
      </c>
      <c r="O719" s="85" t="s">
        <v>1868</v>
      </c>
      <c r="P719" s="86" t="s">
        <v>4668</v>
      </c>
      <c r="Q719" s="87" t="s">
        <v>3208</v>
      </c>
      <c r="R719" s="87">
        <v>1</v>
      </c>
      <c r="S719" s="88">
        <v>1124.99</v>
      </c>
      <c r="T719" s="88">
        <v>857.13523809523815</v>
      </c>
      <c r="U719" s="88">
        <v>771.4217142857143</v>
      </c>
      <c r="V719" s="87" t="s">
        <v>3062</v>
      </c>
      <c r="W719" s="87" t="s">
        <v>3104</v>
      </c>
      <c r="X719" s="90" t="s">
        <v>3485</v>
      </c>
      <c r="Y719" s="89"/>
      <c r="Z719" s="89">
        <v>1</v>
      </c>
      <c r="AA719" s="89"/>
      <c r="AB719" s="89"/>
    </row>
    <row r="720" spans="1:28" s="31" customFormat="1" ht="60" customHeight="1" x14ac:dyDescent="0.2">
      <c r="A720" s="76">
        <v>719</v>
      </c>
      <c r="B720" s="77">
        <v>50003046</v>
      </c>
      <c r="C720" s="78" t="s">
        <v>1878</v>
      </c>
      <c r="D720" s="79">
        <v>0.05</v>
      </c>
      <c r="E720" s="80">
        <v>30049099</v>
      </c>
      <c r="F720" s="81" t="s">
        <v>1879</v>
      </c>
      <c r="G720" s="82" t="s">
        <v>1880</v>
      </c>
      <c r="H720" s="82" t="s">
        <v>4007</v>
      </c>
      <c r="I720" s="79" t="s">
        <v>2680</v>
      </c>
      <c r="J720" s="83">
        <v>881.24</v>
      </c>
      <c r="K720" s="83">
        <v>671.42095238095237</v>
      </c>
      <c r="L720" s="83">
        <v>671.42095238095237</v>
      </c>
      <c r="M720" s="84">
        <v>604.27885714285719</v>
      </c>
      <c r="N720" s="59">
        <f t="shared" si="11"/>
        <v>0.31428571428571422</v>
      </c>
      <c r="O720" s="85" t="s">
        <v>1868</v>
      </c>
      <c r="P720" s="86" t="s">
        <v>4668</v>
      </c>
      <c r="Q720" s="87" t="s">
        <v>3208</v>
      </c>
      <c r="R720" s="87">
        <v>1</v>
      </c>
      <c r="S720" s="88">
        <v>881.24</v>
      </c>
      <c r="T720" s="88">
        <v>671.42095238095237</v>
      </c>
      <c r="U720" s="88">
        <v>604.27885714285719</v>
      </c>
      <c r="V720" s="87" t="s">
        <v>3062</v>
      </c>
      <c r="W720" s="87" t="s">
        <v>3104</v>
      </c>
      <c r="X720" s="90" t="s">
        <v>3480</v>
      </c>
      <c r="Y720" s="89"/>
      <c r="Z720" s="89">
        <v>1</v>
      </c>
      <c r="AA720" s="89"/>
      <c r="AB720" s="89"/>
    </row>
    <row r="721" spans="1:28" s="31" customFormat="1" ht="60" customHeight="1" x14ac:dyDescent="0.2">
      <c r="A721" s="76">
        <v>720</v>
      </c>
      <c r="B721" s="77">
        <v>50002482</v>
      </c>
      <c r="C721" s="78" t="s">
        <v>1881</v>
      </c>
      <c r="D721" s="79">
        <v>0.05</v>
      </c>
      <c r="E721" s="80">
        <v>30049099</v>
      </c>
      <c r="F721" s="81" t="s">
        <v>1882</v>
      </c>
      <c r="G721" s="82" t="s">
        <v>1883</v>
      </c>
      <c r="H721" s="82" t="s">
        <v>4008</v>
      </c>
      <c r="I721" s="79" t="s">
        <v>2680</v>
      </c>
      <c r="J721" s="83">
        <v>862.49</v>
      </c>
      <c r="K721" s="83">
        <v>657.13523809523815</v>
      </c>
      <c r="L721" s="83">
        <v>657.13523809523815</v>
      </c>
      <c r="M721" s="84">
        <v>591.4217142857143</v>
      </c>
      <c r="N721" s="59">
        <f t="shared" si="11"/>
        <v>0.31428571428571428</v>
      </c>
      <c r="O721" s="85" t="s">
        <v>1868</v>
      </c>
      <c r="P721" s="86" t="s">
        <v>4668</v>
      </c>
      <c r="Q721" s="87" t="s">
        <v>3208</v>
      </c>
      <c r="R721" s="87">
        <v>1</v>
      </c>
      <c r="S721" s="88">
        <v>862.49</v>
      </c>
      <c r="T721" s="88">
        <v>657.13523809523815</v>
      </c>
      <c r="U721" s="88">
        <v>591.4217142857143</v>
      </c>
      <c r="V721" s="87" t="s">
        <v>3062</v>
      </c>
      <c r="W721" s="87" t="s">
        <v>3104</v>
      </c>
      <c r="X721" s="90" t="s">
        <v>3480</v>
      </c>
      <c r="Y721" s="89" t="s">
        <v>3455</v>
      </c>
      <c r="Z721" s="89">
        <v>1</v>
      </c>
      <c r="AA721" s="89"/>
      <c r="AB721" s="89"/>
    </row>
    <row r="722" spans="1:28" s="31" customFormat="1" ht="60" customHeight="1" x14ac:dyDescent="0.2">
      <c r="A722" s="76">
        <v>721</v>
      </c>
      <c r="B722" s="77">
        <v>50005124</v>
      </c>
      <c r="C722" s="78" t="s">
        <v>1884</v>
      </c>
      <c r="D722" s="79">
        <v>0.05</v>
      </c>
      <c r="E722" s="80">
        <v>21069099</v>
      </c>
      <c r="F722" s="81" t="s">
        <v>1885</v>
      </c>
      <c r="G722" s="82" t="s">
        <v>3089</v>
      </c>
      <c r="H722" s="82" t="s">
        <v>4009</v>
      </c>
      <c r="I722" s="79" t="s">
        <v>2663</v>
      </c>
      <c r="J722" s="83">
        <v>324</v>
      </c>
      <c r="K722" s="83">
        <v>246.85714285714283</v>
      </c>
      <c r="L722" s="83">
        <v>205.71428571428569</v>
      </c>
      <c r="M722" s="84">
        <v>189.89193075417728</v>
      </c>
      <c r="N722" s="59">
        <f t="shared" si="11"/>
        <v>0.41391379396858863</v>
      </c>
      <c r="O722" s="85" t="s">
        <v>1868</v>
      </c>
      <c r="P722" s="86" t="s">
        <v>2865</v>
      </c>
      <c r="Q722" s="87" t="s">
        <v>3208</v>
      </c>
      <c r="R722" s="87">
        <v>15</v>
      </c>
      <c r="S722" s="88">
        <v>21.6</v>
      </c>
      <c r="T722" s="88">
        <v>13.714285714285714</v>
      </c>
      <c r="U722" s="88">
        <v>12.659462050278485</v>
      </c>
      <c r="V722" s="87" t="s">
        <v>3061</v>
      </c>
      <c r="W722" s="87" t="s">
        <v>3108</v>
      </c>
      <c r="X722" s="90" t="s">
        <v>3477</v>
      </c>
      <c r="Y722" s="89"/>
      <c r="Z722" s="89">
        <v>2</v>
      </c>
      <c r="AA722" s="89" t="s">
        <v>3207</v>
      </c>
      <c r="AB722" s="89"/>
    </row>
    <row r="723" spans="1:28" s="31" customFormat="1" ht="60" customHeight="1" x14ac:dyDescent="0.2">
      <c r="A723" s="76">
        <v>722</v>
      </c>
      <c r="B723" s="77">
        <v>50004326</v>
      </c>
      <c r="C723" s="78" t="s">
        <v>1884</v>
      </c>
      <c r="D723" s="79">
        <v>0.05</v>
      </c>
      <c r="E723" s="80">
        <v>21069099</v>
      </c>
      <c r="F723" s="81" t="s">
        <v>1885</v>
      </c>
      <c r="G723" s="82" t="s">
        <v>1886</v>
      </c>
      <c r="H723" s="82" t="s">
        <v>4009</v>
      </c>
      <c r="I723" s="79" t="s">
        <v>2664</v>
      </c>
      <c r="J723" s="83">
        <v>596</v>
      </c>
      <c r="K723" s="83">
        <v>454.09523809523807</v>
      </c>
      <c r="L723" s="83">
        <v>378.41269841269838</v>
      </c>
      <c r="M723" s="84">
        <v>349.30611470121926</v>
      </c>
      <c r="N723" s="59">
        <f t="shared" si="11"/>
        <v>0.41391591493084018</v>
      </c>
      <c r="O723" s="85" t="s">
        <v>1868</v>
      </c>
      <c r="P723" s="86" t="s">
        <v>2781</v>
      </c>
      <c r="Q723" s="87" t="s">
        <v>3208</v>
      </c>
      <c r="R723" s="87">
        <v>30</v>
      </c>
      <c r="S723" s="88">
        <v>19.866666666666667</v>
      </c>
      <c r="T723" s="88">
        <v>12.613756613756612</v>
      </c>
      <c r="U723" s="88">
        <v>11.643537156707309</v>
      </c>
      <c r="V723" s="87" t="s">
        <v>3062</v>
      </c>
      <c r="W723" s="87" t="s">
        <v>3108</v>
      </c>
      <c r="X723" s="90" t="s">
        <v>3477</v>
      </c>
      <c r="Y723" s="89"/>
      <c r="Z723" s="89">
        <v>1</v>
      </c>
      <c r="AA723" s="89" t="s">
        <v>3207</v>
      </c>
      <c r="AB723" s="89"/>
    </row>
    <row r="724" spans="1:28" s="31" customFormat="1" ht="60" customHeight="1" x14ac:dyDescent="0.2">
      <c r="A724" s="76">
        <v>723</v>
      </c>
      <c r="B724" s="77">
        <v>50005998</v>
      </c>
      <c r="C724" s="78" t="s">
        <v>4479</v>
      </c>
      <c r="D724" s="79">
        <v>0.18</v>
      </c>
      <c r="E724" s="80">
        <v>33049990</v>
      </c>
      <c r="F724" s="81" t="s">
        <v>4538</v>
      </c>
      <c r="G724" s="82" t="str">
        <f>F724</f>
        <v>Composition:
Redensyl, Procapil, Anagain, Liposome Caffeine, Ginger extract, Green tea extract, Propylene Glycol, Transcutol-P,
Lactic acid, Hydrogenated Castor oil, Sodium Sulphitde, Benzoic Acid, Aqua</v>
      </c>
      <c r="H724" s="82"/>
      <c r="I724" s="79" t="s">
        <v>2680</v>
      </c>
      <c r="J724" s="83">
        <v>1450</v>
      </c>
      <c r="K724" s="83">
        <v>983.05084745762701</v>
      </c>
      <c r="L724" s="83">
        <v>983.05084745762701</v>
      </c>
      <c r="M724" s="84">
        <v>884.74576271186436</v>
      </c>
      <c r="N724" s="59">
        <f t="shared" si="11"/>
        <v>0.38983050847457629</v>
      </c>
      <c r="O724" s="85" t="s">
        <v>1868</v>
      </c>
      <c r="P724" s="86" t="s">
        <v>235</v>
      </c>
      <c r="Q724" s="87" t="s">
        <v>3208</v>
      </c>
      <c r="R724" s="87">
        <v>1</v>
      </c>
      <c r="S724" s="88">
        <v>1450</v>
      </c>
      <c r="T724" s="88">
        <v>983.05084745762701</v>
      </c>
      <c r="U724" s="88">
        <v>884.74576271186436</v>
      </c>
      <c r="V724" s="87" t="s">
        <v>3062</v>
      </c>
      <c r="W724" s="87" t="s">
        <v>3108</v>
      </c>
      <c r="X724" s="90" t="s">
        <v>4610</v>
      </c>
      <c r="Y724" s="89"/>
      <c r="Z724" s="89"/>
      <c r="AA724" s="89"/>
      <c r="AB724" s="89"/>
    </row>
    <row r="725" spans="1:28" s="31" customFormat="1" ht="60" customHeight="1" x14ac:dyDescent="0.2">
      <c r="A725" s="76">
        <v>724</v>
      </c>
      <c r="B725" s="77">
        <v>50005492</v>
      </c>
      <c r="C725" s="78" t="s">
        <v>3460</v>
      </c>
      <c r="D725" s="79">
        <v>0.05</v>
      </c>
      <c r="E725" s="80">
        <v>21069099</v>
      </c>
      <c r="F725" s="81" t="s">
        <v>3463</v>
      </c>
      <c r="G725" s="82" t="s">
        <v>3471</v>
      </c>
      <c r="H725" s="82" t="s">
        <v>4187</v>
      </c>
      <c r="I725" s="79" t="s">
        <v>2666</v>
      </c>
      <c r="J725" s="83">
        <v>222</v>
      </c>
      <c r="K725" s="83">
        <v>169.14285714285714</v>
      </c>
      <c r="L725" s="83">
        <v>169.14285714285714</v>
      </c>
      <c r="M725" s="84">
        <v>130.11066688535348</v>
      </c>
      <c r="N725" s="59">
        <f t="shared" si="11"/>
        <v>0.41391591493084018</v>
      </c>
      <c r="O725" s="85" t="s">
        <v>1868</v>
      </c>
      <c r="P725" s="86" t="s">
        <v>2781</v>
      </c>
      <c r="Q725" s="87" t="s">
        <v>3208</v>
      </c>
      <c r="R725" s="87">
        <v>10</v>
      </c>
      <c r="S725" s="88">
        <v>22.2</v>
      </c>
      <c r="T725" s="88">
        <v>16.914285714285715</v>
      </c>
      <c r="U725" s="88">
        <v>13.011066688535347</v>
      </c>
      <c r="V725" s="87" t="s">
        <v>3062</v>
      </c>
      <c r="W725" s="87" t="s">
        <v>3108</v>
      </c>
      <c r="X725" s="90" t="s">
        <v>3477</v>
      </c>
      <c r="Y725" s="89"/>
      <c r="Z725" s="89">
        <v>3</v>
      </c>
      <c r="AA725" s="89" t="s">
        <v>3207</v>
      </c>
      <c r="AB725" s="89"/>
    </row>
    <row r="726" spans="1:28" s="31" customFormat="1" ht="60" customHeight="1" x14ac:dyDescent="0.2">
      <c r="A726" s="76">
        <v>725</v>
      </c>
      <c r="B726" s="77">
        <v>50005409</v>
      </c>
      <c r="C726" s="78" t="s">
        <v>3460</v>
      </c>
      <c r="D726" s="79">
        <v>0.05</v>
      </c>
      <c r="E726" s="80">
        <v>21069099</v>
      </c>
      <c r="F726" s="81" t="s">
        <v>3463</v>
      </c>
      <c r="G726" s="82" t="s">
        <v>3471</v>
      </c>
      <c r="H726" s="82" t="s">
        <v>4187</v>
      </c>
      <c r="I726" s="79" t="s">
        <v>2664</v>
      </c>
      <c r="J726" s="83">
        <v>640</v>
      </c>
      <c r="K726" s="83">
        <v>487.61904761904759</v>
      </c>
      <c r="L726" s="83">
        <v>487.61904761904759</v>
      </c>
      <c r="M726" s="84">
        <v>375.09381444426219</v>
      </c>
      <c r="N726" s="59">
        <f t="shared" si="11"/>
        <v>0.41391591493084035</v>
      </c>
      <c r="O726" s="85" t="s">
        <v>1868</v>
      </c>
      <c r="P726" s="86" t="s">
        <v>2781</v>
      </c>
      <c r="Q726" s="87" t="s">
        <v>3208</v>
      </c>
      <c r="R726" s="87">
        <v>30</v>
      </c>
      <c r="S726" s="88">
        <v>21.333333333333332</v>
      </c>
      <c r="T726" s="88">
        <v>16.253968253968253</v>
      </c>
      <c r="U726" s="88">
        <v>12.503127148142074</v>
      </c>
      <c r="V726" s="87" t="s">
        <v>3061</v>
      </c>
      <c r="W726" s="87" t="s">
        <v>3108</v>
      </c>
      <c r="X726" s="90" t="s">
        <v>3477</v>
      </c>
      <c r="Y726" s="89"/>
      <c r="Z726" s="89"/>
      <c r="AA726" s="89" t="s">
        <v>3207</v>
      </c>
      <c r="AB726" s="89"/>
    </row>
    <row r="727" spans="1:28" s="31" customFormat="1" ht="60" customHeight="1" x14ac:dyDescent="0.2">
      <c r="A727" s="76">
        <v>726</v>
      </c>
      <c r="B727" s="77">
        <v>50003855</v>
      </c>
      <c r="C727" s="78" t="s">
        <v>1887</v>
      </c>
      <c r="D727" s="79">
        <v>0.18</v>
      </c>
      <c r="E727" s="80">
        <v>33049990</v>
      </c>
      <c r="F727" s="81" t="s">
        <v>1888</v>
      </c>
      <c r="G727" s="82" t="s">
        <v>1889</v>
      </c>
      <c r="H727" s="82" t="s">
        <v>85</v>
      </c>
      <c r="I727" s="79" t="s">
        <v>2682</v>
      </c>
      <c r="J727" s="83">
        <v>380</v>
      </c>
      <c r="K727" s="83">
        <v>257.62711864406776</v>
      </c>
      <c r="L727" s="83">
        <v>257.62711864406776</v>
      </c>
      <c r="M727" s="84">
        <v>231.86440677966098</v>
      </c>
      <c r="N727" s="59">
        <f t="shared" si="11"/>
        <v>0.38983050847457634</v>
      </c>
      <c r="O727" s="85" t="s">
        <v>1868</v>
      </c>
      <c r="P727" s="86" t="s">
        <v>3440</v>
      </c>
      <c r="Q727" s="87" t="s">
        <v>3208</v>
      </c>
      <c r="R727" s="87">
        <v>1</v>
      </c>
      <c r="S727" s="88">
        <v>380</v>
      </c>
      <c r="T727" s="88">
        <v>257.62711864406776</v>
      </c>
      <c r="U727" s="88">
        <v>231.86440677966098</v>
      </c>
      <c r="V727" s="87" t="s">
        <v>3062</v>
      </c>
      <c r="W727" s="87" t="s">
        <v>3104</v>
      </c>
      <c r="X727" s="90" t="s">
        <v>3483</v>
      </c>
      <c r="Y727" s="89"/>
      <c r="Z727" s="89">
        <v>1</v>
      </c>
      <c r="AA727" s="89"/>
      <c r="AB727" s="89"/>
    </row>
    <row r="728" spans="1:28" s="31" customFormat="1" ht="60" customHeight="1" x14ac:dyDescent="0.2">
      <c r="A728" s="76">
        <v>727</v>
      </c>
      <c r="B728" s="77">
        <v>50003261</v>
      </c>
      <c r="C728" s="78" t="s">
        <v>1890</v>
      </c>
      <c r="D728" s="79">
        <v>0.05</v>
      </c>
      <c r="E728" s="80">
        <v>30049029</v>
      </c>
      <c r="F728" s="81" t="s">
        <v>1891</v>
      </c>
      <c r="G728" s="82" t="s">
        <v>1892</v>
      </c>
      <c r="H728" s="82" t="s">
        <v>323</v>
      </c>
      <c r="I728" s="79" t="s">
        <v>2693</v>
      </c>
      <c r="J728" s="83">
        <v>176.31</v>
      </c>
      <c r="K728" s="83">
        <v>134.33142857142857</v>
      </c>
      <c r="L728" s="83">
        <v>134.33142857142857</v>
      </c>
      <c r="M728" s="84">
        <v>120.89828571428572</v>
      </c>
      <c r="N728" s="59">
        <f t="shared" si="11"/>
        <v>0.31428571428571428</v>
      </c>
      <c r="O728" s="85" t="s">
        <v>1868</v>
      </c>
      <c r="P728" s="86" t="s">
        <v>2691</v>
      </c>
      <c r="Q728" s="87" t="s">
        <v>3207</v>
      </c>
      <c r="R728" s="87">
        <v>10</v>
      </c>
      <c r="S728" s="88">
        <v>17.631</v>
      </c>
      <c r="T728" s="88">
        <v>13.433142857142858</v>
      </c>
      <c r="U728" s="88">
        <v>12.089828571428573</v>
      </c>
      <c r="V728" s="87" t="s">
        <v>3061</v>
      </c>
      <c r="W728" s="87" t="s">
        <v>3104</v>
      </c>
      <c r="X728" s="90" t="s">
        <v>3478</v>
      </c>
      <c r="Y728" s="89"/>
      <c r="Z728" s="89">
        <v>3</v>
      </c>
      <c r="AA728" s="89" t="s">
        <v>3207</v>
      </c>
      <c r="AB728" s="89"/>
    </row>
    <row r="729" spans="1:28" s="31" customFormat="1" ht="60" customHeight="1" x14ac:dyDescent="0.2">
      <c r="A729" s="76">
        <v>728</v>
      </c>
      <c r="B729" s="77">
        <v>50003264</v>
      </c>
      <c r="C729" s="78" t="s">
        <v>1893</v>
      </c>
      <c r="D729" s="79">
        <v>0.05</v>
      </c>
      <c r="E729" s="80">
        <v>30049029</v>
      </c>
      <c r="F729" s="81" t="s">
        <v>1894</v>
      </c>
      <c r="G729" s="82" t="s">
        <v>1895</v>
      </c>
      <c r="H729" s="82" t="s">
        <v>246</v>
      </c>
      <c r="I729" s="79" t="s">
        <v>2693</v>
      </c>
      <c r="J729" s="83">
        <v>236.25</v>
      </c>
      <c r="K729" s="83">
        <v>180</v>
      </c>
      <c r="L729" s="83">
        <v>180</v>
      </c>
      <c r="M729" s="84">
        <v>162</v>
      </c>
      <c r="N729" s="59">
        <f t="shared" si="11"/>
        <v>0.31428571428571428</v>
      </c>
      <c r="O729" s="85" t="s">
        <v>1868</v>
      </c>
      <c r="P729" s="86" t="s">
        <v>22</v>
      </c>
      <c r="Q729" s="87" t="s">
        <v>3207</v>
      </c>
      <c r="R729" s="87">
        <v>10</v>
      </c>
      <c r="S729" s="88">
        <v>23.625</v>
      </c>
      <c r="T729" s="88">
        <v>18</v>
      </c>
      <c r="U729" s="88">
        <v>16.2</v>
      </c>
      <c r="V729" s="87" t="s">
        <v>3061</v>
      </c>
      <c r="W729" s="87" t="s">
        <v>3104</v>
      </c>
      <c r="X729" s="90" t="s">
        <v>3478</v>
      </c>
      <c r="Y729" s="89"/>
      <c r="Z729" s="89">
        <v>3</v>
      </c>
      <c r="AA729" s="89" t="s">
        <v>3207</v>
      </c>
      <c r="AB729" s="89"/>
    </row>
    <row r="730" spans="1:28" s="31" customFormat="1" ht="60" customHeight="1" x14ac:dyDescent="0.2">
      <c r="A730" s="76">
        <v>729</v>
      </c>
      <c r="B730" s="77">
        <v>50006135</v>
      </c>
      <c r="C730" s="78" t="s">
        <v>1893</v>
      </c>
      <c r="D730" s="79">
        <v>0.05</v>
      </c>
      <c r="E730" s="80">
        <v>30049029</v>
      </c>
      <c r="F730" s="81" t="s">
        <v>4765</v>
      </c>
      <c r="G730" s="82" t="s">
        <v>400</v>
      </c>
      <c r="H730" s="82" t="s">
        <v>246</v>
      </c>
      <c r="I730" s="79" t="s">
        <v>2696</v>
      </c>
      <c r="J730" s="83">
        <v>354.37</v>
      </c>
      <c r="K730" s="83">
        <v>269.99619047619046</v>
      </c>
      <c r="L730" s="83">
        <v>269.99619047619046</v>
      </c>
      <c r="M730" s="84">
        <v>242.99657142857143</v>
      </c>
      <c r="N730" s="59">
        <f t="shared" si="11"/>
        <v>0.31428571428571428</v>
      </c>
      <c r="O730" s="85" t="s">
        <v>1868</v>
      </c>
      <c r="P730" s="86" t="s">
        <v>22</v>
      </c>
      <c r="Q730" s="87" t="s">
        <v>3207</v>
      </c>
      <c r="R730" s="87">
        <v>15</v>
      </c>
      <c r="S730" s="88">
        <v>23.624666666666666</v>
      </c>
      <c r="T730" s="88">
        <v>17.999746031746032</v>
      </c>
      <c r="U730" s="88">
        <v>16.199771428571427</v>
      </c>
      <c r="V730" s="87" t="s">
        <v>3061</v>
      </c>
      <c r="W730" s="87" t="s">
        <v>3104</v>
      </c>
      <c r="X730" s="90" t="s">
        <v>3478</v>
      </c>
      <c r="Y730" s="89"/>
      <c r="Z730" s="89"/>
      <c r="AA730" s="89"/>
      <c r="AB730" s="89"/>
    </row>
    <row r="731" spans="1:28" s="31" customFormat="1" ht="60" customHeight="1" x14ac:dyDescent="0.2">
      <c r="A731" s="76">
        <v>730</v>
      </c>
      <c r="B731" s="77">
        <v>50003921</v>
      </c>
      <c r="C731" s="78" t="s">
        <v>1896</v>
      </c>
      <c r="D731" s="79">
        <v>0.05</v>
      </c>
      <c r="E731" s="80">
        <v>30049029</v>
      </c>
      <c r="F731" s="81" t="s">
        <v>1897</v>
      </c>
      <c r="G731" s="82" t="s">
        <v>1898</v>
      </c>
      <c r="H731" s="82" t="s">
        <v>1899</v>
      </c>
      <c r="I731" s="79" t="s">
        <v>2693</v>
      </c>
      <c r="J731" s="83">
        <v>144.37</v>
      </c>
      <c r="K731" s="83">
        <v>109.99619047619049</v>
      </c>
      <c r="L731" s="83">
        <v>109.99619047619049</v>
      </c>
      <c r="M731" s="84">
        <v>98.996571428571443</v>
      </c>
      <c r="N731" s="59">
        <f t="shared" si="11"/>
        <v>0.31428571428571422</v>
      </c>
      <c r="O731" s="85" t="s">
        <v>1868</v>
      </c>
      <c r="P731" s="86" t="s">
        <v>305</v>
      </c>
      <c r="Q731" s="87" t="s">
        <v>3208</v>
      </c>
      <c r="R731" s="87">
        <v>10</v>
      </c>
      <c r="S731" s="88">
        <v>14.437000000000001</v>
      </c>
      <c r="T731" s="88">
        <v>10.999619047619049</v>
      </c>
      <c r="U731" s="88">
        <v>9.8996571428571443</v>
      </c>
      <c r="V731" s="87" t="s">
        <v>3061</v>
      </c>
      <c r="W731" s="87" t="s">
        <v>3104</v>
      </c>
      <c r="X731" s="90" t="s">
        <v>3478</v>
      </c>
      <c r="Y731" s="89"/>
      <c r="Z731" s="89">
        <v>3</v>
      </c>
      <c r="AA731" s="89" t="s">
        <v>3207</v>
      </c>
      <c r="AB731" s="89"/>
    </row>
    <row r="732" spans="1:28" s="31" customFormat="1" ht="60" customHeight="1" x14ac:dyDescent="0.2">
      <c r="A732" s="76">
        <v>731</v>
      </c>
      <c r="B732" s="77">
        <v>50003923</v>
      </c>
      <c r="C732" s="78" t="s">
        <v>1900</v>
      </c>
      <c r="D732" s="79">
        <v>0.05</v>
      </c>
      <c r="E732" s="80">
        <v>30049029</v>
      </c>
      <c r="F732" s="81" t="s">
        <v>404</v>
      </c>
      <c r="G732" s="82" t="s">
        <v>1901</v>
      </c>
      <c r="H732" s="82" t="s">
        <v>406</v>
      </c>
      <c r="I732" s="79" t="s">
        <v>2693</v>
      </c>
      <c r="J732" s="83">
        <v>242.34</v>
      </c>
      <c r="K732" s="83">
        <v>184.64000000000001</v>
      </c>
      <c r="L732" s="83">
        <v>184.64000000000001</v>
      </c>
      <c r="M732" s="84">
        <v>166.17600000000002</v>
      </c>
      <c r="N732" s="59">
        <f t="shared" si="11"/>
        <v>0.31428571428571422</v>
      </c>
      <c r="O732" s="85" t="s">
        <v>1868</v>
      </c>
      <c r="P732" s="86" t="s">
        <v>4265</v>
      </c>
      <c r="Q732" s="87" t="s">
        <v>3208</v>
      </c>
      <c r="R732" s="87">
        <v>10</v>
      </c>
      <c r="S732" s="88">
        <v>24.234000000000002</v>
      </c>
      <c r="T732" s="88">
        <v>18.464000000000002</v>
      </c>
      <c r="U732" s="88">
        <v>16.617600000000003</v>
      </c>
      <c r="V732" s="87" t="s">
        <v>3061</v>
      </c>
      <c r="W732" s="87" t="s">
        <v>3104</v>
      </c>
      <c r="X732" s="90" t="s">
        <v>3478</v>
      </c>
      <c r="Y732" s="89"/>
      <c r="Z732" s="89">
        <v>3</v>
      </c>
      <c r="AA732" s="89" t="s">
        <v>3207</v>
      </c>
      <c r="AB732" s="89"/>
    </row>
    <row r="733" spans="1:28" s="31" customFormat="1" ht="60" customHeight="1" x14ac:dyDescent="0.2">
      <c r="A733" s="76">
        <v>732</v>
      </c>
      <c r="B733" s="77">
        <v>50003671</v>
      </c>
      <c r="C733" s="78" t="s">
        <v>1902</v>
      </c>
      <c r="D733" s="79">
        <v>0.05</v>
      </c>
      <c r="E733" s="80">
        <v>30049029</v>
      </c>
      <c r="F733" s="81" t="s">
        <v>1903</v>
      </c>
      <c r="G733" s="82" t="s">
        <v>1904</v>
      </c>
      <c r="H733" s="82" t="s">
        <v>3939</v>
      </c>
      <c r="I733" s="79" t="s">
        <v>2722</v>
      </c>
      <c r="J733" s="83">
        <v>153.74</v>
      </c>
      <c r="K733" s="83">
        <v>117.13523809523811</v>
      </c>
      <c r="L733" s="83">
        <v>117.13523809523811</v>
      </c>
      <c r="M733" s="84">
        <v>90.104029304029325</v>
      </c>
      <c r="N733" s="59">
        <f t="shared" si="11"/>
        <v>0.41391941391941384</v>
      </c>
      <c r="O733" s="85" t="s">
        <v>1868</v>
      </c>
      <c r="P733" s="86" t="s">
        <v>2865</v>
      </c>
      <c r="Q733" s="87" t="s">
        <v>3208</v>
      </c>
      <c r="R733" s="87">
        <v>1</v>
      </c>
      <c r="S733" s="88">
        <v>153.74</v>
      </c>
      <c r="T733" s="88">
        <v>117.13523809523811</v>
      </c>
      <c r="U733" s="88">
        <v>90.104029304029325</v>
      </c>
      <c r="V733" s="87" t="s">
        <v>3066</v>
      </c>
      <c r="W733" s="87" t="s">
        <v>3104</v>
      </c>
      <c r="X733" s="90" t="s">
        <v>3481</v>
      </c>
      <c r="Y733" s="89"/>
      <c r="Z733" s="89">
        <v>1</v>
      </c>
      <c r="AA733" s="89"/>
      <c r="AB733" s="89"/>
    </row>
    <row r="734" spans="1:28" s="31" customFormat="1" ht="60" customHeight="1" x14ac:dyDescent="0.2">
      <c r="A734" s="76">
        <v>733</v>
      </c>
      <c r="B734" s="77">
        <v>50003672</v>
      </c>
      <c r="C734" s="78" t="s">
        <v>1902</v>
      </c>
      <c r="D734" s="79">
        <v>0.05</v>
      </c>
      <c r="E734" s="80">
        <v>30049029</v>
      </c>
      <c r="F734" s="81" t="s">
        <v>1903</v>
      </c>
      <c r="G734" s="82" t="s">
        <v>1904</v>
      </c>
      <c r="H734" s="82" t="s">
        <v>3939</v>
      </c>
      <c r="I734" s="79" t="s">
        <v>2772</v>
      </c>
      <c r="J734" s="83">
        <v>307.49</v>
      </c>
      <c r="K734" s="83">
        <v>234.27809523809523</v>
      </c>
      <c r="L734" s="83">
        <v>234.27809523809523</v>
      </c>
      <c r="M734" s="84">
        <v>180.21625606117274</v>
      </c>
      <c r="N734" s="59">
        <f t="shared" si="11"/>
        <v>0.4139118148194324</v>
      </c>
      <c r="O734" s="85" t="s">
        <v>1868</v>
      </c>
      <c r="P734" s="86" t="s">
        <v>2865</v>
      </c>
      <c r="Q734" s="87" t="s">
        <v>3208</v>
      </c>
      <c r="R734" s="87">
        <v>1</v>
      </c>
      <c r="S734" s="88">
        <v>307.49</v>
      </c>
      <c r="T734" s="88">
        <v>234.27809523809523</v>
      </c>
      <c r="U734" s="88">
        <v>180.21625606117274</v>
      </c>
      <c r="V734" s="87" t="s">
        <v>3066</v>
      </c>
      <c r="W734" s="87" t="s">
        <v>3104</v>
      </c>
      <c r="X734" s="90" t="s">
        <v>3481</v>
      </c>
      <c r="Y734" s="89"/>
      <c r="Z734" s="89">
        <v>1</v>
      </c>
      <c r="AA734" s="89"/>
      <c r="AB734" s="89"/>
    </row>
    <row r="735" spans="1:28" s="31" customFormat="1" ht="60" customHeight="1" x14ac:dyDescent="0.2">
      <c r="A735" s="76">
        <v>734</v>
      </c>
      <c r="B735" s="77">
        <v>50003110</v>
      </c>
      <c r="C735" s="78" t="s">
        <v>1902</v>
      </c>
      <c r="D735" s="79">
        <v>0.05</v>
      </c>
      <c r="E735" s="80">
        <v>30049029</v>
      </c>
      <c r="F735" s="81" t="s">
        <v>1905</v>
      </c>
      <c r="G735" s="82" t="s">
        <v>1904</v>
      </c>
      <c r="H735" s="82" t="s">
        <v>3939</v>
      </c>
      <c r="I735" s="79" t="s">
        <v>2827</v>
      </c>
      <c r="J735" s="83">
        <v>402.18</v>
      </c>
      <c r="K735" s="83">
        <v>306.42285714285714</v>
      </c>
      <c r="L735" s="83">
        <v>306.42285714285714</v>
      </c>
      <c r="M735" s="84">
        <v>235.71098899049667</v>
      </c>
      <c r="N735" s="59">
        <f t="shared" si="11"/>
        <v>0.41391668160898931</v>
      </c>
      <c r="O735" s="85" t="s">
        <v>1868</v>
      </c>
      <c r="P735" s="86" t="s">
        <v>2747</v>
      </c>
      <c r="Q735" s="87" t="s">
        <v>3208</v>
      </c>
      <c r="R735" s="87">
        <v>1</v>
      </c>
      <c r="S735" s="88">
        <v>402.18</v>
      </c>
      <c r="T735" s="88">
        <v>306.42285714285714</v>
      </c>
      <c r="U735" s="88">
        <v>235.71098899049667</v>
      </c>
      <c r="V735" s="87" t="s">
        <v>3066</v>
      </c>
      <c r="W735" s="87" t="s">
        <v>3104</v>
      </c>
      <c r="X735" s="90" t="s">
        <v>3481</v>
      </c>
      <c r="Y735" s="89"/>
      <c r="Z735" s="89">
        <v>1</v>
      </c>
      <c r="AA735" s="89"/>
      <c r="AB735" s="89"/>
    </row>
    <row r="736" spans="1:28" s="31" customFormat="1" ht="60" customHeight="1" x14ac:dyDescent="0.2">
      <c r="A736" s="76">
        <v>735</v>
      </c>
      <c r="B736" s="77">
        <v>50003092</v>
      </c>
      <c r="C736" s="78" t="s">
        <v>1906</v>
      </c>
      <c r="D736" s="79">
        <v>0.05</v>
      </c>
      <c r="E736" s="80">
        <v>30049029</v>
      </c>
      <c r="F736" s="81" t="s">
        <v>1907</v>
      </c>
      <c r="G736" s="82" t="s">
        <v>1904</v>
      </c>
      <c r="H736" s="82" t="s">
        <v>4010</v>
      </c>
      <c r="I736" s="79" t="s">
        <v>3140</v>
      </c>
      <c r="J736" s="83">
        <v>248.41</v>
      </c>
      <c r="K736" s="83">
        <v>189.26476190476188</v>
      </c>
      <c r="L736" s="83">
        <v>189.26476190476188</v>
      </c>
      <c r="M736" s="84">
        <v>170.33828571428572</v>
      </c>
      <c r="N736" s="59">
        <f t="shared" si="11"/>
        <v>0.31428571428571428</v>
      </c>
      <c r="O736" s="85" t="s">
        <v>1868</v>
      </c>
      <c r="P736" s="86" t="s">
        <v>3468</v>
      </c>
      <c r="Q736" s="87" t="s">
        <v>3208</v>
      </c>
      <c r="R736" s="87">
        <v>1</v>
      </c>
      <c r="S736" s="88">
        <v>248.41</v>
      </c>
      <c r="T736" s="88">
        <v>189.26476190476188</v>
      </c>
      <c r="U736" s="88">
        <v>170.33828571428572</v>
      </c>
      <c r="V736" s="87" t="s">
        <v>3062</v>
      </c>
      <c r="W736" s="87" t="s">
        <v>3104</v>
      </c>
      <c r="X736" s="90" t="s">
        <v>3483</v>
      </c>
      <c r="Y736" s="89"/>
      <c r="Z736" s="89">
        <v>1</v>
      </c>
      <c r="AA736" s="89"/>
      <c r="AB736" s="89"/>
    </row>
    <row r="737" spans="1:28" s="31" customFormat="1" ht="60" customHeight="1" x14ac:dyDescent="0.2">
      <c r="A737" s="76">
        <v>736</v>
      </c>
      <c r="B737" s="77">
        <v>50005404</v>
      </c>
      <c r="C737" s="78" t="s">
        <v>4701</v>
      </c>
      <c r="D737" s="79">
        <v>0.18</v>
      </c>
      <c r="E737" s="80">
        <v>33049990</v>
      </c>
      <c r="F737" s="81" t="s">
        <v>4702</v>
      </c>
      <c r="G737" s="82" t="str">
        <f>F737</f>
        <v>Aqua (Water), Glycerin, Coco-Caprylate/Caprate, Niacinamide, Triheptanoin, Cetyl Alcohol, Propylene Glycol, Stearyl Alcohol,
Glyceryl Glucoside, Sorbitan Isostearate, Betaine, Butyrospermum Parkii (Shea) Butter, Dimethicone, Polyacrylate-13,
GlycerylStearate, PEG-100 Stearate, Xanthan Gum, Maltodextrin, Polyisobutene, Sodium Acrylates Copolymer, Sodium Stearoyl Glutam
SodiumHyaluronate, Lecithin, Polysorbate 20, Punica Granatum Pericarp Extract, Ceramide 3, Phenoxyethanol, BHT, Disodium EDTA,
Fragrance,Citric Acid, Ethylhexylglycerin</v>
      </c>
      <c r="H737" s="82"/>
      <c r="I737" s="79" t="s">
        <v>2684</v>
      </c>
      <c r="J737" s="83">
        <v>499</v>
      </c>
      <c r="K737" s="83">
        <v>338.30508474576271</v>
      </c>
      <c r="L737" s="83">
        <v>338.30508474576271</v>
      </c>
      <c r="M737" s="84">
        <v>304.47457627118644</v>
      </c>
      <c r="N737" s="59">
        <f t="shared" si="11"/>
        <v>0.38983050847457629</v>
      </c>
      <c r="O737" s="85" t="s">
        <v>1868</v>
      </c>
      <c r="P737" s="86" t="s">
        <v>4209</v>
      </c>
      <c r="Q737" s="87" t="s">
        <v>3208</v>
      </c>
      <c r="R737" s="87">
        <v>1</v>
      </c>
      <c r="S737" s="88">
        <v>499</v>
      </c>
      <c r="T737" s="88">
        <v>338.30508474576271</v>
      </c>
      <c r="U737" s="88">
        <v>304.47457627118644</v>
      </c>
      <c r="V737" s="87" t="s">
        <v>3066</v>
      </c>
      <c r="W737" s="87" t="s">
        <v>3104</v>
      </c>
      <c r="X737" s="90" t="s">
        <v>3481</v>
      </c>
      <c r="Y737" s="89"/>
      <c r="Z737" s="89"/>
      <c r="AA737" s="89"/>
      <c r="AB737" s="89"/>
    </row>
    <row r="738" spans="1:28" s="31" customFormat="1" ht="60" customHeight="1" x14ac:dyDescent="0.2">
      <c r="A738" s="76">
        <v>737</v>
      </c>
      <c r="B738" s="77">
        <v>50003076</v>
      </c>
      <c r="C738" s="78" t="s">
        <v>1908</v>
      </c>
      <c r="D738" s="79">
        <v>0.18</v>
      </c>
      <c r="E738" s="80">
        <v>33049910</v>
      </c>
      <c r="F738" s="81" t="s">
        <v>4766</v>
      </c>
      <c r="G738" s="82" t="s">
        <v>1909</v>
      </c>
      <c r="H738" s="82" t="s">
        <v>85</v>
      </c>
      <c r="I738" s="79" t="s">
        <v>2828</v>
      </c>
      <c r="J738" s="83">
        <v>460</v>
      </c>
      <c r="K738" s="83">
        <v>311.86440677966101</v>
      </c>
      <c r="L738" s="83">
        <v>311.86440677966101</v>
      </c>
      <c r="M738" s="84">
        <v>280.67796610169489</v>
      </c>
      <c r="N738" s="59">
        <f t="shared" si="11"/>
        <v>0.38983050847457634</v>
      </c>
      <c r="O738" s="85" t="s">
        <v>1868</v>
      </c>
      <c r="P738" s="86" t="s">
        <v>4669</v>
      </c>
      <c r="Q738" s="87" t="s">
        <v>3208</v>
      </c>
      <c r="R738" s="87">
        <v>1</v>
      </c>
      <c r="S738" s="88">
        <v>460</v>
      </c>
      <c r="T738" s="88">
        <v>311.86440677966101</v>
      </c>
      <c r="U738" s="88">
        <v>280.67796610169489</v>
      </c>
      <c r="V738" s="87" t="s">
        <v>3066</v>
      </c>
      <c r="W738" s="87" t="s">
        <v>3104</v>
      </c>
      <c r="X738" s="90" t="s">
        <v>3481</v>
      </c>
      <c r="Y738" s="89"/>
      <c r="Z738" s="89">
        <v>1</v>
      </c>
      <c r="AA738" s="89" t="s">
        <v>3207</v>
      </c>
      <c r="AB738" s="89"/>
    </row>
    <row r="739" spans="1:28" s="31" customFormat="1" ht="60" customHeight="1" x14ac:dyDescent="0.2">
      <c r="A739" s="76">
        <v>738</v>
      </c>
      <c r="B739" s="77">
        <v>50003077</v>
      </c>
      <c r="C739" s="78" t="s">
        <v>1911</v>
      </c>
      <c r="D739" s="79">
        <v>0.18</v>
      </c>
      <c r="E739" s="80">
        <v>33049930</v>
      </c>
      <c r="F739" s="81" t="s">
        <v>1912</v>
      </c>
      <c r="G739" s="82" t="s">
        <v>1912</v>
      </c>
      <c r="H739" s="82" t="s">
        <v>85</v>
      </c>
      <c r="I739" s="79" t="s">
        <v>2893</v>
      </c>
      <c r="J739" s="83">
        <v>649</v>
      </c>
      <c r="K739" s="83">
        <v>440</v>
      </c>
      <c r="L739" s="83">
        <v>440</v>
      </c>
      <c r="M739" s="84">
        <v>395.99999999999994</v>
      </c>
      <c r="N739" s="59">
        <f t="shared" si="11"/>
        <v>0.38983050847457634</v>
      </c>
      <c r="O739" s="85" t="s">
        <v>1868</v>
      </c>
      <c r="P739" s="86" t="s">
        <v>1910</v>
      </c>
      <c r="Q739" s="87" t="s">
        <v>3208</v>
      </c>
      <c r="R739" s="87">
        <v>1</v>
      </c>
      <c r="S739" s="88">
        <v>649</v>
      </c>
      <c r="T739" s="88">
        <v>440</v>
      </c>
      <c r="U739" s="88">
        <v>395.99999999999994</v>
      </c>
      <c r="V739" s="87" t="s">
        <v>3062</v>
      </c>
      <c r="W739" s="87" t="s">
        <v>3104</v>
      </c>
      <c r="X739" s="90" t="s">
        <v>3483</v>
      </c>
      <c r="Y739" s="89"/>
      <c r="Z739" s="89">
        <v>1</v>
      </c>
      <c r="AA739" s="89" t="s">
        <v>3207</v>
      </c>
      <c r="AB739" s="89"/>
    </row>
    <row r="740" spans="1:28" s="31" customFormat="1" ht="60" customHeight="1" x14ac:dyDescent="0.2">
      <c r="A740" s="76">
        <v>739</v>
      </c>
      <c r="B740" s="77">
        <v>50001149</v>
      </c>
      <c r="C740" s="78" t="s">
        <v>1913</v>
      </c>
      <c r="D740" s="79">
        <v>0.05</v>
      </c>
      <c r="E740" s="80">
        <v>30043200</v>
      </c>
      <c r="F740" s="81" t="s">
        <v>1914</v>
      </c>
      <c r="G740" s="82" t="s">
        <v>1915</v>
      </c>
      <c r="H740" s="82" t="s">
        <v>257</v>
      </c>
      <c r="I740" s="79" t="s">
        <v>2722</v>
      </c>
      <c r="J740" s="83">
        <v>248.43</v>
      </c>
      <c r="K740" s="83">
        <v>189.28</v>
      </c>
      <c r="L740" s="83">
        <v>189.28</v>
      </c>
      <c r="M740" s="84">
        <v>170.35199999999998</v>
      </c>
      <c r="N740" s="59">
        <f t="shared" si="11"/>
        <v>0.31428571428571439</v>
      </c>
      <c r="O740" s="85" t="s">
        <v>1868</v>
      </c>
      <c r="P740" s="86" t="s">
        <v>630</v>
      </c>
      <c r="Q740" s="87" t="s">
        <v>3208</v>
      </c>
      <c r="R740" s="87">
        <v>1</v>
      </c>
      <c r="S740" s="88">
        <v>248.43</v>
      </c>
      <c r="T740" s="88">
        <v>189.28</v>
      </c>
      <c r="U740" s="88">
        <v>170.35199999999998</v>
      </c>
      <c r="V740" s="87" t="s">
        <v>3066</v>
      </c>
      <c r="W740" s="87" t="s">
        <v>3104</v>
      </c>
      <c r="X740" s="90" t="s">
        <v>3481</v>
      </c>
      <c r="Y740" s="89"/>
      <c r="Z740" s="89">
        <v>1</v>
      </c>
      <c r="AA740" s="89"/>
      <c r="AB740" s="89"/>
    </row>
    <row r="741" spans="1:28" s="31" customFormat="1" ht="60" customHeight="1" x14ac:dyDescent="0.2">
      <c r="A741" s="76">
        <v>740</v>
      </c>
      <c r="B741" s="77">
        <v>50003133</v>
      </c>
      <c r="C741" s="78" t="s">
        <v>1916</v>
      </c>
      <c r="D741" s="79">
        <v>0.05</v>
      </c>
      <c r="E741" s="80">
        <v>30049099</v>
      </c>
      <c r="F741" s="81" t="s">
        <v>1917</v>
      </c>
      <c r="G741" s="82" t="s">
        <v>1918</v>
      </c>
      <c r="H741" s="82" t="s">
        <v>4011</v>
      </c>
      <c r="I741" s="79" t="s">
        <v>2722</v>
      </c>
      <c r="J741" s="83">
        <v>361.63</v>
      </c>
      <c r="K741" s="83">
        <v>275.52761904761905</v>
      </c>
      <c r="L741" s="83">
        <v>275.52761904761905</v>
      </c>
      <c r="M741" s="84">
        <v>247.97485714285716</v>
      </c>
      <c r="N741" s="59">
        <f t="shared" si="11"/>
        <v>0.31428571428571422</v>
      </c>
      <c r="O741" s="85" t="s">
        <v>1868</v>
      </c>
      <c r="P741" s="86" t="s">
        <v>3531</v>
      </c>
      <c r="Q741" s="87" t="s">
        <v>3208</v>
      </c>
      <c r="R741" s="87">
        <v>1</v>
      </c>
      <c r="S741" s="88">
        <v>361.63</v>
      </c>
      <c r="T741" s="88">
        <v>275.52761904761905</v>
      </c>
      <c r="U741" s="88">
        <v>247.97485714285716</v>
      </c>
      <c r="V741" s="87" t="s">
        <v>3066</v>
      </c>
      <c r="W741" s="87" t="s">
        <v>3104</v>
      </c>
      <c r="X741" s="90" t="s">
        <v>3486</v>
      </c>
      <c r="Y741" s="89"/>
      <c r="Z741" s="89">
        <v>1</v>
      </c>
      <c r="AA741" s="89" t="s">
        <v>3207</v>
      </c>
      <c r="AB741" s="89"/>
    </row>
    <row r="742" spans="1:28" s="31" customFormat="1" ht="60" customHeight="1" x14ac:dyDescent="0.2">
      <c r="A742" s="76">
        <v>741</v>
      </c>
      <c r="B742" s="77">
        <v>50005148</v>
      </c>
      <c r="C742" s="78" t="s">
        <v>1919</v>
      </c>
      <c r="D742" s="79">
        <v>0.18</v>
      </c>
      <c r="E742" s="80">
        <v>33049990</v>
      </c>
      <c r="F742" s="81" t="s">
        <v>1920</v>
      </c>
      <c r="G742" s="82" t="s">
        <v>1920</v>
      </c>
      <c r="H742" s="82" t="s">
        <v>3528</v>
      </c>
      <c r="I742" s="79" t="s">
        <v>2722</v>
      </c>
      <c r="J742" s="83">
        <v>690</v>
      </c>
      <c r="K742" s="83">
        <v>467.79661016949149</v>
      </c>
      <c r="L742" s="83">
        <v>467.79661016949149</v>
      </c>
      <c r="M742" s="84">
        <v>421.01694915254234</v>
      </c>
      <c r="N742" s="59">
        <f t="shared" si="11"/>
        <v>0.38983050847457634</v>
      </c>
      <c r="O742" s="85" t="s">
        <v>1868</v>
      </c>
      <c r="P742" s="86" t="s">
        <v>3532</v>
      </c>
      <c r="Q742" s="87" t="s">
        <v>3208</v>
      </c>
      <c r="R742" s="87">
        <v>1</v>
      </c>
      <c r="S742" s="88">
        <v>690</v>
      </c>
      <c r="T742" s="88">
        <v>467.79661016949149</v>
      </c>
      <c r="U742" s="88">
        <v>421.01694915254234</v>
      </c>
      <c r="V742" s="87" t="s">
        <v>3066</v>
      </c>
      <c r="W742" s="87" t="s">
        <v>3104</v>
      </c>
      <c r="X742" s="90" t="s">
        <v>3486</v>
      </c>
      <c r="Y742" s="89"/>
      <c r="Z742" s="89">
        <v>1</v>
      </c>
      <c r="AA742" s="89" t="s">
        <v>3207</v>
      </c>
      <c r="AB742" s="89"/>
    </row>
    <row r="743" spans="1:28" s="31" customFormat="1" ht="60" customHeight="1" x14ac:dyDescent="0.2">
      <c r="A743" s="76">
        <v>742</v>
      </c>
      <c r="B743" s="77">
        <v>50003032</v>
      </c>
      <c r="C743" s="78" t="s">
        <v>1921</v>
      </c>
      <c r="D743" s="79">
        <v>0.18</v>
      </c>
      <c r="E743" s="80">
        <v>33049910</v>
      </c>
      <c r="F743" s="81" t="s">
        <v>1922</v>
      </c>
      <c r="G743" s="82" t="s">
        <v>1922</v>
      </c>
      <c r="H743" s="82" t="s">
        <v>85</v>
      </c>
      <c r="I743" s="79" t="s">
        <v>2809</v>
      </c>
      <c r="J743" s="83">
        <v>499</v>
      </c>
      <c r="K743" s="83">
        <v>338.30508474576271</v>
      </c>
      <c r="L743" s="83">
        <v>338.30508474576271</v>
      </c>
      <c r="M743" s="84">
        <v>304.47457627118638</v>
      </c>
      <c r="N743" s="59">
        <f t="shared" si="11"/>
        <v>0.3898305084745764</v>
      </c>
      <c r="O743" s="85" t="s">
        <v>1868</v>
      </c>
      <c r="P743" s="86" t="s">
        <v>4669</v>
      </c>
      <c r="Q743" s="87" t="s">
        <v>3208</v>
      </c>
      <c r="R743" s="87">
        <v>1</v>
      </c>
      <c r="S743" s="88">
        <v>499</v>
      </c>
      <c r="T743" s="88">
        <v>338.30508474576271</v>
      </c>
      <c r="U743" s="88">
        <v>304.47457627118638</v>
      </c>
      <c r="V743" s="87" t="s">
        <v>3066</v>
      </c>
      <c r="W743" s="87" t="s">
        <v>3104</v>
      </c>
      <c r="X743" s="90" t="s">
        <v>3481</v>
      </c>
      <c r="Y743" s="89"/>
      <c r="Z743" s="89">
        <v>1</v>
      </c>
      <c r="AA743" s="89"/>
      <c r="AB743" s="89"/>
    </row>
    <row r="744" spans="1:28" s="31" customFormat="1" ht="60" customHeight="1" x14ac:dyDescent="0.2">
      <c r="A744" s="76">
        <v>743</v>
      </c>
      <c r="B744" s="77">
        <v>50005191</v>
      </c>
      <c r="C744" s="78" t="s">
        <v>3175</v>
      </c>
      <c r="D744" s="79">
        <v>0.05</v>
      </c>
      <c r="E744" s="80">
        <v>30049099</v>
      </c>
      <c r="F744" s="81" t="s">
        <v>3176</v>
      </c>
      <c r="G744" s="82" t="s">
        <v>735</v>
      </c>
      <c r="H744" s="82" t="s">
        <v>72</v>
      </c>
      <c r="I744" s="79" t="s">
        <v>2666</v>
      </c>
      <c r="J744" s="83">
        <v>159</v>
      </c>
      <c r="K744" s="83">
        <v>121.14285714285714</v>
      </c>
      <c r="L744" s="83">
        <v>121.14285714285714</v>
      </c>
      <c r="M744" s="84">
        <v>109.02857142857142</v>
      </c>
      <c r="N744" s="59">
        <f t="shared" si="11"/>
        <v>0.31428571428571433</v>
      </c>
      <c r="O744" s="85" t="s">
        <v>1868</v>
      </c>
      <c r="P744" s="86" t="s">
        <v>53</v>
      </c>
      <c r="Q744" s="87" t="s">
        <v>3207</v>
      </c>
      <c r="R744" s="87">
        <v>10</v>
      </c>
      <c r="S744" s="88">
        <v>15.9</v>
      </c>
      <c r="T744" s="88">
        <v>12.114285714285714</v>
      </c>
      <c r="U744" s="88">
        <v>10.902857142857142</v>
      </c>
      <c r="V744" s="87" t="s">
        <v>3061</v>
      </c>
      <c r="W744" s="87" t="s">
        <v>3117</v>
      </c>
      <c r="X744" s="90" t="s">
        <v>3477</v>
      </c>
      <c r="Y744" s="89"/>
      <c r="Z744" s="89">
        <v>4</v>
      </c>
      <c r="AA744" s="89"/>
      <c r="AB744" s="89"/>
    </row>
    <row r="745" spans="1:28" s="31" customFormat="1" ht="60" customHeight="1" x14ac:dyDescent="0.2">
      <c r="A745" s="76">
        <v>744</v>
      </c>
      <c r="B745" s="77">
        <v>50005804</v>
      </c>
      <c r="C745" s="78" t="s">
        <v>4282</v>
      </c>
      <c r="D745" s="79">
        <v>0.18</v>
      </c>
      <c r="E745" s="80">
        <v>33049990</v>
      </c>
      <c r="F745" s="81" t="s">
        <v>4283</v>
      </c>
      <c r="G745" s="82" t="str">
        <f>F745</f>
        <v>Composition:
Purified Water, Uvinrl MC 80, Dow Corning ST Cyclomethicone 5 NF, C12 15 Alkyl
Benzoate, Arlacel 165, Parsol TX,Parsol
1789 (Avobenzone), Cetostearyl Alcohol,
Niacinamide, Valvance Touch 210, Tinosorb S, Uvinul T 150, Vitamin E Acetate,Hyaluronic
Acid Solution, Euxyl PE 9010, RH 60, Allantoin, Propylene Glycol, Propylene
Glycol, BHT, Ultrez 21, TEA, Citric Acid,Di Sodium EDTA,Xanthan Gum, Centella Asiatica
Leaf Extract, Esse.oil</v>
      </c>
      <c r="H745" s="82"/>
      <c r="I745" s="79" t="s">
        <v>2704</v>
      </c>
      <c r="J745" s="83">
        <v>699</v>
      </c>
      <c r="K745" s="83">
        <v>473.8983050847458</v>
      </c>
      <c r="L745" s="83">
        <v>473.8983050847458</v>
      </c>
      <c r="M745" s="84">
        <v>426.50847457627123</v>
      </c>
      <c r="N745" s="59">
        <f t="shared" si="11"/>
        <v>0.38983050847457623</v>
      </c>
      <c r="O745" s="85" t="s">
        <v>1868</v>
      </c>
      <c r="P745" s="86" t="s">
        <v>235</v>
      </c>
      <c r="Q745" s="87" t="s">
        <v>3208</v>
      </c>
      <c r="R745" s="87">
        <v>1</v>
      </c>
      <c r="S745" s="88">
        <v>699</v>
      </c>
      <c r="T745" s="88">
        <v>473.8983050847458</v>
      </c>
      <c r="U745" s="88">
        <v>426.50847457627123</v>
      </c>
      <c r="V745" s="87" t="s">
        <v>3066</v>
      </c>
      <c r="W745" s="87" t="s">
        <v>3104</v>
      </c>
      <c r="X745" s="90" t="s">
        <v>4297</v>
      </c>
      <c r="Y745" s="89"/>
      <c r="Z745" s="89"/>
      <c r="AA745" s="89"/>
      <c r="AB745" s="89"/>
    </row>
    <row r="746" spans="1:28" s="31" customFormat="1" ht="60" customHeight="1" x14ac:dyDescent="0.2">
      <c r="A746" s="76">
        <v>745</v>
      </c>
      <c r="B746" s="77">
        <v>50003012</v>
      </c>
      <c r="C746" s="78" t="s">
        <v>1923</v>
      </c>
      <c r="D746" s="79">
        <v>0.18</v>
      </c>
      <c r="E746" s="80">
        <v>33049990</v>
      </c>
      <c r="F746" s="81" t="s">
        <v>1924</v>
      </c>
      <c r="G746" s="82" t="s">
        <v>1924</v>
      </c>
      <c r="H746" s="82" t="s">
        <v>85</v>
      </c>
      <c r="I746" s="79" t="s">
        <v>2827</v>
      </c>
      <c r="J746" s="83">
        <v>699</v>
      </c>
      <c r="K746" s="83">
        <v>473.8983050847458</v>
      </c>
      <c r="L746" s="83">
        <v>473.8983050847458</v>
      </c>
      <c r="M746" s="84">
        <v>426.50847457627111</v>
      </c>
      <c r="N746" s="59">
        <f t="shared" si="11"/>
        <v>0.3898305084745764</v>
      </c>
      <c r="O746" s="85" t="s">
        <v>1868</v>
      </c>
      <c r="P746" s="86" t="s">
        <v>235</v>
      </c>
      <c r="Q746" s="87" t="s">
        <v>3208</v>
      </c>
      <c r="R746" s="87">
        <v>1</v>
      </c>
      <c r="S746" s="88">
        <v>699</v>
      </c>
      <c r="T746" s="88">
        <v>473.8983050847458</v>
      </c>
      <c r="U746" s="88">
        <v>426.50847457627111</v>
      </c>
      <c r="V746" s="87" t="s">
        <v>3066</v>
      </c>
      <c r="W746" s="87" t="s">
        <v>3104</v>
      </c>
      <c r="X746" s="90" t="s">
        <v>3486</v>
      </c>
      <c r="Y746" s="89"/>
      <c r="Z746" s="89">
        <v>1</v>
      </c>
      <c r="AA746" s="89" t="s">
        <v>3207</v>
      </c>
      <c r="AB746" s="89"/>
    </row>
    <row r="747" spans="1:28" s="31" customFormat="1" ht="60" customHeight="1" x14ac:dyDescent="0.2">
      <c r="A747" s="76">
        <v>746</v>
      </c>
      <c r="B747" s="77">
        <v>50003287</v>
      </c>
      <c r="C747" s="78" t="s">
        <v>1925</v>
      </c>
      <c r="D747" s="79">
        <v>0.18</v>
      </c>
      <c r="E747" s="80">
        <v>33049990</v>
      </c>
      <c r="F747" s="81" t="s">
        <v>1926</v>
      </c>
      <c r="G747" s="82" t="s">
        <v>1926</v>
      </c>
      <c r="H747" s="82" t="s">
        <v>85</v>
      </c>
      <c r="I747" s="79" t="s">
        <v>2827</v>
      </c>
      <c r="J747" s="83">
        <v>945</v>
      </c>
      <c r="K747" s="83">
        <v>640.67796610169489</v>
      </c>
      <c r="L747" s="83">
        <v>640.67796610169489</v>
      </c>
      <c r="M747" s="84">
        <v>576.61016949152543</v>
      </c>
      <c r="N747" s="59">
        <f t="shared" si="11"/>
        <v>0.38983050847457629</v>
      </c>
      <c r="O747" s="85" t="s">
        <v>1868</v>
      </c>
      <c r="P747" s="86" t="s">
        <v>2686</v>
      </c>
      <c r="Q747" s="87" t="s">
        <v>3208</v>
      </c>
      <c r="R747" s="87">
        <v>1</v>
      </c>
      <c r="S747" s="88">
        <v>945</v>
      </c>
      <c r="T747" s="88">
        <v>640.67796610169489</v>
      </c>
      <c r="U747" s="88">
        <v>576.61016949152543</v>
      </c>
      <c r="V747" s="87" t="s">
        <v>3066</v>
      </c>
      <c r="W747" s="87" t="s">
        <v>3104</v>
      </c>
      <c r="X747" s="90" t="s">
        <v>3486</v>
      </c>
      <c r="Y747" s="89"/>
      <c r="Z747" s="89">
        <v>1</v>
      </c>
      <c r="AA747" s="89" t="s">
        <v>3207</v>
      </c>
      <c r="AB747" s="89"/>
    </row>
    <row r="748" spans="1:28" s="31" customFormat="1" ht="60" customHeight="1" x14ac:dyDescent="0.2">
      <c r="A748" s="76">
        <v>747</v>
      </c>
      <c r="B748" s="77">
        <v>50003078</v>
      </c>
      <c r="C748" s="78" t="s">
        <v>1927</v>
      </c>
      <c r="D748" s="79">
        <v>0.05</v>
      </c>
      <c r="E748" s="80">
        <v>30049099</v>
      </c>
      <c r="F748" s="81" t="s">
        <v>1928</v>
      </c>
      <c r="G748" s="82" t="s">
        <v>1929</v>
      </c>
      <c r="H748" s="82" t="s">
        <v>72</v>
      </c>
      <c r="I748" s="79" t="s">
        <v>2831</v>
      </c>
      <c r="J748" s="83">
        <v>166.02</v>
      </c>
      <c r="K748" s="83">
        <v>126.49142857142859</v>
      </c>
      <c r="L748" s="83">
        <v>126.49142857142859</v>
      </c>
      <c r="M748" s="84">
        <v>113.84228571428572</v>
      </c>
      <c r="N748" s="59">
        <f t="shared" si="11"/>
        <v>0.31428571428571428</v>
      </c>
      <c r="O748" s="85" t="s">
        <v>1868</v>
      </c>
      <c r="P748" s="86" t="s">
        <v>1930</v>
      </c>
      <c r="Q748" s="87" t="s">
        <v>3208</v>
      </c>
      <c r="R748" s="87">
        <v>3</v>
      </c>
      <c r="S748" s="88">
        <v>55.34</v>
      </c>
      <c r="T748" s="88">
        <v>42.163809523809526</v>
      </c>
      <c r="U748" s="88">
        <v>37.947428571428574</v>
      </c>
      <c r="V748" s="87" t="s">
        <v>3061</v>
      </c>
      <c r="W748" s="87" t="s">
        <v>3120</v>
      </c>
      <c r="X748" s="90" t="s">
        <v>3477</v>
      </c>
      <c r="Y748" s="89"/>
      <c r="Z748" s="89">
        <v>1</v>
      </c>
      <c r="AA748" s="89"/>
      <c r="AB748" s="89"/>
    </row>
    <row r="749" spans="1:28" s="31" customFormat="1" ht="60" customHeight="1" x14ac:dyDescent="0.2">
      <c r="A749" s="76">
        <v>748</v>
      </c>
      <c r="B749" s="77">
        <v>50003079</v>
      </c>
      <c r="C749" s="78" t="s">
        <v>1931</v>
      </c>
      <c r="D749" s="79">
        <v>0.05</v>
      </c>
      <c r="E749" s="80">
        <v>30049099</v>
      </c>
      <c r="F749" s="81" t="s">
        <v>1932</v>
      </c>
      <c r="G749" s="82" t="s">
        <v>1933</v>
      </c>
      <c r="H749" s="82" t="s">
        <v>607</v>
      </c>
      <c r="I749" s="79" t="s">
        <v>2831</v>
      </c>
      <c r="J749" s="83">
        <v>276.55</v>
      </c>
      <c r="K749" s="83">
        <v>210.70476190476194</v>
      </c>
      <c r="L749" s="83">
        <v>210.70476190476194</v>
      </c>
      <c r="M749" s="84">
        <v>189.63428571428571</v>
      </c>
      <c r="N749" s="59">
        <f t="shared" si="11"/>
        <v>0.31428571428571433</v>
      </c>
      <c r="O749" s="85" t="s">
        <v>1868</v>
      </c>
      <c r="P749" s="86" t="s">
        <v>1930</v>
      </c>
      <c r="Q749" s="87" t="s">
        <v>3208</v>
      </c>
      <c r="R749" s="87">
        <v>3</v>
      </c>
      <c r="S749" s="88">
        <v>92.183333333333337</v>
      </c>
      <c r="T749" s="88">
        <v>70.234920634920641</v>
      </c>
      <c r="U749" s="88">
        <v>63.21142857142857</v>
      </c>
      <c r="V749" s="87" t="s">
        <v>3061</v>
      </c>
      <c r="W749" s="87" t="s">
        <v>3120</v>
      </c>
      <c r="X749" s="90" t="s">
        <v>3477</v>
      </c>
      <c r="Y749" s="89"/>
      <c r="Z749" s="89">
        <v>1</v>
      </c>
      <c r="AA749" s="89"/>
      <c r="AB749" s="89"/>
    </row>
    <row r="750" spans="1:28" s="31" customFormat="1" ht="60" customHeight="1" x14ac:dyDescent="0.2">
      <c r="A750" s="76">
        <v>749</v>
      </c>
      <c r="B750" s="77">
        <v>50002581</v>
      </c>
      <c r="C750" s="78" t="s">
        <v>1934</v>
      </c>
      <c r="D750" s="79">
        <v>0.05</v>
      </c>
      <c r="E750" s="80">
        <v>21069099</v>
      </c>
      <c r="F750" s="81" t="s">
        <v>1935</v>
      </c>
      <c r="G750" s="82" t="s">
        <v>1936</v>
      </c>
      <c r="H750" s="82" t="s">
        <v>4012</v>
      </c>
      <c r="I750" s="79" t="s">
        <v>2666</v>
      </c>
      <c r="J750" s="83">
        <v>177</v>
      </c>
      <c r="K750" s="83">
        <v>134.85714285714286</v>
      </c>
      <c r="L750" s="83">
        <v>134.85714285714286</v>
      </c>
      <c r="M750" s="84">
        <v>121.37142857142858</v>
      </c>
      <c r="N750" s="59">
        <f t="shared" si="11"/>
        <v>0.31428571428571422</v>
      </c>
      <c r="O750" s="85" t="s">
        <v>1868</v>
      </c>
      <c r="P750" s="86" t="s">
        <v>82</v>
      </c>
      <c r="Q750" s="87" t="s">
        <v>3208</v>
      </c>
      <c r="R750" s="87">
        <v>10</v>
      </c>
      <c r="S750" s="88">
        <v>17.7</v>
      </c>
      <c r="T750" s="88">
        <v>13.485714285714286</v>
      </c>
      <c r="U750" s="88">
        <v>12.137142857142859</v>
      </c>
      <c r="V750" s="87" t="s">
        <v>3061</v>
      </c>
      <c r="W750" s="87" t="s">
        <v>3108</v>
      </c>
      <c r="X750" s="90" t="s">
        <v>3477</v>
      </c>
      <c r="Y750" s="89"/>
      <c r="Z750" s="89">
        <v>3</v>
      </c>
      <c r="AA750" s="89"/>
      <c r="AB750" s="89"/>
    </row>
    <row r="751" spans="1:28" s="31" customFormat="1" ht="60" customHeight="1" x14ac:dyDescent="0.2">
      <c r="A751" s="76">
        <v>750</v>
      </c>
      <c r="B751" s="77">
        <v>50003845</v>
      </c>
      <c r="C751" s="78" t="s">
        <v>1937</v>
      </c>
      <c r="D751" s="79">
        <v>0.05</v>
      </c>
      <c r="E751" s="80">
        <v>30049029</v>
      </c>
      <c r="F751" s="81" t="s">
        <v>1938</v>
      </c>
      <c r="G751" s="82" t="s">
        <v>1939</v>
      </c>
      <c r="H751" s="82" t="s">
        <v>1940</v>
      </c>
      <c r="I751" s="79" t="s">
        <v>2682</v>
      </c>
      <c r="J751" s="83">
        <v>368.09</v>
      </c>
      <c r="K751" s="83">
        <v>280.44952380952384</v>
      </c>
      <c r="L751" s="83">
        <v>280.44952380952384</v>
      </c>
      <c r="M751" s="84">
        <v>252.40457142857144</v>
      </c>
      <c r="N751" s="59">
        <f t="shared" si="11"/>
        <v>0.31428571428571422</v>
      </c>
      <c r="O751" s="85" t="s">
        <v>1868</v>
      </c>
      <c r="P751" s="86" t="s">
        <v>235</v>
      </c>
      <c r="Q751" s="87" t="s">
        <v>3208</v>
      </c>
      <c r="R751" s="87">
        <v>1</v>
      </c>
      <c r="S751" s="88">
        <v>368.09</v>
      </c>
      <c r="T751" s="88">
        <v>280.44952380952384</v>
      </c>
      <c r="U751" s="88">
        <v>252.40457142857144</v>
      </c>
      <c r="V751" s="87" t="s">
        <v>3062</v>
      </c>
      <c r="W751" s="87" t="s">
        <v>3104</v>
      </c>
      <c r="X751" s="90" t="s">
        <v>3487</v>
      </c>
      <c r="Y751" s="89"/>
      <c r="Z751" s="89">
        <v>1</v>
      </c>
      <c r="AA751" s="89"/>
      <c r="AB751" s="89"/>
    </row>
    <row r="752" spans="1:28" s="31" customFormat="1" ht="60" customHeight="1" x14ac:dyDescent="0.2">
      <c r="A752" s="76">
        <v>751</v>
      </c>
      <c r="B752" s="77">
        <v>50005432</v>
      </c>
      <c r="C752" s="78" t="s">
        <v>4199</v>
      </c>
      <c r="D752" s="79">
        <v>0.18</v>
      </c>
      <c r="E752" s="80">
        <v>33049990</v>
      </c>
      <c r="F752" s="81" t="s">
        <v>4200</v>
      </c>
      <c r="G752" s="82" t="str">
        <f>F752</f>
        <v>Composition:
Aqua, Sodium C14-16 Olefin Sulfonate, Salicylic Acid, Cocamidopropyl Hydroxysultaine, Glycerin, Butylene Glycol,
Propylene Glycol, Mandelic Acid, Maltooligosyl Glucoside, Hydrogenated Starch Hydrolysate, Sodium Hyaluronate, Disodium EDTA,
Hydrogenated Palm Glycerides Citrate, Sodium Chloride, Glucose, Coco-Glucoside, Glyceryl Oleate, Sodium Cocoyl Glutamate,
Ethylhexylglycerin, Xanthan Gum, Zinc PCA, Phenoxyethanol, Allantoin, Tetrasodium EDTA, Tocopherol, Sodium Hydroxide, Citric Aci</v>
      </c>
      <c r="H752" s="82"/>
      <c r="I752" s="79" t="s">
        <v>2682</v>
      </c>
      <c r="J752" s="83">
        <v>600</v>
      </c>
      <c r="K752" s="83">
        <v>406.77966101694915</v>
      </c>
      <c r="L752" s="83">
        <v>406.77966101694915</v>
      </c>
      <c r="M752" s="84">
        <v>385.71428571428567</v>
      </c>
      <c r="N752" s="59">
        <f t="shared" si="11"/>
        <v>0.35714285714285721</v>
      </c>
      <c r="O752" s="85" t="s">
        <v>1868</v>
      </c>
      <c r="P752" s="86" t="s">
        <v>4209</v>
      </c>
      <c r="Q752" s="87" t="s">
        <v>3208</v>
      </c>
      <c r="R752" s="87">
        <v>1</v>
      </c>
      <c r="S752" s="88">
        <v>600</v>
      </c>
      <c r="T752" s="88">
        <v>406.77966101694915</v>
      </c>
      <c r="U752" s="88">
        <v>385.71428571428567</v>
      </c>
      <c r="V752" s="87" t="s">
        <v>3066</v>
      </c>
      <c r="W752" s="87" t="s">
        <v>3104</v>
      </c>
      <c r="X752" s="90" t="s">
        <v>4215</v>
      </c>
      <c r="Y752" s="89"/>
      <c r="Z752" s="89"/>
      <c r="AA752" s="89"/>
      <c r="AB752" s="89"/>
    </row>
    <row r="753" spans="1:28" s="31" customFormat="1" ht="60" customHeight="1" x14ac:dyDescent="0.2">
      <c r="A753" s="76">
        <v>752</v>
      </c>
      <c r="B753" s="77">
        <v>50002993</v>
      </c>
      <c r="C753" s="78" t="s">
        <v>1941</v>
      </c>
      <c r="D753" s="79">
        <v>0.05</v>
      </c>
      <c r="E753" s="80">
        <v>30049099</v>
      </c>
      <c r="F753" s="81" t="s">
        <v>1942</v>
      </c>
      <c r="G753" s="82" t="s">
        <v>1943</v>
      </c>
      <c r="H753" s="82" t="s">
        <v>30</v>
      </c>
      <c r="I753" s="79" t="s">
        <v>2693</v>
      </c>
      <c r="J753" s="83">
        <v>210.93</v>
      </c>
      <c r="K753" s="83">
        <v>160.70857142857142</v>
      </c>
      <c r="L753" s="83">
        <v>160.70857142857142</v>
      </c>
      <c r="M753" s="84">
        <v>144.63771428571431</v>
      </c>
      <c r="N753" s="59">
        <f t="shared" si="11"/>
        <v>0.31428571428571417</v>
      </c>
      <c r="O753" s="85" t="s">
        <v>1868</v>
      </c>
      <c r="P753" s="86" t="s">
        <v>1944</v>
      </c>
      <c r="Q753" s="87" t="s">
        <v>3208</v>
      </c>
      <c r="R753" s="87">
        <v>10</v>
      </c>
      <c r="S753" s="88">
        <v>21.093</v>
      </c>
      <c r="T753" s="88">
        <v>16.070857142857143</v>
      </c>
      <c r="U753" s="88">
        <v>14.46377142857143</v>
      </c>
      <c r="V753" s="87" t="s">
        <v>3061</v>
      </c>
      <c r="W753" s="87" t="s">
        <v>3104</v>
      </c>
      <c r="X753" s="90" t="s">
        <v>3478</v>
      </c>
      <c r="Y753" s="89"/>
      <c r="Z753" s="89">
        <v>1</v>
      </c>
      <c r="AA753" s="89"/>
      <c r="AB753" s="89"/>
    </row>
    <row r="754" spans="1:28" s="31" customFormat="1" ht="60" customHeight="1" x14ac:dyDescent="0.2">
      <c r="A754" s="76">
        <v>753</v>
      </c>
      <c r="B754" s="77">
        <v>50002996</v>
      </c>
      <c r="C754" s="78" t="s">
        <v>1945</v>
      </c>
      <c r="D754" s="79">
        <v>0.05</v>
      </c>
      <c r="E754" s="80">
        <v>30049099</v>
      </c>
      <c r="F754" s="81" t="s">
        <v>1946</v>
      </c>
      <c r="G754" s="82" t="s">
        <v>1947</v>
      </c>
      <c r="H754" s="82" t="s">
        <v>294</v>
      </c>
      <c r="I754" s="79" t="s">
        <v>2693</v>
      </c>
      <c r="J754" s="83">
        <v>309.37</v>
      </c>
      <c r="K754" s="83">
        <v>235.71047619047619</v>
      </c>
      <c r="L754" s="83">
        <v>235.71047619047619</v>
      </c>
      <c r="M754" s="84">
        <v>212.1394285714286</v>
      </c>
      <c r="N754" s="59">
        <f t="shared" si="11"/>
        <v>0.31428571428571422</v>
      </c>
      <c r="O754" s="85" t="s">
        <v>1868</v>
      </c>
      <c r="P754" s="86" t="s">
        <v>1944</v>
      </c>
      <c r="Q754" s="87" t="s">
        <v>3208</v>
      </c>
      <c r="R754" s="87">
        <v>10</v>
      </c>
      <c r="S754" s="88">
        <v>30.937000000000001</v>
      </c>
      <c r="T754" s="88">
        <v>23.571047619047619</v>
      </c>
      <c r="U754" s="88">
        <v>21.213942857142861</v>
      </c>
      <c r="V754" s="87" t="s">
        <v>3061</v>
      </c>
      <c r="W754" s="87" t="s">
        <v>3104</v>
      </c>
      <c r="X754" s="90" t="s">
        <v>3478</v>
      </c>
      <c r="Y754" s="89"/>
      <c r="Z754" s="89">
        <v>1</v>
      </c>
      <c r="AA754" s="89"/>
      <c r="AB754" s="89"/>
    </row>
    <row r="755" spans="1:28" s="31" customFormat="1" ht="60" customHeight="1" x14ac:dyDescent="0.2">
      <c r="A755" s="76">
        <v>754</v>
      </c>
      <c r="B755" s="77">
        <v>50001860</v>
      </c>
      <c r="C755" s="78" t="s">
        <v>1966</v>
      </c>
      <c r="D755" s="79">
        <v>0.05</v>
      </c>
      <c r="E755" s="80">
        <v>30049099</v>
      </c>
      <c r="F755" s="81" t="s">
        <v>1967</v>
      </c>
      <c r="G755" s="82" t="s">
        <v>1968</v>
      </c>
      <c r="H755" s="82" t="s">
        <v>4013</v>
      </c>
      <c r="I755" s="79" t="s">
        <v>2693</v>
      </c>
      <c r="J755" s="83">
        <v>224.6</v>
      </c>
      <c r="K755" s="83">
        <v>171.12380952380951</v>
      </c>
      <c r="L755" s="83">
        <v>142.60317460317461</v>
      </c>
      <c r="M755" s="84">
        <v>128.34285714285713</v>
      </c>
      <c r="N755" s="59">
        <f t="shared" si="11"/>
        <v>0.4285714285714286</v>
      </c>
      <c r="O755" s="85" t="s">
        <v>1969</v>
      </c>
      <c r="P755" s="86" t="s">
        <v>2901</v>
      </c>
      <c r="Q755" s="87" t="s">
        <v>3208</v>
      </c>
      <c r="R755" s="87">
        <v>10</v>
      </c>
      <c r="S755" s="88">
        <v>22.46</v>
      </c>
      <c r="T755" s="88">
        <v>14.260317460317461</v>
      </c>
      <c r="U755" s="88">
        <v>12.834285714285713</v>
      </c>
      <c r="V755" s="87" t="s">
        <v>3061</v>
      </c>
      <c r="W755" s="87" t="s">
        <v>3106</v>
      </c>
      <c r="X755" s="90" t="s">
        <v>3478</v>
      </c>
      <c r="Y755" s="89"/>
      <c r="Z755" s="89">
        <v>3</v>
      </c>
      <c r="AA755" s="89"/>
      <c r="AB755" s="89"/>
    </row>
    <row r="756" spans="1:28" s="31" customFormat="1" ht="60" customHeight="1" x14ac:dyDescent="0.2">
      <c r="A756" s="76">
        <v>755</v>
      </c>
      <c r="B756" s="77">
        <v>50001304</v>
      </c>
      <c r="C756" s="78" t="s">
        <v>1972</v>
      </c>
      <c r="D756" s="79">
        <v>0.05</v>
      </c>
      <c r="E756" s="80">
        <v>30049087</v>
      </c>
      <c r="F756" s="81" t="s">
        <v>1973</v>
      </c>
      <c r="G756" s="82" t="s">
        <v>1974</v>
      </c>
      <c r="H756" s="82" t="s">
        <v>3715</v>
      </c>
      <c r="I756" s="79" t="s">
        <v>2666</v>
      </c>
      <c r="J756" s="83">
        <v>181.49</v>
      </c>
      <c r="K756" s="83">
        <v>138.27809523809523</v>
      </c>
      <c r="L756" s="83">
        <v>126.75492063492062</v>
      </c>
      <c r="M756" s="84">
        <v>126.75492063492062</v>
      </c>
      <c r="N756" s="59">
        <f t="shared" si="11"/>
        <v>0.30158730158730168</v>
      </c>
      <c r="O756" s="85" t="s">
        <v>1969</v>
      </c>
      <c r="P756" s="86" t="s">
        <v>2902</v>
      </c>
      <c r="Q756" s="87" t="s">
        <v>3208</v>
      </c>
      <c r="R756" s="87">
        <v>10</v>
      </c>
      <c r="S756" s="88">
        <v>18.149000000000001</v>
      </c>
      <c r="T756" s="88">
        <v>12.675492063492062</v>
      </c>
      <c r="U756" s="88">
        <v>12.675492063492062</v>
      </c>
      <c r="V756" s="87" t="s">
        <v>3061</v>
      </c>
      <c r="W756" s="87" t="s">
        <v>3102</v>
      </c>
      <c r="X756" s="90" t="s">
        <v>3477</v>
      </c>
      <c r="Y756" s="89"/>
      <c r="Z756" s="89">
        <v>6</v>
      </c>
      <c r="AA756" s="89"/>
      <c r="AB756" s="89"/>
    </row>
    <row r="757" spans="1:28" s="31" customFormat="1" ht="60" customHeight="1" x14ac:dyDescent="0.2">
      <c r="A757" s="76">
        <v>756</v>
      </c>
      <c r="B757" s="77">
        <v>50002592</v>
      </c>
      <c r="C757" s="78" t="s">
        <v>1975</v>
      </c>
      <c r="D757" s="79">
        <v>0.05</v>
      </c>
      <c r="E757" s="80">
        <v>30042019</v>
      </c>
      <c r="F757" s="81" t="s">
        <v>1976</v>
      </c>
      <c r="G757" s="82" t="s">
        <v>1977</v>
      </c>
      <c r="H757" s="82" t="s">
        <v>246</v>
      </c>
      <c r="I757" s="79" t="s">
        <v>2666</v>
      </c>
      <c r="J757" s="83">
        <v>103.64</v>
      </c>
      <c r="K757" s="83">
        <v>78.96380952380953</v>
      </c>
      <c r="L757" s="83">
        <v>65.803174603174611</v>
      </c>
      <c r="M757" s="84">
        <v>65.803174603174611</v>
      </c>
      <c r="N757" s="59">
        <f t="shared" si="11"/>
        <v>0.365079365079365</v>
      </c>
      <c r="O757" s="85" t="s">
        <v>1969</v>
      </c>
      <c r="P757" s="86" t="s">
        <v>67</v>
      </c>
      <c r="Q757" s="87" t="s">
        <v>3207</v>
      </c>
      <c r="R757" s="87">
        <v>10</v>
      </c>
      <c r="S757" s="88">
        <v>10.364000000000001</v>
      </c>
      <c r="T757" s="88">
        <v>6.5803174603174615</v>
      </c>
      <c r="U757" s="88">
        <v>6.5803174603174615</v>
      </c>
      <c r="V757" s="87" t="s">
        <v>3061</v>
      </c>
      <c r="W757" s="87" t="s">
        <v>3102</v>
      </c>
      <c r="X757" s="90" t="s">
        <v>3477</v>
      </c>
      <c r="Y757" s="89"/>
      <c r="Z757" s="89">
        <v>6</v>
      </c>
      <c r="AA757" s="89"/>
      <c r="AB757" s="89"/>
    </row>
    <row r="758" spans="1:28" s="31" customFormat="1" ht="60" customHeight="1" x14ac:dyDescent="0.2">
      <c r="A758" s="76">
        <v>757</v>
      </c>
      <c r="B758" s="77">
        <v>50001240</v>
      </c>
      <c r="C758" s="78" t="s">
        <v>1978</v>
      </c>
      <c r="D758" s="79">
        <v>0.05</v>
      </c>
      <c r="E758" s="80">
        <v>30042019</v>
      </c>
      <c r="F758" s="81" t="s">
        <v>1979</v>
      </c>
      <c r="G758" s="82" t="s">
        <v>1980</v>
      </c>
      <c r="H758" s="82" t="s">
        <v>1981</v>
      </c>
      <c r="I758" s="79" t="s">
        <v>2678</v>
      </c>
      <c r="J758" s="83">
        <v>51.84</v>
      </c>
      <c r="K758" s="83">
        <v>39.497142857142862</v>
      </c>
      <c r="L758" s="83">
        <v>36.205714285714294</v>
      </c>
      <c r="M758" s="84">
        <v>36.205714285714294</v>
      </c>
      <c r="N758" s="59">
        <f t="shared" si="11"/>
        <v>0.30158730158730146</v>
      </c>
      <c r="O758" s="85" t="s">
        <v>1969</v>
      </c>
      <c r="P758" s="86" t="s">
        <v>2842</v>
      </c>
      <c r="Q758" s="87" t="s">
        <v>3207</v>
      </c>
      <c r="R758" s="87">
        <v>1</v>
      </c>
      <c r="S758" s="88">
        <v>51.84</v>
      </c>
      <c r="T758" s="88">
        <v>36.205714285714294</v>
      </c>
      <c r="U758" s="88">
        <v>36.205714285714294</v>
      </c>
      <c r="V758" s="87" t="s">
        <v>3062</v>
      </c>
      <c r="W758" s="87" t="s">
        <v>3102</v>
      </c>
      <c r="X758" s="90" t="s">
        <v>3480</v>
      </c>
      <c r="Y758" s="89"/>
      <c r="Z758" s="89">
        <v>1</v>
      </c>
      <c r="AA758" s="89"/>
      <c r="AB758" s="89"/>
    </row>
    <row r="759" spans="1:28" s="31" customFormat="1" ht="60" customHeight="1" x14ac:dyDescent="0.2">
      <c r="A759" s="76">
        <v>758</v>
      </c>
      <c r="B759" s="77">
        <v>50002551</v>
      </c>
      <c r="C759" s="78" t="s">
        <v>1982</v>
      </c>
      <c r="D759" s="79">
        <v>0.05</v>
      </c>
      <c r="E759" s="80">
        <v>30042019</v>
      </c>
      <c r="F759" s="81" t="s">
        <v>1983</v>
      </c>
      <c r="G759" s="82" t="s">
        <v>1984</v>
      </c>
      <c r="H759" s="82" t="s">
        <v>1823</v>
      </c>
      <c r="I759" s="79" t="s">
        <v>2678</v>
      </c>
      <c r="J759" s="83">
        <v>76.16</v>
      </c>
      <c r="K759" s="83">
        <v>58.026666666666664</v>
      </c>
      <c r="L759" s="83">
        <v>53.191111111111105</v>
      </c>
      <c r="M759" s="84">
        <v>53.19111111111112</v>
      </c>
      <c r="N759" s="59">
        <f t="shared" si="11"/>
        <v>0.30158730158730146</v>
      </c>
      <c r="O759" s="85" t="s">
        <v>1969</v>
      </c>
      <c r="P759" s="86" t="s">
        <v>4777</v>
      </c>
      <c r="Q759" s="87" t="s">
        <v>3207</v>
      </c>
      <c r="R759" s="87">
        <v>1</v>
      </c>
      <c r="S759" s="88">
        <v>76.16</v>
      </c>
      <c r="T759" s="88">
        <v>53.191111111111105</v>
      </c>
      <c r="U759" s="88">
        <v>53.19111111111112</v>
      </c>
      <c r="V759" s="87" t="s">
        <v>3062</v>
      </c>
      <c r="W759" s="87" t="s">
        <v>3102</v>
      </c>
      <c r="X759" s="90" t="s">
        <v>3480</v>
      </c>
      <c r="Y759" s="89"/>
      <c r="Z759" s="89">
        <v>1</v>
      </c>
      <c r="AA759" s="89"/>
      <c r="AB759" s="89"/>
    </row>
    <row r="760" spans="1:28" s="31" customFormat="1" ht="60" customHeight="1" x14ac:dyDescent="0.2">
      <c r="A760" s="76">
        <v>759</v>
      </c>
      <c r="B760" s="77">
        <v>50004796</v>
      </c>
      <c r="C760" s="78" t="s">
        <v>3090</v>
      </c>
      <c r="D760" s="79">
        <v>0.05</v>
      </c>
      <c r="E760" s="80">
        <v>30049069</v>
      </c>
      <c r="F760" s="81" t="s">
        <v>3091</v>
      </c>
      <c r="G760" s="82" t="s">
        <v>3092</v>
      </c>
      <c r="H760" s="82" t="s">
        <v>4014</v>
      </c>
      <c r="I760" s="79" t="s">
        <v>2772</v>
      </c>
      <c r="J760" s="83">
        <v>136.12</v>
      </c>
      <c r="K760" s="83">
        <v>103.7104761904762</v>
      </c>
      <c r="L760" s="83">
        <v>77.782857142857154</v>
      </c>
      <c r="M760" s="84">
        <v>70.004571428571452</v>
      </c>
      <c r="N760" s="59">
        <f t="shared" si="11"/>
        <v>0.48571428571428554</v>
      </c>
      <c r="O760" s="85" t="s">
        <v>1969</v>
      </c>
      <c r="P760" s="86" t="s">
        <v>2899</v>
      </c>
      <c r="Q760" s="87" t="s">
        <v>3208</v>
      </c>
      <c r="R760" s="87">
        <v>1</v>
      </c>
      <c r="S760" s="88">
        <v>136.12</v>
      </c>
      <c r="T760" s="88">
        <v>77.782857142857154</v>
      </c>
      <c r="U760" s="88">
        <v>70.004571428571452</v>
      </c>
      <c r="V760" s="87" t="s">
        <v>3066</v>
      </c>
      <c r="W760" s="87" t="s">
        <v>3106</v>
      </c>
      <c r="X760" s="90" t="s">
        <v>3486</v>
      </c>
      <c r="Y760" s="89"/>
      <c r="Z760" s="89">
        <v>1</v>
      </c>
      <c r="AA760" s="89" t="s">
        <v>3207</v>
      </c>
      <c r="AB760" s="89"/>
    </row>
    <row r="761" spans="1:28" s="31" customFormat="1" ht="60" customHeight="1" x14ac:dyDescent="0.2">
      <c r="A761" s="76">
        <v>760</v>
      </c>
      <c r="B761" s="77">
        <v>50002453</v>
      </c>
      <c r="C761" s="78" t="s">
        <v>1985</v>
      </c>
      <c r="D761" s="79">
        <v>0.05</v>
      </c>
      <c r="E761" s="80">
        <v>30049069</v>
      </c>
      <c r="F761" s="81" t="s">
        <v>1986</v>
      </c>
      <c r="G761" s="82" t="s">
        <v>1987</v>
      </c>
      <c r="H761" s="82" t="s">
        <v>4015</v>
      </c>
      <c r="I761" s="79" t="s">
        <v>2666</v>
      </c>
      <c r="J761" s="83">
        <v>248.3</v>
      </c>
      <c r="K761" s="83">
        <v>189.18095238095239</v>
      </c>
      <c r="L761" s="83">
        <v>173.41587301587302</v>
      </c>
      <c r="M761" s="84">
        <v>156.07428571428571</v>
      </c>
      <c r="N761" s="59">
        <f t="shared" si="11"/>
        <v>0.3714285714285715</v>
      </c>
      <c r="O761" s="85" t="s">
        <v>1969</v>
      </c>
      <c r="P761" s="86" t="s">
        <v>3533</v>
      </c>
      <c r="Q761" s="87" t="s">
        <v>3208</v>
      </c>
      <c r="R761" s="87">
        <v>10</v>
      </c>
      <c r="S761" s="88">
        <v>24.830000000000002</v>
      </c>
      <c r="T761" s="88">
        <v>17.341587301587303</v>
      </c>
      <c r="U761" s="88">
        <v>15.607428571428571</v>
      </c>
      <c r="V761" s="87" t="s">
        <v>3061</v>
      </c>
      <c r="W761" s="87" t="s">
        <v>3106</v>
      </c>
      <c r="X761" s="90" t="s">
        <v>3477</v>
      </c>
      <c r="Y761" s="89"/>
      <c r="Z761" s="89">
        <v>10</v>
      </c>
      <c r="AA761" s="89" t="s">
        <v>3207</v>
      </c>
      <c r="AB761" s="89"/>
    </row>
    <row r="762" spans="1:28" s="31" customFormat="1" ht="60" customHeight="1" x14ac:dyDescent="0.2">
      <c r="A762" s="76">
        <v>761</v>
      </c>
      <c r="B762" s="77">
        <v>50002532</v>
      </c>
      <c r="C762" s="78" t="s">
        <v>1988</v>
      </c>
      <c r="D762" s="79">
        <v>0.05</v>
      </c>
      <c r="E762" s="80">
        <v>30049069</v>
      </c>
      <c r="F762" s="81" t="s">
        <v>1989</v>
      </c>
      <c r="G762" s="82" t="s">
        <v>1990</v>
      </c>
      <c r="H762" s="82" t="s">
        <v>4016</v>
      </c>
      <c r="I762" s="79" t="s">
        <v>2666</v>
      </c>
      <c r="J762" s="83">
        <v>137.25</v>
      </c>
      <c r="K762" s="83">
        <v>104.57142857142858</v>
      </c>
      <c r="L762" s="83">
        <v>95.857142857142875</v>
      </c>
      <c r="M762" s="84">
        <v>86.271428571428586</v>
      </c>
      <c r="N762" s="59">
        <f t="shared" si="11"/>
        <v>0.37142857142857133</v>
      </c>
      <c r="O762" s="85" t="s">
        <v>1969</v>
      </c>
      <c r="P762" s="86" t="s">
        <v>3533</v>
      </c>
      <c r="Q762" s="87" t="s">
        <v>3208</v>
      </c>
      <c r="R762" s="87">
        <v>10</v>
      </c>
      <c r="S762" s="88">
        <v>13.725</v>
      </c>
      <c r="T762" s="88">
        <v>9.5857142857142872</v>
      </c>
      <c r="U762" s="88">
        <v>8.627142857142859</v>
      </c>
      <c r="V762" s="87" t="s">
        <v>3061</v>
      </c>
      <c r="W762" s="87" t="s">
        <v>3106</v>
      </c>
      <c r="X762" s="90" t="s">
        <v>3477</v>
      </c>
      <c r="Y762" s="89"/>
      <c r="Z762" s="89">
        <v>6</v>
      </c>
      <c r="AA762" s="89" t="s">
        <v>3207</v>
      </c>
      <c r="AB762" s="89"/>
    </row>
    <row r="763" spans="1:28" s="31" customFormat="1" ht="60" customHeight="1" x14ac:dyDescent="0.2">
      <c r="A763" s="76">
        <v>762</v>
      </c>
      <c r="B763" s="77">
        <v>50003358</v>
      </c>
      <c r="C763" s="78" t="s">
        <v>1991</v>
      </c>
      <c r="D763" s="79">
        <v>0.05</v>
      </c>
      <c r="E763" s="80">
        <v>30049082</v>
      </c>
      <c r="F763" s="81" t="s">
        <v>1992</v>
      </c>
      <c r="G763" s="82" t="s">
        <v>1993</v>
      </c>
      <c r="H763" s="82" t="s">
        <v>4017</v>
      </c>
      <c r="I763" s="79" t="s">
        <v>2666</v>
      </c>
      <c r="J763" s="83">
        <v>274.5</v>
      </c>
      <c r="K763" s="83">
        <v>209.14285714285717</v>
      </c>
      <c r="L763" s="83">
        <v>209.14285714285717</v>
      </c>
      <c r="M763" s="84">
        <v>188.22857142857146</v>
      </c>
      <c r="N763" s="59">
        <f t="shared" si="11"/>
        <v>0.31428571428571417</v>
      </c>
      <c r="O763" s="85" t="s">
        <v>1969</v>
      </c>
      <c r="P763" s="86" t="s">
        <v>2734</v>
      </c>
      <c r="Q763" s="87" t="s">
        <v>3208</v>
      </c>
      <c r="R763" s="87">
        <v>10</v>
      </c>
      <c r="S763" s="88">
        <v>27.45</v>
      </c>
      <c r="T763" s="88">
        <v>20.914285714285718</v>
      </c>
      <c r="U763" s="88">
        <v>18.822857142857146</v>
      </c>
      <c r="V763" s="87" t="s">
        <v>3061</v>
      </c>
      <c r="W763" s="87" t="s">
        <v>3106</v>
      </c>
      <c r="X763" s="90" t="s">
        <v>3477</v>
      </c>
      <c r="Y763" s="89"/>
      <c r="Z763" s="89">
        <v>3</v>
      </c>
      <c r="AA763" s="89" t="s">
        <v>3207</v>
      </c>
      <c r="AB763" s="89" t="s">
        <v>4613</v>
      </c>
    </row>
    <row r="764" spans="1:28" s="31" customFormat="1" ht="60" customHeight="1" x14ac:dyDescent="0.2">
      <c r="A764" s="76">
        <v>763</v>
      </c>
      <c r="B764" s="77">
        <v>50002943</v>
      </c>
      <c r="C764" s="78" t="s">
        <v>1994</v>
      </c>
      <c r="D764" s="79">
        <v>0.05</v>
      </c>
      <c r="E764" s="80">
        <v>30049069</v>
      </c>
      <c r="F764" s="81" t="s">
        <v>1995</v>
      </c>
      <c r="G764" s="82" t="s">
        <v>1996</v>
      </c>
      <c r="H764" s="82" t="s">
        <v>1194</v>
      </c>
      <c r="I764" s="79" t="s">
        <v>2666</v>
      </c>
      <c r="J764" s="83">
        <v>195.89</v>
      </c>
      <c r="K764" s="83">
        <v>149.24952380952382</v>
      </c>
      <c r="L764" s="83">
        <v>149.24952380952382</v>
      </c>
      <c r="M764" s="84">
        <v>134.32457142857143</v>
      </c>
      <c r="N764" s="59">
        <f t="shared" si="11"/>
        <v>0.31428571428571422</v>
      </c>
      <c r="O764" s="85" t="s">
        <v>1969</v>
      </c>
      <c r="P764" s="86" t="s">
        <v>95</v>
      </c>
      <c r="Q764" s="87" t="s">
        <v>3208</v>
      </c>
      <c r="R764" s="87">
        <v>10</v>
      </c>
      <c r="S764" s="88">
        <v>19.588999999999999</v>
      </c>
      <c r="T764" s="88">
        <v>14.924952380952382</v>
      </c>
      <c r="U764" s="88">
        <v>13.432457142857142</v>
      </c>
      <c r="V764" s="87" t="s">
        <v>3061</v>
      </c>
      <c r="W764" s="87" t="s">
        <v>3106</v>
      </c>
      <c r="X764" s="90" t="s">
        <v>3477</v>
      </c>
      <c r="Y764" s="89"/>
      <c r="Z764" s="89">
        <v>3</v>
      </c>
      <c r="AA764" s="89" t="s">
        <v>3207</v>
      </c>
      <c r="AB764" s="89" t="s">
        <v>4613</v>
      </c>
    </row>
    <row r="765" spans="1:28" s="31" customFormat="1" ht="60" customHeight="1" x14ac:dyDescent="0.2">
      <c r="A765" s="76">
        <v>764</v>
      </c>
      <c r="B765" s="77">
        <v>50002454</v>
      </c>
      <c r="C765" s="78" t="s">
        <v>1997</v>
      </c>
      <c r="D765" s="79">
        <v>0.05</v>
      </c>
      <c r="E765" s="80">
        <v>30049069</v>
      </c>
      <c r="F765" s="81" t="s">
        <v>1998</v>
      </c>
      <c r="G765" s="82" t="s">
        <v>1999</v>
      </c>
      <c r="H765" s="82" t="s">
        <v>2000</v>
      </c>
      <c r="I765" s="79" t="s">
        <v>2666</v>
      </c>
      <c r="J765" s="83">
        <v>149.72999999999999</v>
      </c>
      <c r="K765" s="83">
        <v>114.08</v>
      </c>
      <c r="L765" s="83">
        <v>104.57333333333332</v>
      </c>
      <c r="M765" s="84">
        <v>94.116</v>
      </c>
      <c r="N765" s="59">
        <f t="shared" si="11"/>
        <v>0.37142857142857139</v>
      </c>
      <c r="O765" s="85" t="s">
        <v>1969</v>
      </c>
      <c r="P765" s="86" t="s">
        <v>2903</v>
      </c>
      <c r="Q765" s="87" t="s">
        <v>3208</v>
      </c>
      <c r="R765" s="87">
        <v>10</v>
      </c>
      <c r="S765" s="88">
        <v>14.972999999999999</v>
      </c>
      <c r="T765" s="88">
        <v>10.457333333333333</v>
      </c>
      <c r="U765" s="88">
        <v>9.4116</v>
      </c>
      <c r="V765" s="87" t="s">
        <v>3061</v>
      </c>
      <c r="W765" s="87" t="s">
        <v>3106</v>
      </c>
      <c r="X765" s="90" t="s">
        <v>3477</v>
      </c>
      <c r="Y765" s="89"/>
      <c r="Z765" s="89">
        <v>10</v>
      </c>
      <c r="AA765" s="89" t="s">
        <v>3207</v>
      </c>
      <c r="AB765" s="89"/>
    </row>
    <row r="766" spans="1:28" s="31" customFormat="1" ht="60" customHeight="1" x14ac:dyDescent="0.2">
      <c r="A766" s="76">
        <v>765</v>
      </c>
      <c r="B766" s="77">
        <v>50003328</v>
      </c>
      <c r="C766" s="78" t="s">
        <v>2001</v>
      </c>
      <c r="D766" s="79">
        <v>0.05</v>
      </c>
      <c r="E766" s="80">
        <v>30049099</v>
      </c>
      <c r="F766" s="81" t="s">
        <v>2002</v>
      </c>
      <c r="G766" s="82" t="s">
        <v>2003</v>
      </c>
      <c r="H766" s="82" t="s">
        <v>3096</v>
      </c>
      <c r="I766" s="79" t="s">
        <v>2666</v>
      </c>
      <c r="J766" s="83">
        <v>224.45</v>
      </c>
      <c r="K766" s="83">
        <v>171.00952380952381</v>
      </c>
      <c r="L766" s="83">
        <v>142.50793650793651</v>
      </c>
      <c r="M766" s="84">
        <v>142.50793650793648</v>
      </c>
      <c r="N766" s="59">
        <f t="shared" si="11"/>
        <v>0.36507936507936517</v>
      </c>
      <c r="O766" s="85" t="s">
        <v>1969</v>
      </c>
      <c r="P766" s="86" t="s">
        <v>2694</v>
      </c>
      <c r="Q766" s="87" t="s">
        <v>3208</v>
      </c>
      <c r="R766" s="87">
        <v>10</v>
      </c>
      <c r="S766" s="88">
        <v>22.445</v>
      </c>
      <c r="T766" s="88">
        <v>14.25079365079365</v>
      </c>
      <c r="U766" s="88">
        <v>14.250793650793648</v>
      </c>
      <c r="V766" s="87" t="s">
        <v>3061</v>
      </c>
      <c r="W766" s="87" t="s">
        <v>3107</v>
      </c>
      <c r="X766" s="90" t="s">
        <v>3477</v>
      </c>
      <c r="Y766" s="89" t="s">
        <v>3455</v>
      </c>
      <c r="Z766" s="89">
        <v>4</v>
      </c>
      <c r="AA766" s="89"/>
      <c r="AB766" s="89"/>
    </row>
    <row r="767" spans="1:28" s="31" customFormat="1" ht="60" customHeight="1" x14ac:dyDescent="0.2">
      <c r="A767" s="76">
        <v>766</v>
      </c>
      <c r="B767" s="77">
        <v>50001367</v>
      </c>
      <c r="C767" s="78" t="s">
        <v>2004</v>
      </c>
      <c r="D767" s="79">
        <v>0.05</v>
      </c>
      <c r="E767" s="80">
        <v>30049099</v>
      </c>
      <c r="F767" s="81" t="s">
        <v>2005</v>
      </c>
      <c r="G767" s="82" t="s">
        <v>2006</v>
      </c>
      <c r="H767" s="82" t="s">
        <v>3443</v>
      </c>
      <c r="I767" s="79" t="s">
        <v>2666</v>
      </c>
      <c r="J767" s="83">
        <v>169.68</v>
      </c>
      <c r="K767" s="83">
        <v>129.28</v>
      </c>
      <c r="L767" s="83">
        <v>129.28</v>
      </c>
      <c r="M767" s="84">
        <v>116.35200000000005</v>
      </c>
      <c r="N767" s="59">
        <f t="shared" si="11"/>
        <v>0.31428571428571406</v>
      </c>
      <c r="O767" s="85" t="s">
        <v>1969</v>
      </c>
      <c r="P767" s="86" t="s">
        <v>2904</v>
      </c>
      <c r="Q767" s="87" t="s">
        <v>3208</v>
      </c>
      <c r="R767" s="87">
        <v>10</v>
      </c>
      <c r="S767" s="88">
        <v>16.968</v>
      </c>
      <c r="T767" s="88">
        <v>12.928000000000001</v>
      </c>
      <c r="U767" s="88">
        <v>11.635200000000005</v>
      </c>
      <c r="V767" s="87" t="s">
        <v>3061</v>
      </c>
      <c r="W767" s="87" t="s">
        <v>3107</v>
      </c>
      <c r="X767" s="90" t="s">
        <v>3477</v>
      </c>
      <c r="Y767" s="89"/>
      <c r="Z767" s="89">
        <v>6</v>
      </c>
      <c r="AA767" s="89"/>
      <c r="AB767" s="89"/>
    </row>
    <row r="768" spans="1:28" s="31" customFormat="1" ht="60" customHeight="1" x14ac:dyDescent="0.2">
      <c r="A768" s="76">
        <v>767</v>
      </c>
      <c r="B768" s="77">
        <v>50003272</v>
      </c>
      <c r="C768" s="78" t="s">
        <v>2009</v>
      </c>
      <c r="D768" s="79">
        <v>0.05</v>
      </c>
      <c r="E768" s="80">
        <v>30049099</v>
      </c>
      <c r="F768" s="81" t="s">
        <v>2010</v>
      </c>
      <c r="G768" s="82" t="s">
        <v>2011</v>
      </c>
      <c r="H768" s="82" t="s">
        <v>4018</v>
      </c>
      <c r="I768" s="79" t="s">
        <v>2666</v>
      </c>
      <c r="J768" s="83">
        <v>99.63</v>
      </c>
      <c r="K768" s="83">
        <v>75.908571428571435</v>
      </c>
      <c r="L768" s="83">
        <v>75.908571428571435</v>
      </c>
      <c r="M768" s="84">
        <v>68.317714285714288</v>
      </c>
      <c r="N768" s="59">
        <f t="shared" si="11"/>
        <v>0.31428571428571422</v>
      </c>
      <c r="O768" s="85" t="s">
        <v>1969</v>
      </c>
      <c r="P768" s="86" t="s">
        <v>2692</v>
      </c>
      <c r="Q768" s="87" t="s">
        <v>3208</v>
      </c>
      <c r="R768" s="87">
        <v>10</v>
      </c>
      <c r="S768" s="88">
        <v>9.9629999999999992</v>
      </c>
      <c r="T768" s="88">
        <v>7.5908571428571436</v>
      </c>
      <c r="U768" s="88">
        <v>6.8317714285714288</v>
      </c>
      <c r="V768" s="87" t="s">
        <v>3061</v>
      </c>
      <c r="W768" s="87" t="s">
        <v>3105</v>
      </c>
      <c r="X768" s="90" t="s">
        <v>3477</v>
      </c>
      <c r="Y768" s="89"/>
      <c r="Z768" s="89">
        <v>6</v>
      </c>
      <c r="AA768" s="89"/>
      <c r="AB768" s="89"/>
    </row>
    <row r="769" spans="1:28" s="31" customFormat="1" ht="60" customHeight="1" x14ac:dyDescent="0.2">
      <c r="A769" s="76">
        <v>768</v>
      </c>
      <c r="B769" s="77">
        <v>50002665</v>
      </c>
      <c r="C769" s="78" t="s">
        <v>2012</v>
      </c>
      <c r="D769" s="79">
        <v>0.05</v>
      </c>
      <c r="E769" s="80">
        <v>30049099</v>
      </c>
      <c r="F769" s="81" t="s">
        <v>2013</v>
      </c>
      <c r="G769" s="82" t="s">
        <v>2014</v>
      </c>
      <c r="H769" s="82" t="s">
        <v>72</v>
      </c>
      <c r="I769" s="79" t="s">
        <v>2693</v>
      </c>
      <c r="J769" s="83">
        <v>274.02</v>
      </c>
      <c r="K769" s="83">
        <v>208.77714285714288</v>
      </c>
      <c r="L769" s="83">
        <v>208.77714285714288</v>
      </c>
      <c r="M769" s="84">
        <v>187.89942857142856</v>
      </c>
      <c r="N769" s="59">
        <f t="shared" si="11"/>
        <v>0.31428571428571428</v>
      </c>
      <c r="O769" s="85" t="s">
        <v>1969</v>
      </c>
      <c r="P769" s="86" t="s">
        <v>2694</v>
      </c>
      <c r="Q769" s="87" t="s">
        <v>3208</v>
      </c>
      <c r="R769" s="87">
        <v>10</v>
      </c>
      <c r="S769" s="88">
        <v>27.401999999999997</v>
      </c>
      <c r="T769" s="88">
        <v>20.877714285714287</v>
      </c>
      <c r="U769" s="88">
        <v>18.789942857142854</v>
      </c>
      <c r="V769" s="87" t="s">
        <v>3061</v>
      </c>
      <c r="W769" s="87" t="s">
        <v>3100</v>
      </c>
      <c r="X769" s="90" t="s">
        <v>3478</v>
      </c>
      <c r="Y769" s="89"/>
      <c r="Z769" s="89">
        <v>3</v>
      </c>
      <c r="AA769" s="89"/>
      <c r="AB769" s="89"/>
    </row>
    <row r="770" spans="1:28" s="31" customFormat="1" ht="60" customHeight="1" x14ac:dyDescent="0.2">
      <c r="A770" s="76">
        <v>769</v>
      </c>
      <c r="B770" s="77">
        <v>50003104</v>
      </c>
      <c r="C770" s="78" t="s">
        <v>2015</v>
      </c>
      <c r="D770" s="79">
        <v>0.05</v>
      </c>
      <c r="E770" s="80">
        <v>30049039</v>
      </c>
      <c r="F770" s="81" t="s">
        <v>2016</v>
      </c>
      <c r="G770" s="82" t="s">
        <v>2017</v>
      </c>
      <c r="H770" s="82" t="s">
        <v>30</v>
      </c>
      <c r="I770" s="79" t="s">
        <v>2708</v>
      </c>
      <c r="J770" s="83">
        <v>74.7</v>
      </c>
      <c r="K770" s="83">
        <v>56.914285714285711</v>
      </c>
      <c r="L770" s="83">
        <v>52.171428571428571</v>
      </c>
      <c r="M770" s="84">
        <v>46.95428571428571</v>
      </c>
      <c r="N770" s="59">
        <f t="shared" ref="N770:N833" si="12">(J770-M770)/J770</f>
        <v>0.3714285714285715</v>
      </c>
      <c r="O770" s="85" t="s">
        <v>1969</v>
      </c>
      <c r="P770" s="86" t="s">
        <v>2783</v>
      </c>
      <c r="Q770" s="87" t="s">
        <v>3208</v>
      </c>
      <c r="R770" s="87">
        <v>1</v>
      </c>
      <c r="S770" s="88">
        <v>74.7</v>
      </c>
      <c r="T770" s="88">
        <v>52.171428571428571</v>
      </c>
      <c r="U770" s="88">
        <v>46.95428571428571</v>
      </c>
      <c r="V770" s="87" t="s">
        <v>3062</v>
      </c>
      <c r="W770" s="87" t="s">
        <v>3105</v>
      </c>
      <c r="X770" s="90" t="s">
        <v>3480</v>
      </c>
      <c r="Y770" s="89"/>
      <c r="Z770" s="89">
        <v>1</v>
      </c>
      <c r="AA770" s="89"/>
      <c r="AB770" s="89"/>
    </row>
    <row r="771" spans="1:28" s="31" customFormat="1" ht="60" customHeight="1" x14ac:dyDescent="0.2">
      <c r="A771" s="76">
        <v>770</v>
      </c>
      <c r="B771" s="77">
        <v>50003823</v>
      </c>
      <c r="C771" s="78" t="s">
        <v>2018</v>
      </c>
      <c r="D771" s="79">
        <v>0.05</v>
      </c>
      <c r="E771" s="80">
        <v>30049099</v>
      </c>
      <c r="F771" s="81" t="s">
        <v>2019</v>
      </c>
      <c r="G771" s="82" t="s">
        <v>2020</v>
      </c>
      <c r="H771" s="82" t="s">
        <v>115</v>
      </c>
      <c r="I771" s="79" t="s">
        <v>2666</v>
      </c>
      <c r="J771" s="83">
        <v>136.12</v>
      </c>
      <c r="K771" s="83">
        <v>103.7104761904762</v>
      </c>
      <c r="L771" s="83">
        <v>95.067936507936508</v>
      </c>
      <c r="M771" s="84">
        <v>85.561142857142869</v>
      </c>
      <c r="N771" s="59">
        <f t="shared" si="12"/>
        <v>0.37142857142857139</v>
      </c>
      <c r="O771" s="85" t="s">
        <v>1969</v>
      </c>
      <c r="P771" s="86" t="s">
        <v>48</v>
      </c>
      <c r="Q771" s="87" t="s">
        <v>3208</v>
      </c>
      <c r="R771" s="87">
        <v>10</v>
      </c>
      <c r="S771" s="88">
        <v>13.612</v>
      </c>
      <c r="T771" s="88">
        <v>9.5067936507936501</v>
      </c>
      <c r="U771" s="88">
        <v>8.5561142857142869</v>
      </c>
      <c r="V771" s="87" t="s">
        <v>3061</v>
      </c>
      <c r="W771" s="87" t="s">
        <v>3106</v>
      </c>
      <c r="X771" s="90" t="s">
        <v>3477</v>
      </c>
      <c r="Y771" s="89" t="s">
        <v>3455</v>
      </c>
      <c r="Z771" s="89">
        <v>3</v>
      </c>
      <c r="AA771" s="89"/>
      <c r="AB771" s="89"/>
    </row>
    <row r="772" spans="1:28" s="31" customFormat="1" ht="60" customHeight="1" x14ac:dyDescent="0.2">
      <c r="A772" s="76">
        <v>771</v>
      </c>
      <c r="B772" s="77">
        <v>50003824</v>
      </c>
      <c r="C772" s="78" t="s">
        <v>2021</v>
      </c>
      <c r="D772" s="79">
        <v>0.05</v>
      </c>
      <c r="E772" s="80">
        <v>30049099</v>
      </c>
      <c r="F772" s="81" t="s">
        <v>2022</v>
      </c>
      <c r="G772" s="82" t="s">
        <v>2023</v>
      </c>
      <c r="H772" s="82" t="s">
        <v>119</v>
      </c>
      <c r="I772" s="79" t="s">
        <v>2666</v>
      </c>
      <c r="J772" s="83">
        <v>226.87</v>
      </c>
      <c r="K772" s="83">
        <v>172.85333333333332</v>
      </c>
      <c r="L772" s="83">
        <v>158.44888888888889</v>
      </c>
      <c r="M772" s="84">
        <v>142.60399999999996</v>
      </c>
      <c r="N772" s="59">
        <f t="shared" si="12"/>
        <v>0.37142857142857161</v>
      </c>
      <c r="O772" s="85" t="s">
        <v>1969</v>
      </c>
      <c r="P772" s="86" t="s">
        <v>48</v>
      </c>
      <c r="Q772" s="87" t="s">
        <v>3208</v>
      </c>
      <c r="R772" s="87">
        <v>10</v>
      </c>
      <c r="S772" s="88">
        <v>22.687000000000001</v>
      </c>
      <c r="T772" s="88">
        <v>15.844888888888889</v>
      </c>
      <c r="U772" s="88">
        <v>14.260399999999995</v>
      </c>
      <c r="V772" s="87" t="s">
        <v>3061</v>
      </c>
      <c r="W772" s="87" t="s">
        <v>3106</v>
      </c>
      <c r="X772" s="90" t="s">
        <v>3477</v>
      </c>
      <c r="Y772" s="89" t="s">
        <v>3455</v>
      </c>
      <c r="Z772" s="89">
        <v>3</v>
      </c>
      <c r="AA772" s="89"/>
      <c r="AB772" s="89"/>
    </row>
    <row r="773" spans="1:28" s="31" customFormat="1" ht="60" customHeight="1" x14ac:dyDescent="0.2">
      <c r="A773" s="76">
        <v>772</v>
      </c>
      <c r="B773" s="77">
        <v>50002211</v>
      </c>
      <c r="C773" s="78" t="s">
        <v>2024</v>
      </c>
      <c r="D773" s="79">
        <v>0.05</v>
      </c>
      <c r="E773" s="80">
        <v>30049066</v>
      </c>
      <c r="F773" s="81" t="s">
        <v>427</v>
      </c>
      <c r="G773" s="82" t="s">
        <v>428</v>
      </c>
      <c r="H773" s="82" t="s">
        <v>429</v>
      </c>
      <c r="I773" s="79" t="s">
        <v>2711</v>
      </c>
      <c r="J773" s="83">
        <v>37.28</v>
      </c>
      <c r="K773" s="83">
        <v>28.403809523809525</v>
      </c>
      <c r="L773" s="83">
        <v>14.201904761904762</v>
      </c>
      <c r="M773" s="84">
        <v>13.491809523809518</v>
      </c>
      <c r="N773" s="59">
        <f t="shared" si="12"/>
        <v>0.63809523809523827</v>
      </c>
      <c r="O773" s="85" t="s">
        <v>1969</v>
      </c>
      <c r="P773" s="86" t="s">
        <v>4778</v>
      </c>
      <c r="Q773" s="87" t="s">
        <v>3208</v>
      </c>
      <c r="R773" s="87">
        <v>1</v>
      </c>
      <c r="S773" s="88">
        <v>37.28</v>
      </c>
      <c r="T773" s="88">
        <v>14.201904761904762</v>
      </c>
      <c r="U773" s="88">
        <v>13.491809523809518</v>
      </c>
      <c r="V773" s="87" t="s">
        <v>3065</v>
      </c>
      <c r="W773" s="87" t="s">
        <v>3106</v>
      </c>
      <c r="X773" s="90" t="s">
        <v>3479</v>
      </c>
      <c r="Y773" s="89"/>
      <c r="Z773" s="89">
        <v>60</v>
      </c>
      <c r="AA773" s="89"/>
      <c r="AB773" s="89"/>
    </row>
    <row r="774" spans="1:28" s="31" customFormat="1" ht="60" customHeight="1" x14ac:dyDescent="0.2">
      <c r="A774" s="76">
        <v>773</v>
      </c>
      <c r="B774" s="77">
        <v>50001182</v>
      </c>
      <c r="C774" s="78" t="s">
        <v>2025</v>
      </c>
      <c r="D774" s="79">
        <v>0.05</v>
      </c>
      <c r="E774" s="80">
        <v>30049069</v>
      </c>
      <c r="F774" s="81" t="s">
        <v>2026</v>
      </c>
      <c r="G774" s="82" t="s">
        <v>840</v>
      </c>
      <c r="H774" s="82" t="s">
        <v>4019</v>
      </c>
      <c r="I774" s="79" t="s">
        <v>2666</v>
      </c>
      <c r="J774" s="83">
        <v>51.76</v>
      </c>
      <c r="K774" s="83">
        <v>39.436190476190475</v>
      </c>
      <c r="L774" s="83">
        <v>26.290793650793649</v>
      </c>
      <c r="M774" s="84">
        <v>23.661714285714282</v>
      </c>
      <c r="N774" s="59">
        <f t="shared" si="12"/>
        <v>0.54285714285714293</v>
      </c>
      <c r="O774" s="85" t="s">
        <v>1969</v>
      </c>
      <c r="P774" s="86" t="s">
        <v>37</v>
      </c>
      <c r="Q774" s="87" t="s">
        <v>3208</v>
      </c>
      <c r="R774" s="87">
        <v>10</v>
      </c>
      <c r="S774" s="88">
        <v>5.1760000000000002</v>
      </c>
      <c r="T774" s="88">
        <v>2.6290793650793649</v>
      </c>
      <c r="U774" s="88">
        <v>2.3661714285714281</v>
      </c>
      <c r="V774" s="87" t="s">
        <v>3061</v>
      </c>
      <c r="W774" s="87" t="s">
        <v>3106</v>
      </c>
      <c r="X774" s="90" t="s">
        <v>3477</v>
      </c>
      <c r="Y774" s="89"/>
      <c r="Z774" s="89">
        <v>10</v>
      </c>
      <c r="AA774" s="89"/>
      <c r="AB774" s="89"/>
    </row>
    <row r="775" spans="1:28" s="31" customFormat="1" ht="60" customHeight="1" x14ac:dyDescent="0.2">
      <c r="A775" s="76">
        <v>774</v>
      </c>
      <c r="B775" s="77">
        <v>50003216</v>
      </c>
      <c r="C775" s="78" t="s">
        <v>2027</v>
      </c>
      <c r="D775" s="79">
        <v>0.05</v>
      </c>
      <c r="E775" s="80">
        <v>30049011</v>
      </c>
      <c r="F775" s="81" t="s">
        <v>2028</v>
      </c>
      <c r="G775" s="82" t="s">
        <v>2029</v>
      </c>
      <c r="H775" s="82" t="s">
        <v>4020</v>
      </c>
      <c r="I775" s="79" t="s">
        <v>2678</v>
      </c>
      <c r="J775" s="83">
        <v>140</v>
      </c>
      <c r="K775" s="83">
        <v>106.66666666666667</v>
      </c>
      <c r="L775" s="83">
        <v>97.777777777777786</v>
      </c>
      <c r="M775" s="84">
        <v>88</v>
      </c>
      <c r="N775" s="59">
        <f t="shared" si="12"/>
        <v>0.37142857142857144</v>
      </c>
      <c r="O775" s="85" t="s">
        <v>1969</v>
      </c>
      <c r="P775" s="86" t="s">
        <v>2905</v>
      </c>
      <c r="Q775" s="87" t="s">
        <v>3208</v>
      </c>
      <c r="R775" s="87">
        <v>1</v>
      </c>
      <c r="S775" s="88">
        <v>140</v>
      </c>
      <c r="T775" s="88">
        <v>97.777777777777786</v>
      </c>
      <c r="U775" s="88">
        <v>88</v>
      </c>
      <c r="V775" s="87" t="s">
        <v>3062</v>
      </c>
      <c r="W775" s="87" t="s">
        <v>3106</v>
      </c>
      <c r="X775" s="90" t="s">
        <v>3563</v>
      </c>
      <c r="Y775" s="89"/>
      <c r="Z775" s="89">
        <v>1</v>
      </c>
      <c r="AA775" s="89"/>
      <c r="AB775" s="89"/>
    </row>
    <row r="776" spans="1:28" s="31" customFormat="1" ht="60" customHeight="1" x14ac:dyDescent="0.2">
      <c r="A776" s="76">
        <v>775</v>
      </c>
      <c r="B776" s="77">
        <v>50003097</v>
      </c>
      <c r="C776" s="78" t="s">
        <v>2030</v>
      </c>
      <c r="D776" s="79">
        <v>0.05</v>
      </c>
      <c r="E776" s="80">
        <v>30049069</v>
      </c>
      <c r="F776" s="81" t="s">
        <v>2031</v>
      </c>
      <c r="G776" s="82" t="s">
        <v>2032</v>
      </c>
      <c r="H776" s="82" t="s">
        <v>4021</v>
      </c>
      <c r="I776" s="79" t="s">
        <v>2666</v>
      </c>
      <c r="J776" s="83">
        <v>217.1</v>
      </c>
      <c r="K776" s="83">
        <v>165.40952380952382</v>
      </c>
      <c r="L776" s="83">
        <v>151.62539682539682</v>
      </c>
      <c r="M776" s="84">
        <v>136.46285714285716</v>
      </c>
      <c r="N776" s="59">
        <f t="shared" si="12"/>
        <v>0.37142857142857133</v>
      </c>
      <c r="O776" s="85" t="s">
        <v>1969</v>
      </c>
      <c r="P776" s="86" t="s">
        <v>2033</v>
      </c>
      <c r="Q776" s="87" t="s">
        <v>3208</v>
      </c>
      <c r="R776" s="87">
        <v>10</v>
      </c>
      <c r="S776" s="88">
        <v>21.71</v>
      </c>
      <c r="T776" s="88">
        <v>15.162539682539682</v>
      </c>
      <c r="U776" s="88">
        <v>13.646285714285716</v>
      </c>
      <c r="V776" s="87" t="s">
        <v>3061</v>
      </c>
      <c r="W776" s="87" t="s">
        <v>3106</v>
      </c>
      <c r="X776" s="90" t="s">
        <v>3477</v>
      </c>
      <c r="Y776" s="89"/>
      <c r="Z776" s="89">
        <v>3</v>
      </c>
      <c r="AA776" s="89"/>
      <c r="AB776" s="89"/>
    </row>
    <row r="777" spans="1:28" s="31" customFormat="1" ht="60" customHeight="1" x14ac:dyDescent="0.2">
      <c r="A777" s="76">
        <v>776</v>
      </c>
      <c r="B777" s="77">
        <v>50003096</v>
      </c>
      <c r="C777" s="78" t="s">
        <v>2034</v>
      </c>
      <c r="D777" s="79">
        <v>0.05</v>
      </c>
      <c r="E777" s="80">
        <v>30049069</v>
      </c>
      <c r="F777" s="81" t="s">
        <v>2035</v>
      </c>
      <c r="G777" s="82" t="s">
        <v>2036</v>
      </c>
      <c r="H777" s="82" t="s">
        <v>4022</v>
      </c>
      <c r="I777" s="79" t="s">
        <v>2666</v>
      </c>
      <c r="J777" s="83">
        <v>273.13</v>
      </c>
      <c r="K777" s="83">
        <v>208.09904761904764</v>
      </c>
      <c r="L777" s="83">
        <v>190.75746031746033</v>
      </c>
      <c r="M777" s="84">
        <v>171.68171428571432</v>
      </c>
      <c r="N777" s="59">
        <f t="shared" si="12"/>
        <v>0.37142857142857127</v>
      </c>
      <c r="O777" s="85" t="s">
        <v>1969</v>
      </c>
      <c r="P777" s="86" t="s">
        <v>2033</v>
      </c>
      <c r="Q777" s="87" t="s">
        <v>3208</v>
      </c>
      <c r="R777" s="87">
        <v>10</v>
      </c>
      <c r="S777" s="88">
        <v>27.312999999999999</v>
      </c>
      <c r="T777" s="88">
        <v>19.075746031746032</v>
      </c>
      <c r="U777" s="88">
        <v>17.168171428571434</v>
      </c>
      <c r="V777" s="87" t="s">
        <v>3061</v>
      </c>
      <c r="W777" s="87" t="s">
        <v>3106</v>
      </c>
      <c r="X777" s="90" t="s">
        <v>3477</v>
      </c>
      <c r="Y777" s="89"/>
      <c r="Z777" s="89">
        <v>3</v>
      </c>
      <c r="AA777" s="89"/>
      <c r="AB777" s="89"/>
    </row>
    <row r="778" spans="1:28" s="31" customFormat="1" ht="60" customHeight="1" x14ac:dyDescent="0.2">
      <c r="A778" s="76">
        <v>777</v>
      </c>
      <c r="B778" s="77">
        <v>50004494</v>
      </c>
      <c r="C778" s="78" t="s">
        <v>2037</v>
      </c>
      <c r="D778" s="79">
        <v>0.05</v>
      </c>
      <c r="E778" s="80">
        <v>30049069</v>
      </c>
      <c r="F778" s="81" t="s">
        <v>2038</v>
      </c>
      <c r="G778" s="82" t="s">
        <v>2039</v>
      </c>
      <c r="H778" s="82" t="s">
        <v>3769</v>
      </c>
      <c r="I778" s="79" t="s">
        <v>2666</v>
      </c>
      <c r="J778" s="83">
        <v>118.53</v>
      </c>
      <c r="K778" s="83">
        <v>90.308571428571426</v>
      </c>
      <c r="L778" s="83">
        <v>75.257142857142853</v>
      </c>
      <c r="M778" s="84">
        <v>73.149942857142847</v>
      </c>
      <c r="N778" s="59">
        <f t="shared" si="12"/>
        <v>0.38285714285714295</v>
      </c>
      <c r="O778" s="85" t="s">
        <v>1969</v>
      </c>
      <c r="P778" s="86" t="s">
        <v>4259</v>
      </c>
      <c r="Q778" s="87" t="s">
        <v>3208</v>
      </c>
      <c r="R778" s="87">
        <v>10</v>
      </c>
      <c r="S778" s="88">
        <v>11.853</v>
      </c>
      <c r="T778" s="88">
        <v>7.5257142857142849</v>
      </c>
      <c r="U778" s="88">
        <v>7.3149942857142847</v>
      </c>
      <c r="V778" s="87" t="s">
        <v>3061</v>
      </c>
      <c r="W778" s="87" t="s">
        <v>3106</v>
      </c>
      <c r="X778" s="90" t="s">
        <v>3477</v>
      </c>
      <c r="Y778" s="89"/>
      <c r="Z778" s="89">
        <v>6</v>
      </c>
      <c r="AA778" s="89"/>
      <c r="AB778" s="89"/>
    </row>
    <row r="779" spans="1:28" s="31" customFormat="1" ht="60" customHeight="1" x14ac:dyDescent="0.2">
      <c r="A779" s="76">
        <v>778</v>
      </c>
      <c r="B779" s="77">
        <v>50002569</v>
      </c>
      <c r="C779" s="78" t="s">
        <v>2040</v>
      </c>
      <c r="D779" s="79">
        <v>0.05</v>
      </c>
      <c r="E779" s="80">
        <v>30049036</v>
      </c>
      <c r="F779" s="81" t="s">
        <v>2041</v>
      </c>
      <c r="G779" s="82" t="s">
        <v>2042</v>
      </c>
      <c r="H779" s="82" t="s">
        <v>242</v>
      </c>
      <c r="I779" s="79" t="s">
        <v>2666</v>
      </c>
      <c r="J779" s="83">
        <v>252.89</v>
      </c>
      <c r="K779" s="83">
        <v>192.67809523809524</v>
      </c>
      <c r="L779" s="83">
        <v>192.67809523809524</v>
      </c>
      <c r="M779" s="84">
        <v>173.41028571428572</v>
      </c>
      <c r="N779" s="59">
        <f t="shared" si="12"/>
        <v>0.31428571428571422</v>
      </c>
      <c r="O779" s="85" t="s">
        <v>1969</v>
      </c>
      <c r="P779" s="86" t="s">
        <v>2721</v>
      </c>
      <c r="Q779" s="87" t="s">
        <v>3208</v>
      </c>
      <c r="R779" s="87">
        <v>10</v>
      </c>
      <c r="S779" s="88">
        <v>25.288999999999998</v>
      </c>
      <c r="T779" s="88">
        <v>19.267809523809525</v>
      </c>
      <c r="U779" s="88">
        <v>17.341028571428573</v>
      </c>
      <c r="V779" s="87" t="s">
        <v>3061</v>
      </c>
      <c r="W779" s="87" t="s">
        <v>3119</v>
      </c>
      <c r="X779" s="90" t="s">
        <v>3477</v>
      </c>
      <c r="Y779" s="89"/>
      <c r="Z779" s="89">
        <v>6</v>
      </c>
      <c r="AA779" s="89" t="s">
        <v>3207</v>
      </c>
      <c r="AB779" s="89"/>
    </row>
    <row r="780" spans="1:28" s="31" customFormat="1" ht="60" customHeight="1" x14ac:dyDescent="0.2">
      <c r="A780" s="76">
        <v>779</v>
      </c>
      <c r="B780" s="77">
        <v>50002566</v>
      </c>
      <c r="C780" s="78" t="s">
        <v>2043</v>
      </c>
      <c r="D780" s="79">
        <v>0.05</v>
      </c>
      <c r="E780" s="80">
        <v>30049036</v>
      </c>
      <c r="F780" s="81" t="s">
        <v>2044</v>
      </c>
      <c r="G780" s="82" t="s">
        <v>2045</v>
      </c>
      <c r="H780" s="82" t="s">
        <v>1081</v>
      </c>
      <c r="I780" s="79" t="s">
        <v>2666</v>
      </c>
      <c r="J780" s="83">
        <v>423.5</v>
      </c>
      <c r="K780" s="83">
        <v>322.66666666666663</v>
      </c>
      <c r="L780" s="83">
        <v>322.66666666666663</v>
      </c>
      <c r="M780" s="84">
        <v>290.40000000000009</v>
      </c>
      <c r="N780" s="59">
        <f t="shared" si="12"/>
        <v>0.31428571428571406</v>
      </c>
      <c r="O780" s="85" t="s">
        <v>1969</v>
      </c>
      <c r="P780" s="86" t="s">
        <v>2721</v>
      </c>
      <c r="Q780" s="87" t="s">
        <v>3208</v>
      </c>
      <c r="R780" s="87">
        <v>10</v>
      </c>
      <c r="S780" s="88">
        <v>42.35</v>
      </c>
      <c r="T780" s="88">
        <v>32.266666666666666</v>
      </c>
      <c r="U780" s="88">
        <v>29.04000000000001</v>
      </c>
      <c r="V780" s="87" t="s">
        <v>3061</v>
      </c>
      <c r="W780" s="87" t="s">
        <v>3119</v>
      </c>
      <c r="X780" s="90" t="s">
        <v>3477</v>
      </c>
      <c r="Y780" s="89"/>
      <c r="Z780" s="89">
        <v>6</v>
      </c>
      <c r="AA780" s="89" t="s">
        <v>3207</v>
      </c>
      <c r="AB780" s="89"/>
    </row>
    <row r="781" spans="1:28" s="31" customFormat="1" ht="60" customHeight="1" x14ac:dyDescent="0.2">
      <c r="A781" s="76">
        <v>780</v>
      </c>
      <c r="B781" s="77">
        <v>50004169</v>
      </c>
      <c r="C781" s="78" t="s">
        <v>2046</v>
      </c>
      <c r="D781" s="79">
        <v>0.05</v>
      </c>
      <c r="E781" s="80">
        <v>30049036</v>
      </c>
      <c r="F781" s="81" t="s">
        <v>2047</v>
      </c>
      <c r="G781" s="82" t="s">
        <v>2048</v>
      </c>
      <c r="H781" s="82" t="s">
        <v>2049</v>
      </c>
      <c r="I781" s="79" t="s">
        <v>2666</v>
      </c>
      <c r="J781" s="83">
        <v>508.2</v>
      </c>
      <c r="K781" s="83">
        <v>387.2</v>
      </c>
      <c r="L781" s="83">
        <v>387.2</v>
      </c>
      <c r="M781" s="84">
        <v>348.48</v>
      </c>
      <c r="N781" s="59">
        <f t="shared" si="12"/>
        <v>0.31428571428571422</v>
      </c>
      <c r="O781" s="85" t="s">
        <v>1969</v>
      </c>
      <c r="P781" s="86" t="s">
        <v>304</v>
      </c>
      <c r="Q781" s="87" t="s">
        <v>3208</v>
      </c>
      <c r="R781" s="87">
        <v>10</v>
      </c>
      <c r="S781" s="88">
        <v>50.82</v>
      </c>
      <c r="T781" s="88">
        <v>38.72</v>
      </c>
      <c r="U781" s="88">
        <v>34.847999999999999</v>
      </c>
      <c r="V781" s="87" t="s">
        <v>3061</v>
      </c>
      <c r="W781" s="87" t="s">
        <v>3119</v>
      </c>
      <c r="X781" s="90" t="s">
        <v>3477</v>
      </c>
      <c r="Y781" s="89"/>
      <c r="Z781" s="89">
        <v>3</v>
      </c>
      <c r="AA781" s="89" t="s">
        <v>3207</v>
      </c>
      <c r="AB781" s="89"/>
    </row>
    <row r="782" spans="1:28" s="31" customFormat="1" ht="60" customHeight="1" x14ac:dyDescent="0.2">
      <c r="A782" s="76">
        <v>781</v>
      </c>
      <c r="B782" s="77">
        <v>50001244</v>
      </c>
      <c r="C782" s="78" t="s">
        <v>2050</v>
      </c>
      <c r="D782" s="79">
        <v>0.05</v>
      </c>
      <c r="E782" s="80">
        <v>30049039</v>
      </c>
      <c r="F782" s="81" t="s">
        <v>2051</v>
      </c>
      <c r="G782" s="82" t="s">
        <v>2052</v>
      </c>
      <c r="H782" s="82" t="s">
        <v>2053</v>
      </c>
      <c r="I782" s="79" t="s">
        <v>2680</v>
      </c>
      <c r="J782" s="83">
        <v>111.36</v>
      </c>
      <c r="K782" s="83">
        <v>84.845714285714294</v>
      </c>
      <c r="L782" s="83">
        <v>77.775238095238095</v>
      </c>
      <c r="M782" s="84">
        <v>69.997714285714309</v>
      </c>
      <c r="N782" s="59">
        <f t="shared" si="12"/>
        <v>0.37142857142857122</v>
      </c>
      <c r="O782" s="85" t="s">
        <v>1969</v>
      </c>
      <c r="P782" s="86" t="s">
        <v>4125</v>
      </c>
      <c r="Q782" s="87" t="s">
        <v>3208</v>
      </c>
      <c r="R782" s="87">
        <v>1</v>
      </c>
      <c r="S782" s="88">
        <v>111.36</v>
      </c>
      <c r="T782" s="88">
        <v>77.775238095238095</v>
      </c>
      <c r="U782" s="88">
        <v>69.997714285714309</v>
      </c>
      <c r="V782" s="87" t="s">
        <v>3062</v>
      </c>
      <c r="W782" s="87" t="s">
        <v>3103</v>
      </c>
      <c r="X782" s="90" t="s">
        <v>3480</v>
      </c>
      <c r="Y782" s="89"/>
      <c r="Z782" s="89">
        <v>1</v>
      </c>
      <c r="AA782" s="89"/>
      <c r="AB782" s="89"/>
    </row>
    <row r="783" spans="1:28" s="31" customFormat="1" ht="60" customHeight="1" x14ac:dyDescent="0.2">
      <c r="A783" s="76">
        <v>782</v>
      </c>
      <c r="B783" s="77">
        <v>50001242</v>
      </c>
      <c r="C783" s="78" t="s">
        <v>2054</v>
      </c>
      <c r="D783" s="79">
        <v>0.05</v>
      </c>
      <c r="E783" s="80">
        <v>30049039</v>
      </c>
      <c r="F783" s="81" t="s">
        <v>2055</v>
      </c>
      <c r="G783" s="82" t="s">
        <v>2056</v>
      </c>
      <c r="H783" s="82" t="s">
        <v>3887</v>
      </c>
      <c r="I783" s="79" t="s">
        <v>2666</v>
      </c>
      <c r="J783" s="83">
        <v>157.83000000000001</v>
      </c>
      <c r="K783" s="83">
        <v>120.25142857142859</v>
      </c>
      <c r="L783" s="83">
        <v>100.20952380952383</v>
      </c>
      <c r="M783" s="84">
        <v>90.18857142857145</v>
      </c>
      <c r="N783" s="59">
        <f t="shared" si="12"/>
        <v>0.42857142857142849</v>
      </c>
      <c r="O783" s="85" t="s">
        <v>1969</v>
      </c>
      <c r="P783" s="86" t="s">
        <v>95</v>
      </c>
      <c r="Q783" s="87" t="s">
        <v>3208</v>
      </c>
      <c r="R783" s="87">
        <v>10</v>
      </c>
      <c r="S783" s="88">
        <v>15.783000000000001</v>
      </c>
      <c r="T783" s="88">
        <v>10.020952380952384</v>
      </c>
      <c r="U783" s="88">
        <v>9.0188571428571453</v>
      </c>
      <c r="V783" s="87" t="s">
        <v>3061</v>
      </c>
      <c r="W783" s="87" t="s">
        <v>3103</v>
      </c>
      <c r="X783" s="90" t="s">
        <v>3477</v>
      </c>
      <c r="Y783" s="89"/>
      <c r="Z783" s="89">
        <v>6</v>
      </c>
      <c r="AA783" s="89"/>
      <c r="AB783" s="89"/>
    </row>
    <row r="784" spans="1:28" s="31" customFormat="1" ht="60" customHeight="1" x14ac:dyDescent="0.2">
      <c r="A784" s="76">
        <v>783</v>
      </c>
      <c r="B784" s="77">
        <v>50002490</v>
      </c>
      <c r="C784" s="78" t="s">
        <v>2057</v>
      </c>
      <c r="D784" s="79">
        <v>0.05</v>
      </c>
      <c r="E784" s="80">
        <v>30049099</v>
      </c>
      <c r="F784" s="81" t="s">
        <v>2058</v>
      </c>
      <c r="G784" s="82" t="s">
        <v>2059</v>
      </c>
      <c r="H784" s="82" t="s">
        <v>4023</v>
      </c>
      <c r="I784" s="79" t="s">
        <v>2682</v>
      </c>
      <c r="J784" s="83">
        <v>145.65</v>
      </c>
      <c r="K784" s="83">
        <v>110.97142857142858</v>
      </c>
      <c r="L784" s="83">
        <v>101.72380952380952</v>
      </c>
      <c r="M784" s="84">
        <v>91.551428571428559</v>
      </c>
      <c r="N784" s="59">
        <f t="shared" si="12"/>
        <v>0.37142857142857155</v>
      </c>
      <c r="O784" s="85" t="s">
        <v>1969</v>
      </c>
      <c r="P784" s="86" t="s">
        <v>3441</v>
      </c>
      <c r="Q784" s="87" t="s">
        <v>3208</v>
      </c>
      <c r="R784" s="87">
        <v>1</v>
      </c>
      <c r="S784" s="88">
        <v>145.65</v>
      </c>
      <c r="T784" s="88">
        <v>101.72380952380952</v>
      </c>
      <c r="U784" s="88">
        <v>91.551428571428559</v>
      </c>
      <c r="V784" s="87" t="s">
        <v>3062</v>
      </c>
      <c r="W784" s="87" t="s">
        <v>3103</v>
      </c>
      <c r="X784" s="90" t="s">
        <v>3480</v>
      </c>
      <c r="Y784" s="89"/>
      <c r="Z784" s="89">
        <v>1</v>
      </c>
      <c r="AA784" s="89"/>
      <c r="AB784" s="89"/>
    </row>
    <row r="785" spans="1:28" s="31" customFormat="1" ht="60" customHeight="1" x14ac:dyDescent="0.2">
      <c r="A785" s="76">
        <v>784</v>
      </c>
      <c r="B785" s="77">
        <v>50003195</v>
      </c>
      <c r="C785" s="78" t="s">
        <v>2060</v>
      </c>
      <c r="D785" s="79">
        <v>0.05</v>
      </c>
      <c r="E785" s="80">
        <v>30049099</v>
      </c>
      <c r="F785" s="81" t="s">
        <v>2061</v>
      </c>
      <c r="G785" s="82" t="s">
        <v>2062</v>
      </c>
      <c r="H785" s="82" t="s">
        <v>4024</v>
      </c>
      <c r="I785" s="79" t="s">
        <v>2682</v>
      </c>
      <c r="J785" s="83">
        <v>113.43</v>
      </c>
      <c r="K785" s="83">
        <v>86.42285714285714</v>
      </c>
      <c r="L785" s="83">
        <v>66.617619047619044</v>
      </c>
      <c r="M785" s="84">
        <v>59.955857142857127</v>
      </c>
      <c r="N785" s="59">
        <f t="shared" si="12"/>
        <v>0.47142857142857159</v>
      </c>
      <c r="O785" s="85" t="s">
        <v>1969</v>
      </c>
      <c r="P785" s="86" t="s">
        <v>82</v>
      </c>
      <c r="Q785" s="87" t="s">
        <v>3208</v>
      </c>
      <c r="R785" s="87">
        <v>1</v>
      </c>
      <c r="S785" s="88">
        <v>113.43</v>
      </c>
      <c r="T785" s="88">
        <v>66.617619047619044</v>
      </c>
      <c r="U785" s="88">
        <v>59.955857142857127</v>
      </c>
      <c r="V785" s="87" t="s">
        <v>3062</v>
      </c>
      <c r="W785" s="87" t="s">
        <v>3103</v>
      </c>
      <c r="X785" s="90" t="s">
        <v>3480</v>
      </c>
      <c r="Y785" s="89"/>
      <c r="Z785" s="89">
        <v>1</v>
      </c>
      <c r="AA785" s="89"/>
      <c r="AB785" s="89"/>
    </row>
    <row r="786" spans="1:28" s="31" customFormat="1" ht="60" customHeight="1" x14ac:dyDescent="0.2">
      <c r="A786" s="76">
        <v>785</v>
      </c>
      <c r="B786" s="77">
        <v>50003169</v>
      </c>
      <c r="C786" s="78" t="s">
        <v>2065</v>
      </c>
      <c r="D786" s="79">
        <v>0.05</v>
      </c>
      <c r="E786" s="80">
        <v>30049099</v>
      </c>
      <c r="F786" s="81" t="s">
        <v>408</v>
      </c>
      <c r="G786" s="82" t="s">
        <v>2066</v>
      </c>
      <c r="H786" s="82" t="s">
        <v>3758</v>
      </c>
      <c r="I786" s="79" t="s">
        <v>2682</v>
      </c>
      <c r="J786" s="83">
        <v>166.06</v>
      </c>
      <c r="K786" s="83">
        <v>126.52190476190476</v>
      </c>
      <c r="L786" s="83">
        <v>84.34793650793651</v>
      </c>
      <c r="M786" s="84">
        <v>75.91314285714283</v>
      </c>
      <c r="N786" s="59">
        <f t="shared" si="12"/>
        <v>0.54285714285714304</v>
      </c>
      <c r="O786" s="85" t="s">
        <v>1969</v>
      </c>
      <c r="P786" s="86" t="s">
        <v>3203</v>
      </c>
      <c r="Q786" s="87" t="s">
        <v>3208</v>
      </c>
      <c r="R786" s="87">
        <v>1</v>
      </c>
      <c r="S786" s="88">
        <v>166.06</v>
      </c>
      <c r="T786" s="88">
        <v>84.34793650793651</v>
      </c>
      <c r="U786" s="88">
        <v>75.91314285714283</v>
      </c>
      <c r="V786" s="87" t="s">
        <v>3062</v>
      </c>
      <c r="W786" s="87" t="s">
        <v>3103</v>
      </c>
      <c r="X786" s="90" t="s">
        <v>3480</v>
      </c>
      <c r="Y786" s="89"/>
      <c r="Z786" s="89">
        <v>1</v>
      </c>
      <c r="AA786" s="89"/>
      <c r="AB786" s="89"/>
    </row>
    <row r="787" spans="1:28" s="31" customFormat="1" ht="60" customHeight="1" x14ac:dyDescent="0.2">
      <c r="A787" s="76">
        <v>786</v>
      </c>
      <c r="B787" s="77">
        <v>50002638</v>
      </c>
      <c r="C787" s="78" t="s">
        <v>2067</v>
      </c>
      <c r="D787" s="79">
        <v>0.05</v>
      </c>
      <c r="E787" s="80">
        <v>30024910</v>
      </c>
      <c r="F787" s="81" t="s">
        <v>2068</v>
      </c>
      <c r="G787" s="82" t="s">
        <v>2069</v>
      </c>
      <c r="H787" s="82" t="s">
        <v>4025</v>
      </c>
      <c r="I787" s="79" t="s">
        <v>2704</v>
      </c>
      <c r="J787" s="83">
        <v>150.22</v>
      </c>
      <c r="K787" s="83">
        <v>114.45333333333333</v>
      </c>
      <c r="L787" s="83">
        <v>114.45333333333333</v>
      </c>
      <c r="M787" s="84">
        <v>103.008</v>
      </c>
      <c r="N787" s="59">
        <f t="shared" si="12"/>
        <v>0.31428571428571433</v>
      </c>
      <c r="O787" s="85" t="s">
        <v>1969</v>
      </c>
      <c r="P787" s="86" t="s">
        <v>2072</v>
      </c>
      <c r="Q787" s="87" t="s">
        <v>3208</v>
      </c>
      <c r="R787" s="87">
        <v>1</v>
      </c>
      <c r="S787" s="88">
        <v>150.22</v>
      </c>
      <c r="T787" s="88">
        <v>114.45333333333333</v>
      </c>
      <c r="U787" s="88">
        <v>103.008</v>
      </c>
      <c r="V787" s="87" t="s">
        <v>3062</v>
      </c>
      <c r="W787" s="87" t="s">
        <v>3105</v>
      </c>
      <c r="X787" s="90" t="s">
        <v>3480</v>
      </c>
      <c r="Y787" s="89"/>
      <c r="Z787" s="89">
        <v>1</v>
      </c>
      <c r="AA787" s="89"/>
      <c r="AB787" s="89" t="s">
        <v>4613</v>
      </c>
    </row>
    <row r="788" spans="1:28" s="31" customFormat="1" ht="60" customHeight="1" x14ac:dyDescent="0.2">
      <c r="A788" s="76">
        <v>787</v>
      </c>
      <c r="B788" s="77">
        <v>50002789</v>
      </c>
      <c r="C788" s="78" t="s">
        <v>2070</v>
      </c>
      <c r="D788" s="79">
        <v>0.05</v>
      </c>
      <c r="E788" s="80">
        <v>30024910</v>
      </c>
      <c r="F788" s="81" t="s">
        <v>2071</v>
      </c>
      <c r="G788" s="82" t="s">
        <v>2069</v>
      </c>
      <c r="H788" s="82" t="s">
        <v>4026</v>
      </c>
      <c r="I788" s="79" t="s">
        <v>2693</v>
      </c>
      <c r="J788" s="83">
        <v>162.19999999999999</v>
      </c>
      <c r="K788" s="83">
        <v>123.58095238095237</v>
      </c>
      <c r="L788" s="83">
        <v>123.58095238095237</v>
      </c>
      <c r="M788" s="84">
        <v>111.22285714285712</v>
      </c>
      <c r="N788" s="59">
        <f t="shared" si="12"/>
        <v>0.31428571428571433</v>
      </c>
      <c r="O788" s="85" t="s">
        <v>1969</v>
      </c>
      <c r="P788" s="86" t="s">
        <v>2072</v>
      </c>
      <c r="Q788" s="87" t="s">
        <v>3208</v>
      </c>
      <c r="R788" s="87">
        <v>10</v>
      </c>
      <c r="S788" s="88">
        <v>16.22</v>
      </c>
      <c r="T788" s="88">
        <v>12.358095238095236</v>
      </c>
      <c r="U788" s="88">
        <v>11.122285714285713</v>
      </c>
      <c r="V788" s="87" t="s">
        <v>3061</v>
      </c>
      <c r="W788" s="87" t="s">
        <v>3105</v>
      </c>
      <c r="X788" s="90" t="s">
        <v>3478</v>
      </c>
      <c r="Y788" s="89"/>
      <c r="Z788" s="89">
        <v>3</v>
      </c>
      <c r="AA788" s="89"/>
      <c r="AB788" s="89" t="s">
        <v>4613</v>
      </c>
    </row>
    <row r="789" spans="1:28" s="31" customFormat="1" ht="60" customHeight="1" x14ac:dyDescent="0.2">
      <c r="A789" s="76">
        <v>788</v>
      </c>
      <c r="B789" s="77">
        <v>50004166</v>
      </c>
      <c r="C789" s="78" t="s">
        <v>2073</v>
      </c>
      <c r="D789" s="79">
        <v>0.05</v>
      </c>
      <c r="E789" s="80">
        <v>30024910</v>
      </c>
      <c r="F789" s="81" t="s">
        <v>2074</v>
      </c>
      <c r="G789" s="82" t="s">
        <v>2075</v>
      </c>
      <c r="H789" s="82" t="s">
        <v>4027</v>
      </c>
      <c r="I789" s="79" t="s">
        <v>2693</v>
      </c>
      <c r="J789" s="83">
        <v>216.56</v>
      </c>
      <c r="K789" s="83">
        <v>164.99809523809523</v>
      </c>
      <c r="L789" s="83">
        <v>164.99809523809523</v>
      </c>
      <c r="M789" s="84">
        <v>148.49828571428569</v>
      </c>
      <c r="N789" s="59">
        <f t="shared" si="12"/>
        <v>0.31428571428571445</v>
      </c>
      <c r="O789" s="85" t="s">
        <v>1969</v>
      </c>
      <c r="P789" s="86" t="s">
        <v>2072</v>
      </c>
      <c r="Q789" s="87" t="s">
        <v>3208</v>
      </c>
      <c r="R789" s="87">
        <v>10</v>
      </c>
      <c r="S789" s="88">
        <v>21.655999999999999</v>
      </c>
      <c r="T789" s="88">
        <v>16.499809523809525</v>
      </c>
      <c r="U789" s="88">
        <v>14.849828571428569</v>
      </c>
      <c r="V789" s="87" t="s">
        <v>3061</v>
      </c>
      <c r="W789" s="87" t="s">
        <v>3105</v>
      </c>
      <c r="X789" s="90" t="s">
        <v>3478</v>
      </c>
      <c r="Y789" s="89"/>
      <c r="Z789" s="89">
        <v>3</v>
      </c>
      <c r="AA789" s="89"/>
      <c r="AB789" s="89"/>
    </row>
    <row r="790" spans="1:28" s="31" customFormat="1" ht="60" customHeight="1" x14ac:dyDescent="0.2">
      <c r="A790" s="76">
        <v>789</v>
      </c>
      <c r="B790" s="77">
        <v>50003250</v>
      </c>
      <c r="C790" s="78" t="s">
        <v>2076</v>
      </c>
      <c r="D790" s="79">
        <v>0.05</v>
      </c>
      <c r="E790" s="80">
        <v>21069099</v>
      </c>
      <c r="F790" s="81" t="s">
        <v>2077</v>
      </c>
      <c r="G790" s="82" t="s">
        <v>2078</v>
      </c>
      <c r="H790" s="82" t="s">
        <v>4028</v>
      </c>
      <c r="I790" s="79" t="s">
        <v>2666</v>
      </c>
      <c r="J790" s="83">
        <v>213</v>
      </c>
      <c r="K790" s="83">
        <v>162.28571428571428</v>
      </c>
      <c r="L790" s="83">
        <v>135.23809523809521</v>
      </c>
      <c r="M790" s="84">
        <v>121.71428571428568</v>
      </c>
      <c r="N790" s="59">
        <f t="shared" si="12"/>
        <v>0.42857142857142871</v>
      </c>
      <c r="O790" s="85" t="s">
        <v>1969</v>
      </c>
      <c r="P790" s="86" t="s">
        <v>2865</v>
      </c>
      <c r="Q790" s="87" t="s">
        <v>3208</v>
      </c>
      <c r="R790" s="87">
        <v>10</v>
      </c>
      <c r="S790" s="88">
        <v>21.3</v>
      </c>
      <c r="T790" s="88">
        <v>13.523809523809522</v>
      </c>
      <c r="U790" s="88">
        <v>12.171428571428567</v>
      </c>
      <c r="V790" s="87" t="s">
        <v>3061</v>
      </c>
      <c r="W790" s="87" t="s">
        <v>3106</v>
      </c>
      <c r="X790" s="90" t="s">
        <v>3477</v>
      </c>
      <c r="Y790" s="89"/>
      <c r="Z790" s="89">
        <v>3</v>
      </c>
      <c r="AA790" s="89"/>
      <c r="AB790" s="89"/>
    </row>
    <row r="791" spans="1:28" s="31" customFormat="1" ht="60" customHeight="1" x14ac:dyDescent="0.2">
      <c r="A791" s="76">
        <v>790</v>
      </c>
      <c r="B791" s="77">
        <v>50002662</v>
      </c>
      <c r="C791" s="78" t="s">
        <v>2079</v>
      </c>
      <c r="D791" s="79">
        <v>0.05</v>
      </c>
      <c r="E791" s="80">
        <v>30049011</v>
      </c>
      <c r="F791" s="81" t="s">
        <v>2080</v>
      </c>
      <c r="G791" s="82" t="s">
        <v>2081</v>
      </c>
      <c r="H791" s="82" t="s">
        <v>4029</v>
      </c>
      <c r="I791" s="79" t="s">
        <v>2787</v>
      </c>
      <c r="J791" s="83">
        <v>234</v>
      </c>
      <c r="K791" s="83">
        <v>178.28571428571428</v>
      </c>
      <c r="L791" s="83">
        <v>148.57142857142856</v>
      </c>
      <c r="M791" s="84">
        <v>133.71428571428569</v>
      </c>
      <c r="N791" s="59">
        <f t="shared" si="12"/>
        <v>0.42857142857142866</v>
      </c>
      <c r="O791" s="85" t="s">
        <v>1969</v>
      </c>
      <c r="P791" s="86" t="s">
        <v>82</v>
      </c>
      <c r="Q791" s="87" t="s">
        <v>3208</v>
      </c>
      <c r="R791" s="87">
        <v>1</v>
      </c>
      <c r="S791" s="88">
        <v>234</v>
      </c>
      <c r="T791" s="88">
        <v>148.57142857142856</v>
      </c>
      <c r="U791" s="88">
        <v>133.71428571428569</v>
      </c>
      <c r="V791" s="87" t="s">
        <v>3062</v>
      </c>
      <c r="W791" s="87" t="s">
        <v>3113</v>
      </c>
      <c r="X791" s="90" t="s">
        <v>3480</v>
      </c>
      <c r="Y791" s="89"/>
      <c r="Z791" s="89">
        <v>1</v>
      </c>
      <c r="AA791" s="89"/>
      <c r="AB791" s="89"/>
    </row>
    <row r="792" spans="1:28" s="31" customFormat="1" ht="60" customHeight="1" x14ac:dyDescent="0.2">
      <c r="A792" s="76">
        <v>791</v>
      </c>
      <c r="B792" s="77">
        <v>50004271</v>
      </c>
      <c r="C792" s="78" t="s">
        <v>2082</v>
      </c>
      <c r="D792" s="79">
        <v>0.05</v>
      </c>
      <c r="E792" s="80">
        <v>30049011</v>
      </c>
      <c r="F792" s="81" t="s">
        <v>2083</v>
      </c>
      <c r="G792" s="82" t="s">
        <v>2084</v>
      </c>
      <c r="H792" s="82" t="s">
        <v>4030</v>
      </c>
      <c r="I792" s="79" t="s">
        <v>2687</v>
      </c>
      <c r="J792" s="83">
        <v>257</v>
      </c>
      <c r="K792" s="83">
        <v>195.8095238095238</v>
      </c>
      <c r="L792" s="83">
        <v>163.17460317460316</v>
      </c>
      <c r="M792" s="84">
        <v>146.85714285714286</v>
      </c>
      <c r="N792" s="59">
        <f t="shared" si="12"/>
        <v>0.42857142857142855</v>
      </c>
      <c r="O792" s="85" t="s">
        <v>1969</v>
      </c>
      <c r="P792" s="86" t="s">
        <v>2872</v>
      </c>
      <c r="Q792" s="87" t="s">
        <v>3208</v>
      </c>
      <c r="R792" s="87">
        <v>1</v>
      </c>
      <c r="S792" s="88">
        <v>257</v>
      </c>
      <c r="T792" s="88">
        <v>163.17460317460316</v>
      </c>
      <c r="U792" s="88">
        <v>146.85714285714286</v>
      </c>
      <c r="V792" s="87" t="s">
        <v>3062</v>
      </c>
      <c r="W792" s="87" t="s">
        <v>3113</v>
      </c>
      <c r="X792" s="90" t="s">
        <v>3480</v>
      </c>
      <c r="Y792" s="89"/>
      <c r="Z792" s="89">
        <v>1</v>
      </c>
      <c r="AA792" s="89"/>
      <c r="AB792" s="89"/>
    </row>
    <row r="793" spans="1:28" s="31" customFormat="1" ht="60" customHeight="1" x14ac:dyDescent="0.2">
      <c r="A793" s="76">
        <v>792</v>
      </c>
      <c r="B793" s="77">
        <v>50002934</v>
      </c>
      <c r="C793" s="78" t="s">
        <v>2085</v>
      </c>
      <c r="D793" s="79">
        <v>0.05</v>
      </c>
      <c r="E793" s="80">
        <v>30049099</v>
      </c>
      <c r="F793" s="81" t="s">
        <v>2086</v>
      </c>
      <c r="G793" s="82" t="s">
        <v>2087</v>
      </c>
      <c r="H793" s="82" t="s">
        <v>4031</v>
      </c>
      <c r="I793" s="79" t="s">
        <v>2666</v>
      </c>
      <c r="J793" s="83">
        <v>49.81</v>
      </c>
      <c r="K793" s="83">
        <v>37.950476190476188</v>
      </c>
      <c r="L793" s="83">
        <v>31.625396825396823</v>
      </c>
      <c r="M793" s="84">
        <v>28.462857142857143</v>
      </c>
      <c r="N793" s="59">
        <f t="shared" si="12"/>
        <v>0.4285714285714286</v>
      </c>
      <c r="O793" s="85" t="s">
        <v>1969</v>
      </c>
      <c r="P793" s="86" t="s">
        <v>22</v>
      </c>
      <c r="Q793" s="87" t="s">
        <v>3208</v>
      </c>
      <c r="R793" s="87">
        <v>10</v>
      </c>
      <c r="S793" s="88">
        <v>4.9809999999999999</v>
      </c>
      <c r="T793" s="88">
        <v>3.1625396825396823</v>
      </c>
      <c r="U793" s="88">
        <v>2.8462857142857141</v>
      </c>
      <c r="V793" s="87" t="s">
        <v>3061</v>
      </c>
      <c r="W793" s="87" t="s">
        <v>3103</v>
      </c>
      <c r="X793" s="90" t="s">
        <v>3477</v>
      </c>
      <c r="Y793" s="89"/>
      <c r="Z793" s="89">
        <v>6</v>
      </c>
      <c r="AA793" s="89"/>
      <c r="AB793" s="89"/>
    </row>
    <row r="794" spans="1:28" s="31" customFormat="1" ht="60" customHeight="1" x14ac:dyDescent="0.2">
      <c r="A794" s="76">
        <v>793</v>
      </c>
      <c r="B794" s="77">
        <v>50003151</v>
      </c>
      <c r="C794" s="78" t="s">
        <v>2088</v>
      </c>
      <c r="D794" s="79">
        <v>0.05</v>
      </c>
      <c r="E794" s="80">
        <v>30049099</v>
      </c>
      <c r="F794" s="81" t="s">
        <v>2089</v>
      </c>
      <c r="G794" s="82" t="s">
        <v>2090</v>
      </c>
      <c r="H794" s="82" t="s">
        <v>4032</v>
      </c>
      <c r="I794" s="79" t="s">
        <v>2680</v>
      </c>
      <c r="J794" s="83">
        <v>63.58</v>
      </c>
      <c r="K794" s="83">
        <v>48.441904761904759</v>
      </c>
      <c r="L794" s="83">
        <v>44.405079365079366</v>
      </c>
      <c r="M794" s="84">
        <v>39.964571428571439</v>
      </c>
      <c r="N794" s="59">
        <f t="shared" si="12"/>
        <v>0.37142857142857122</v>
      </c>
      <c r="O794" s="85" t="s">
        <v>1969</v>
      </c>
      <c r="P794" s="86" t="s">
        <v>2091</v>
      </c>
      <c r="Q794" s="87" t="s">
        <v>3208</v>
      </c>
      <c r="R794" s="87">
        <v>1</v>
      </c>
      <c r="S794" s="88">
        <v>63.58</v>
      </c>
      <c r="T794" s="88">
        <v>44.405079365079366</v>
      </c>
      <c r="U794" s="88">
        <v>39.964571428571439</v>
      </c>
      <c r="V794" s="87" t="s">
        <v>3062</v>
      </c>
      <c r="W794" s="87" t="s">
        <v>3103</v>
      </c>
      <c r="X794" s="90" t="s">
        <v>3480</v>
      </c>
      <c r="Y794" s="89"/>
      <c r="Z794" s="89">
        <v>1</v>
      </c>
      <c r="AA794" s="89"/>
      <c r="AB794" s="89"/>
    </row>
    <row r="795" spans="1:28" s="31" customFormat="1" ht="60" customHeight="1" x14ac:dyDescent="0.2">
      <c r="A795" s="76">
        <v>794</v>
      </c>
      <c r="B795" s="77">
        <v>50003089</v>
      </c>
      <c r="C795" s="78" t="s">
        <v>2092</v>
      </c>
      <c r="D795" s="79">
        <v>0.05</v>
      </c>
      <c r="E795" s="80">
        <v>30049011</v>
      </c>
      <c r="F795" s="81" t="s">
        <v>2093</v>
      </c>
      <c r="G795" s="82" t="s">
        <v>2094</v>
      </c>
      <c r="H795" s="82" t="s">
        <v>4033</v>
      </c>
      <c r="I795" s="79" t="s">
        <v>2809</v>
      </c>
      <c r="J795" s="83">
        <v>93</v>
      </c>
      <c r="K795" s="83">
        <v>70.857142857142861</v>
      </c>
      <c r="L795" s="83">
        <v>64.952380952380949</v>
      </c>
      <c r="M795" s="84">
        <v>58.457142857142834</v>
      </c>
      <c r="N795" s="59">
        <f t="shared" si="12"/>
        <v>0.37142857142857166</v>
      </c>
      <c r="O795" s="85" t="s">
        <v>1969</v>
      </c>
      <c r="P795" s="86" t="s">
        <v>2875</v>
      </c>
      <c r="Q795" s="87" t="s">
        <v>3208</v>
      </c>
      <c r="R795" s="87">
        <v>1</v>
      </c>
      <c r="S795" s="88">
        <v>93</v>
      </c>
      <c r="T795" s="88">
        <v>64.952380952380949</v>
      </c>
      <c r="U795" s="88">
        <v>58.457142857142834</v>
      </c>
      <c r="V795" s="87" t="s">
        <v>3066</v>
      </c>
      <c r="W795" s="87" t="s">
        <v>3103</v>
      </c>
      <c r="X795" s="90" t="s">
        <v>3493</v>
      </c>
      <c r="Y795" s="89"/>
      <c r="Z795" s="89">
        <v>1</v>
      </c>
      <c r="AA795" s="89"/>
      <c r="AB795" s="89"/>
    </row>
    <row r="796" spans="1:28" s="31" customFormat="1" ht="60" customHeight="1" x14ac:dyDescent="0.2">
      <c r="A796" s="76">
        <v>795</v>
      </c>
      <c r="B796" s="77">
        <v>50000241</v>
      </c>
      <c r="C796" s="78" t="s">
        <v>2095</v>
      </c>
      <c r="D796" s="79">
        <v>0.05</v>
      </c>
      <c r="E796" s="80">
        <v>30049067</v>
      </c>
      <c r="F796" s="81" t="s">
        <v>2096</v>
      </c>
      <c r="G796" s="82" t="s">
        <v>2097</v>
      </c>
      <c r="H796" s="82" t="s">
        <v>323</v>
      </c>
      <c r="I796" s="79" t="s">
        <v>2666</v>
      </c>
      <c r="J796" s="83">
        <v>59.85</v>
      </c>
      <c r="K796" s="83">
        <v>45.6</v>
      </c>
      <c r="L796" s="83">
        <v>22.8</v>
      </c>
      <c r="M796" s="84">
        <v>20.520000000000003</v>
      </c>
      <c r="N796" s="59">
        <f t="shared" si="12"/>
        <v>0.65714285714285714</v>
      </c>
      <c r="O796" s="85" t="s">
        <v>1969</v>
      </c>
      <c r="P796" s="86" t="s">
        <v>2789</v>
      </c>
      <c r="Q796" s="87" t="s">
        <v>3208</v>
      </c>
      <c r="R796" s="87">
        <v>10</v>
      </c>
      <c r="S796" s="88">
        <v>5.9850000000000003</v>
      </c>
      <c r="T796" s="88">
        <v>2.2800000000000002</v>
      </c>
      <c r="U796" s="88">
        <v>2.0520000000000005</v>
      </c>
      <c r="V796" s="87" t="s">
        <v>3061</v>
      </c>
      <c r="W796" s="87" t="s">
        <v>3106</v>
      </c>
      <c r="X796" s="90" t="s">
        <v>3477</v>
      </c>
      <c r="Y796" s="89"/>
      <c r="Z796" s="89">
        <v>10</v>
      </c>
      <c r="AA796" s="89"/>
      <c r="AB796" s="89"/>
    </row>
    <row r="797" spans="1:28" s="31" customFormat="1" ht="60" customHeight="1" x14ac:dyDescent="0.2">
      <c r="A797" s="76">
        <v>796</v>
      </c>
      <c r="B797" s="77">
        <v>50001166</v>
      </c>
      <c r="C797" s="78" t="s">
        <v>2098</v>
      </c>
      <c r="D797" s="79">
        <v>0.05</v>
      </c>
      <c r="E797" s="80">
        <v>30049099</v>
      </c>
      <c r="F797" s="81" t="s">
        <v>2099</v>
      </c>
      <c r="G797" s="82" t="s">
        <v>2100</v>
      </c>
      <c r="H797" s="82" t="s">
        <v>4034</v>
      </c>
      <c r="I797" s="79" t="s">
        <v>2907</v>
      </c>
      <c r="J797" s="83">
        <v>157.66</v>
      </c>
      <c r="K797" s="83">
        <v>120.12190476190476</v>
      </c>
      <c r="L797" s="83">
        <v>100.1015873015873</v>
      </c>
      <c r="M797" s="84">
        <v>100.10158730158727</v>
      </c>
      <c r="N797" s="59">
        <f t="shared" si="12"/>
        <v>0.36507936507936523</v>
      </c>
      <c r="O797" s="85" t="s">
        <v>1969</v>
      </c>
      <c r="P797" s="86" t="s">
        <v>3465</v>
      </c>
      <c r="Q797" s="87" t="s">
        <v>3208</v>
      </c>
      <c r="R797" s="87">
        <v>1</v>
      </c>
      <c r="S797" s="88">
        <v>157.66</v>
      </c>
      <c r="T797" s="88">
        <v>100.1015873015873</v>
      </c>
      <c r="U797" s="88">
        <v>100.10158730158727</v>
      </c>
      <c r="V797" s="87" t="s">
        <v>3062</v>
      </c>
      <c r="W797" s="87" t="s">
        <v>3108</v>
      </c>
      <c r="X797" s="90" t="s">
        <v>3480</v>
      </c>
      <c r="Y797" s="89"/>
      <c r="Z797" s="89">
        <v>1</v>
      </c>
      <c r="AA797" s="89"/>
      <c r="AB797" s="89"/>
    </row>
    <row r="798" spans="1:28" s="31" customFormat="1" ht="60" customHeight="1" x14ac:dyDescent="0.2">
      <c r="A798" s="76">
        <v>797</v>
      </c>
      <c r="B798" s="77">
        <v>50001316</v>
      </c>
      <c r="C798" s="78" t="s">
        <v>2101</v>
      </c>
      <c r="D798" s="79">
        <v>0.05</v>
      </c>
      <c r="E798" s="80">
        <v>30045090</v>
      </c>
      <c r="F798" s="81" t="s">
        <v>2102</v>
      </c>
      <c r="G798" s="82" t="s">
        <v>2103</v>
      </c>
      <c r="H798" s="82" t="s">
        <v>4035</v>
      </c>
      <c r="I798" s="79" t="s">
        <v>2717</v>
      </c>
      <c r="J798" s="83">
        <v>32.92</v>
      </c>
      <c r="K798" s="83">
        <v>25.081904761904759</v>
      </c>
      <c r="L798" s="83">
        <v>20.901587301587302</v>
      </c>
      <c r="M798" s="84">
        <v>18.811428571428564</v>
      </c>
      <c r="N798" s="59">
        <f t="shared" si="12"/>
        <v>0.42857142857142883</v>
      </c>
      <c r="O798" s="85" t="s">
        <v>1969</v>
      </c>
      <c r="P798" s="86" t="s">
        <v>2718</v>
      </c>
      <c r="Q798" s="87" t="s">
        <v>3208</v>
      </c>
      <c r="R798" s="87">
        <v>1</v>
      </c>
      <c r="S798" s="88">
        <v>32.92</v>
      </c>
      <c r="T798" s="88">
        <v>20.901587301587302</v>
      </c>
      <c r="U798" s="88">
        <v>18.811428571428564</v>
      </c>
      <c r="V798" s="87" t="s">
        <v>3065</v>
      </c>
      <c r="W798" s="87" t="s">
        <v>3108</v>
      </c>
      <c r="X798" s="90" t="s">
        <v>3479</v>
      </c>
      <c r="Y798" s="89"/>
      <c r="Z798" s="89">
        <v>12</v>
      </c>
      <c r="AA798" s="89" t="s">
        <v>3207</v>
      </c>
      <c r="AB798" s="89"/>
    </row>
    <row r="799" spans="1:28" s="31" customFormat="1" ht="60" customHeight="1" x14ac:dyDescent="0.2">
      <c r="A799" s="76">
        <v>798</v>
      </c>
      <c r="B799" s="77">
        <v>50003353</v>
      </c>
      <c r="C799" s="78" t="s">
        <v>2104</v>
      </c>
      <c r="D799" s="79">
        <v>0.05</v>
      </c>
      <c r="E799" s="80">
        <v>30049099</v>
      </c>
      <c r="F799" s="81" t="s">
        <v>2105</v>
      </c>
      <c r="G799" s="82" t="s">
        <v>2106</v>
      </c>
      <c r="H799" s="82" t="s">
        <v>4036</v>
      </c>
      <c r="I799" s="79" t="s">
        <v>2663</v>
      </c>
      <c r="J799" s="83">
        <v>144.1</v>
      </c>
      <c r="K799" s="83">
        <v>109.7904761904762</v>
      </c>
      <c r="L799" s="83">
        <v>91.492063492063508</v>
      </c>
      <c r="M799" s="84">
        <v>82.34285714285717</v>
      </c>
      <c r="N799" s="59">
        <f t="shared" si="12"/>
        <v>0.42857142857142838</v>
      </c>
      <c r="O799" s="85" t="s">
        <v>1969</v>
      </c>
      <c r="P799" s="86" t="s">
        <v>2908</v>
      </c>
      <c r="Q799" s="87" t="s">
        <v>3208</v>
      </c>
      <c r="R799" s="87">
        <v>15</v>
      </c>
      <c r="S799" s="88">
        <v>9.6066666666666656</v>
      </c>
      <c r="T799" s="88">
        <v>6.0994708994709006</v>
      </c>
      <c r="U799" s="88">
        <v>5.4895238095238117</v>
      </c>
      <c r="V799" s="87" t="s">
        <v>3061</v>
      </c>
      <c r="W799" s="87" t="s">
        <v>3108</v>
      </c>
      <c r="X799" s="90" t="s">
        <v>3477</v>
      </c>
      <c r="Y799" s="89"/>
      <c r="Z799" s="89">
        <v>10</v>
      </c>
      <c r="AA799" s="89" t="s">
        <v>3207</v>
      </c>
      <c r="AB799" s="89"/>
    </row>
    <row r="800" spans="1:28" s="31" customFormat="1" ht="60" customHeight="1" x14ac:dyDescent="0.2">
      <c r="A800" s="76">
        <v>799</v>
      </c>
      <c r="B800" s="77">
        <v>50001211</v>
      </c>
      <c r="C800" s="78" t="s">
        <v>2107</v>
      </c>
      <c r="D800" s="79">
        <v>0.05</v>
      </c>
      <c r="E800" s="80">
        <v>30049099</v>
      </c>
      <c r="F800" s="81" t="s">
        <v>2108</v>
      </c>
      <c r="G800" s="82" t="s">
        <v>2109</v>
      </c>
      <c r="H800" s="82" t="s">
        <v>4087</v>
      </c>
      <c r="I800" s="79" t="s">
        <v>2907</v>
      </c>
      <c r="J800" s="83">
        <v>181.48</v>
      </c>
      <c r="K800" s="83">
        <v>138.27047619047619</v>
      </c>
      <c r="L800" s="83">
        <v>115.22539682539683</v>
      </c>
      <c r="M800" s="84">
        <v>103.70285714285717</v>
      </c>
      <c r="N800" s="59">
        <f t="shared" si="12"/>
        <v>0.42857142857142838</v>
      </c>
      <c r="O800" s="85" t="s">
        <v>1969</v>
      </c>
      <c r="P800" s="86" t="s">
        <v>1101</v>
      </c>
      <c r="Q800" s="87" t="s">
        <v>3208</v>
      </c>
      <c r="R800" s="87">
        <v>1</v>
      </c>
      <c r="S800" s="88">
        <v>181.48</v>
      </c>
      <c r="T800" s="88">
        <v>115.22539682539683</v>
      </c>
      <c r="U800" s="88">
        <v>103.70285714285717</v>
      </c>
      <c r="V800" s="87" t="s">
        <v>3062</v>
      </c>
      <c r="W800" s="87" t="s">
        <v>3108</v>
      </c>
      <c r="X800" s="90" t="s">
        <v>3480</v>
      </c>
      <c r="Y800" s="89"/>
      <c r="Z800" s="89">
        <v>1</v>
      </c>
      <c r="AA800" s="89" t="s">
        <v>3207</v>
      </c>
      <c r="AB800" s="89"/>
    </row>
    <row r="801" spans="1:28" s="31" customFormat="1" ht="60" customHeight="1" x14ac:dyDescent="0.2">
      <c r="A801" s="76">
        <v>800</v>
      </c>
      <c r="B801" s="77">
        <v>50002621</v>
      </c>
      <c r="C801" s="78" t="s">
        <v>3358</v>
      </c>
      <c r="D801" s="79">
        <v>0.05</v>
      </c>
      <c r="E801" s="80">
        <v>30049039</v>
      </c>
      <c r="F801" s="81" t="s">
        <v>3375</v>
      </c>
      <c r="G801" s="82" t="s">
        <v>3388</v>
      </c>
      <c r="H801" s="82" t="s">
        <v>3401</v>
      </c>
      <c r="I801" s="79" t="s">
        <v>2693</v>
      </c>
      <c r="J801" s="83">
        <v>105.67</v>
      </c>
      <c r="K801" s="83">
        <v>80.510476190476183</v>
      </c>
      <c r="L801" s="83">
        <v>72.45942857142856</v>
      </c>
      <c r="M801" s="84">
        <v>66.421142857142854</v>
      </c>
      <c r="N801" s="59">
        <f t="shared" si="12"/>
        <v>0.37142857142857144</v>
      </c>
      <c r="O801" s="85" t="s">
        <v>1969</v>
      </c>
      <c r="P801" s="86" t="s">
        <v>81</v>
      </c>
      <c r="Q801" s="87" t="s">
        <v>3208</v>
      </c>
      <c r="R801" s="87">
        <v>10</v>
      </c>
      <c r="S801" s="88">
        <v>10.567</v>
      </c>
      <c r="T801" s="88">
        <v>7.2459428571428557</v>
      </c>
      <c r="U801" s="88">
        <v>6.6421142857142854</v>
      </c>
      <c r="V801" s="87" t="s">
        <v>3061</v>
      </c>
      <c r="W801" s="87" t="s">
        <v>3105</v>
      </c>
      <c r="X801" s="90" t="s">
        <v>3478</v>
      </c>
      <c r="Y801" s="89"/>
      <c r="Z801" s="89">
        <v>3</v>
      </c>
      <c r="AA801" s="89" t="s">
        <v>3207</v>
      </c>
      <c r="AB801" s="89"/>
    </row>
    <row r="802" spans="1:28" s="31" customFormat="1" ht="60" customHeight="1" x14ac:dyDescent="0.2">
      <c r="A802" s="76">
        <v>801</v>
      </c>
      <c r="B802" s="77">
        <v>50001357</v>
      </c>
      <c r="C802" s="78" t="s">
        <v>2110</v>
      </c>
      <c r="D802" s="79">
        <v>0.05</v>
      </c>
      <c r="E802" s="80">
        <v>30049039</v>
      </c>
      <c r="F802" s="81" t="s">
        <v>2111</v>
      </c>
      <c r="G802" s="82" t="s">
        <v>2112</v>
      </c>
      <c r="H802" s="82" t="s">
        <v>4037</v>
      </c>
      <c r="I802" s="79" t="s">
        <v>2666</v>
      </c>
      <c r="J802" s="83">
        <v>62.24</v>
      </c>
      <c r="K802" s="83">
        <v>47.420952380952386</v>
      </c>
      <c r="L802" s="83">
        <v>42.678857142857147</v>
      </c>
      <c r="M802" s="84">
        <v>38.410971428571436</v>
      </c>
      <c r="N802" s="59">
        <f t="shared" si="12"/>
        <v>0.38285714285714273</v>
      </c>
      <c r="O802" s="85" t="s">
        <v>1969</v>
      </c>
      <c r="P802" s="86" t="s">
        <v>3606</v>
      </c>
      <c r="Q802" s="87" t="s">
        <v>3208</v>
      </c>
      <c r="R802" s="87">
        <v>10</v>
      </c>
      <c r="S802" s="88">
        <v>6.2240000000000002</v>
      </c>
      <c r="T802" s="88">
        <v>4.2678857142857147</v>
      </c>
      <c r="U802" s="88">
        <v>3.8410971428571434</v>
      </c>
      <c r="V802" s="87" t="s">
        <v>3061</v>
      </c>
      <c r="W802" s="87" t="s">
        <v>3105</v>
      </c>
      <c r="X802" s="90" t="s">
        <v>3477</v>
      </c>
      <c r="Y802" s="89"/>
      <c r="Z802" s="89">
        <v>40</v>
      </c>
      <c r="AA802" s="89" t="s">
        <v>3207</v>
      </c>
      <c r="AB802" s="89"/>
    </row>
    <row r="803" spans="1:28" s="31" customFormat="1" ht="60" customHeight="1" x14ac:dyDescent="0.2">
      <c r="A803" s="76">
        <v>802</v>
      </c>
      <c r="B803" s="77">
        <v>50005722</v>
      </c>
      <c r="C803" s="78" t="s">
        <v>3630</v>
      </c>
      <c r="D803" s="79">
        <v>0.05</v>
      </c>
      <c r="E803" s="80">
        <v>30049087</v>
      </c>
      <c r="F803" s="81" t="s">
        <v>3643</v>
      </c>
      <c r="G803" s="82" t="s">
        <v>2618</v>
      </c>
      <c r="H803" s="82" t="s">
        <v>246</v>
      </c>
      <c r="I803" s="79" t="s">
        <v>2666</v>
      </c>
      <c r="J803" s="83">
        <v>198.51</v>
      </c>
      <c r="K803" s="83">
        <v>151.24571428571429</v>
      </c>
      <c r="L803" s="83">
        <v>136.12114285714284</v>
      </c>
      <c r="M803" s="84">
        <v>120.99657142857141</v>
      </c>
      <c r="N803" s="59">
        <f t="shared" si="12"/>
        <v>0.39047619047619053</v>
      </c>
      <c r="O803" s="85" t="s">
        <v>1969</v>
      </c>
      <c r="P803" s="86" t="s">
        <v>22</v>
      </c>
      <c r="Q803" s="87" t="s">
        <v>3208</v>
      </c>
      <c r="R803" s="87">
        <v>10</v>
      </c>
      <c r="S803" s="88">
        <v>19.850999999999999</v>
      </c>
      <c r="T803" s="88">
        <v>13.612114285714284</v>
      </c>
      <c r="U803" s="88">
        <v>12.099657142857142</v>
      </c>
      <c r="V803" s="87" t="s">
        <v>3061</v>
      </c>
      <c r="W803" s="87" t="s">
        <v>3105</v>
      </c>
      <c r="X803" s="90" t="s">
        <v>3477</v>
      </c>
      <c r="Y803" s="89"/>
      <c r="Z803" s="89"/>
      <c r="AA803" s="89" t="s">
        <v>3207</v>
      </c>
      <c r="AB803" s="89"/>
    </row>
    <row r="804" spans="1:28" s="31" customFormat="1" ht="60" customHeight="1" x14ac:dyDescent="0.2">
      <c r="A804" s="76">
        <v>803</v>
      </c>
      <c r="B804" s="77">
        <v>50005708</v>
      </c>
      <c r="C804" s="78" t="s">
        <v>3631</v>
      </c>
      <c r="D804" s="79">
        <v>0.05</v>
      </c>
      <c r="E804" s="80">
        <v>30049087</v>
      </c>
      <c r="F804" s="81" t="s">
        <v>3644</v>
      </c>
      <c r="G804" s="82" t="s">
        <v>2621</v>
      </c>
      <c r="H804" s="82" t="s">
        <v>47</v>
      </c>
      <c r="I804" s="79" t="s">
        <v>2666</v>
      </c>
      <c r="J804" s="83">
        <v>355.3</v>
      </c>
      <c r="K804" s="83">
        <v>270.70476190476194</v>
      </c>
      <c r="L804" s="83">
        <v>243.63428571428577</v>
      </c>
      <c r="M804" s="84">
        <v>216.56380952380954</v>
      </c>
      <c r="N804" s="59">
        <f t="shared" si="12"/>
        <v>0.39047619047619048</v>
      </c>
      <c r="O804" s="85" t="s">
        <v>1969</v>
      </c>
      <c r="P804" s="86" t="s">
        <v>22</v>
      </c>
      <c r="Q804" s="87" t="s">
        <v>3208</v>
      </c>
      <c r="R804" s="87">
        <v>10</v>
      </c>
      <c r="S804" s="88">
        <v>35.53</v>
      </c>
      <c r="T804" s="88">
        <v>24.363428571428578</v>
      </c>
      <c r="U804" s="88">
        <v>21.656380952380953</v>
      </c>
      <c r="V804" s="87" t="s">
        <v>3061</v>
      </c>
      <c r="W804" s="87" t="s">
        <v>3105</v>
      </c>
      <c r="X804" s="90" t="s">
        <v>3477</v>
      </c>
      <c r="Y804" s="89"/>
      <c r="Z804" s="89"/>
      <c r="AA804" s="89" t="s">
        <v>3207</v>
      </c>
      <c r="AB804" s="89"/>
    </row>
    <row r="805" spans="1:28" s="31" customFormat="1" ht="60" customHeight="1" x14ac:dyDescent="0.2">
      <c r="A805" s="76">
        <v>804</v>
      </c>
      <c r="B805" s="77">
        <v>50005709</v>
      </c>
      <c r="C805" s="78" t="s">
        <v>3632</v>
      </c>
      <c r="D805" s="79">
        <v>0.05</v>
      </c>
      <c r="E805" s="80">
        <v>30049087</v>
      </c>
      <c r="F805" s="81" t="s">
        <v>3645</v>
      </c>
      <c r="G805" s="82" t="s">
        <v>2624</v>
      </c>
      <c r="H805" s="82" t="s">
        <v>2625</v>
      </c>
      <c r="I805" s="79" t="s">
        <v>2666</v>
      </c>
      <c r="J805" s="83">
        <v>417.18</v>
      </c>
      <c r="K805" s="83">
        <v>317.85142857142853</v>
      </c>
      <c r="L805" s="83">
        <v>286.0662857142857</v>
      </c>
      <c r="M805" s="84">
        <v>254.28114285714287</v>
      </c>
      <c r="N805" s="59">
        <f t="shared" si="12"/>
        <v>0.39047619047619048</v>
      </c>
      <c r="O805" s="85" t="s">
        <v>1969</v>
      </c>
      <c r="P805" s="86" t="s">
        <v>77</v>
      </c>
      <c r="Q805" s="87" t="s">
        <v>3208</v>
      </c>
      <c r="R805" s="87">
        <v>10</v>
      </c>
      <c r="S805" s="88">
        <v>41.718000000000004</v>
      </c>
      <c r="T805" s="88">
        <v>28.606628571428569</v>
      </c>
      <c r="U805" s="88">
        <v>25.428114285714287</v>
      </c>
      <c r="V805" s="87" t="s">
        <v>3061</v>
      </c>
      <c r="W805" s="87" t="s">
        <v>3105</v>
      </c>
      <c r="X805" s="90" t="s">
        <v>3477</v>
      </c>
      <c r="Y805" s="89"/>
      <c r="Z805" s="89"/>
      <c r="AA805" s="89" t="s">
        <v>3207</v>
      </c>
      <c r="AB805" s="89"/>
    </row>
    <row r="806" spans="1:28" s="31" customFormat="1" ht="60" customHeight="1" x14ac:dyDescent="0.2">
      <c r="A806" s="76">
        <v>805</v>
      </c>
      <c r="B806" s="77">
        <v>50002580</v>
      </c>
      <c r="C806" s="78" t="s">
        <v>2113</v>
      </c>
      <c r="D806" s="79">
        <v>0.05</v>
      </c>
      <c r="E806" s="80">
        <v>30049033</v>
      </c>
      <c r="F806" s="81" t="s">
        <v>2114</v>
      </c>
      <c r="G806" s="82" t="s">
        <v>2115</v>
      </c>
      <c r="H806" s="82" t="s">
        <v>2116</v>
      </c>
      <c r="I806" s="79" t="s">
        <v>2682</v>
      </c>
      <c r="J806" s="83">
        <v>103.63</v>
      </c>
      <c r="K806" s="83">
        <v>78.956190476190471</v>
      </c>
      <c r="L806" s="83">
        <v>52.637460317460317</v>
      </c>
      <c r="M806" s="84">
        <v>31.582476190476182</v>
      </c>
      <c r="N806" s="59">
        <f t="shared" si="12"/>
        <v>0.69523809523809532</v>
      </c>
      <c r="O806" s="85" t="s">
        <v>1969</v>
      </c>
      <c r="P806" s="86" t="s">
        <v>4125</v>
      </c>
      <c r="Q806" s="87" t="s">
        <v>3208</v>
      </c>
      <c r="R806" s="87">
        <v>1</v>
      </c>
      <c r="S806" s="88">
        <v>103.63</v>
      </c>
      <c r="T806" s="88">
        <v>52.637460317460317</v>
      </c>
      <c r="U806" s="88">
        <v>31.582476190476182</v>
      </c>
      <c r="V806" s="87" t="s">
        <v>3062</v>
      </c>
      <c r="W806" s="87" t="s">
        <v>3105</v>
      </c>
      <c r="X806" s="90" t="s">
        <v>3480</v>
      </c>
      <c r="Y806" s="89"/>
      <c r="Z806" s="89">
        <v>1</v>
      </c>
      <c r="AA806" s="89" t="s">
        <v>3207</v>
      </c>
      <c r="AB806" s="89" t="s">
        <v>4672</v>
      </c>
    </row>
    <row r="807" spans="1:28" s="31" customFormat="1" ht="60" customHeight="1" x14ac:dyDescent="0.2">
      <c r="A807" s="76">
        <v>806</v>
      </c>
      <c r="B807" s="77">
        <v>50001246</v>
      </c>
      <c r="C807" s="78" t="s">
        <v>2117</v>
      </c>
      <c r="D807" s="79">
        <v>0.05</v>
      </c>
      <c r="E807" s="80">
        <v>30049099</v>
      </c>
      <c r="F807" s="81" t="s">
        <v>2118</v>
      </c>
      <c r="G807" s="82" t="s">
        <v>2119</v>
      </c>
      <c r="H807" s="82" t="s">
        <v>4038</v>
      </c>
      <c r="I807" s="79" t="s">
        <v>2744</v>
      </c>
      <c r="J807" s="83">
        <v>32.42</v>
      </c>
      <c r="K807" s="83">
        <v>24.70095238095238</v>
      </c>
      <c r="L807" s="83">
        <v>22.642539682539681</v>
      </c>
      <c r="M807" s="84">
        <v>20.37828571428572</v>
      </c>
      <c r="N807" s="59">
        <f t="shared" si="12"/>
        <v>0.37142857142857127</v>
      </c>
      <c r="O807" s="85" t="s">
        <v>1969</v>
      </c>
      <c r="P807" s="86" t="s">
        <v>2811</v>
      </c>
      <c r="Q807" s="87" t="s">
        <v>3208</v>
      </c>
      <c r="R807" s="87">
        <v>1</v>
      </c>
      <c r="S807" s="88">
        <v>32.42</v>
      </c>
      <c r="T807" s="88">
        <v>22.642539682539681</v>
      </c>
      <c r="U807" s="88">
        <v>20.37828571428572</v>
      </c>
      <c r="V807" s="87" t="s">
        <v>3064</v>
      </c>
      <c r="W807" s="87" t="s">
        <v>3105</v>
      </c>
      <c r="X807" s="90" t="s">
        <v>3489</v>
      </c>
      <c r="Y807" s="89"/>
      <c r="Z807" s="89">
        <v>12</v>
      </c>
      <c r="AA807" s="89"/>
      <c r="AB807" s="89"/>
    </row>
    <row r="808" spans="1:28" s="31" customFormat="1" ht="60" customHeight="1" x14ac:dyDescent="0.2">
      <c r="A808" s="76">
        <v>807</v>
      </c>
      <c r="B808" s="77">
        <v>50002565</v>
      </c>
      <c r="C808" s="78" t="s">
        <v>2120</v>
      </c>
      <c r="D808" s="79">
        <v>0.05</v>
      </c>
      <c r="E808" s="80">
        <v>30049039</v>
      </c>
      <c r="F808" s="81" t="s">
        <v>2121</v>
      </c>
      <c r="G808" s="82" t="s">
        <v>2122</v>
      </c>
      <c r="H808" s="82" t="s">
        <v>4039</v>
      </c>
      <c r="I808" s="79" t="s">
        <v>2693</v>
      </c>
      <c r="J808" s="83">
        <v>241.12</v>
      </c>
      <c r="K808" s="83">
        <v>183.71047619047619</v>
      </c>
      <c r="L808" s="83">
        <v>168.40126984126985</v>
      </c>
      <c r="M808" s="84">
        <v>151.56114285714287</v>
      </c>
      <c r="N808" s="59">
        <f t="shared" si="12"/>
        <v>0.37142857142857139</v>
      </c>
      <c r="O808" s="85" t="s">
        <v>1969</v>
      </c>
      <c r="P808" s="86" t="s">
        <v>2033</v>
      </c>
      <c r="Q808" s="87" t="s">
        <v>3208</v>
      </c>
      <c r="R808" s="87">
        <v>10</v>
      </c>
      <c r="S808" s="88">
        <v>24.112000000000002</v>
      </c>
      <c r="T808" s="88">
        <v>16.840126984126986</v>
      </c>
      <c r="U808" s="88">
        <v>15.156114285714287</v>
      </c>
      <c r="V808" s="87" t="s">
        <v>3061</v>
      </c>
      <c r="W808" s="87" t="s">
        <v>3105</v>
      </c>
      <c r="X808" s="90" t="s">
        <v>3478</v>
      </c>
      <c r="Y808" s="89"/>
      <c r="Z808" s="89">
        <v>3</v>
      </c>
      <c r="AA808" s="89"/>
      <c r="AB808" s="89"/>
    </row>
    <row r="809" spans="1:28" s="31" customFormat="1" ht="60" customHeight="1" x14ac:dyDescent="0.2">
      <c r="A809" s="76">
        <v>808</v>
      </c>
      <c r="B809" s="77">
        <v>50002399</v>
      </c>
      <c r="C809" s="78" t="s">
        <v>2123</v>
      </c>
      <c r="D809" s="79">
        <v>0.05</v>
      </c>
      <c r="E809" s="80">
        <v>30049039</v>
      </c>
      <c r="F809" s="81" t="s">
        <v>2124</v>
      </c>
      <c r="G809" s="82" t="s">
        <v>2125</v>
      </c>
      <c r="H809" s="82" t="s">
        <v>115</v>
      </c>
      <c r="I809" s="79" t="s">
        <v>2666</v>
      </c>
      <c r="J809" s="83">
        <v>46.15</v>
      </c>
      <c r="K809" s="83">
        <v>35.161904761904758</v>
      </c>
      <c r="L809" s="83">
        <v>32.231746031746027</v>
      </c>
      <c r="M809" s="84">
        <v>29.008571428571425</v>
      </c>
      <c r="N809" s="59">
        <f t="shared" si="12"/>
        <v>0.3714285714285715</v>
      </c>
      <c r="O809" s="85" t="s">
        <v>1969</v>
      </c>
      <c r="P809" s="86" t="s">
        <v>3158</v>
      </c>
      <c r="Q809" s="87" t="s">
        <v>3208</v>
      </c>
      <c r="R809" s="87">
        <v>10</v>
      </c>
      <c r="S809" s="88">
        <v>4.6150000000000002</v>
      </c>
      <c r="T809" s="88">
        <v>3.2231746031746029</v>
      </c>
      <c r="U809" s="88">
        <v>2.9008571428571424</v>
      </c>
      <c r="V809" s="87" t="s">
        <v>3061</v>
      </c>
      <c r="W809" s="87" t="s">
        <v>3105</v>
      </c>
      <c r="X809" s="90" t="s">
        <v>3477</v>
      </c>
      <c r="Y809" s="89"/>
      <c r="Z809" s="89">
        <v>6</v>
      </c>
      <c r="AA809" s="89"/>
      <c r="AB809" s="89"/>
    </row>
    <row r="810" spans="1:28" s="31" customFormat="1" ht="60" customHeight="1" x14ac:dyDescent="0.2">
      <c r="A810" s="76">
        <v>809</v>
      </c>
      <c r="B810" s="77">
        <v>50002369</v>
      </c>
      <c r="C810" s="78" t="s">
        <v>2128</v>
      </c>
      <c r="D810" s="79">
        <v>0.05</v>
      </c>
      <c r="E810" s="80">
        <v>30049099</v>
      </c>
      <c r="F810" s="81" t="s">
        <v>2129</v>
      </c>
      <c r="G810" s="82" t="s">
        <v>2130</v>
      </c>
      <c r="H810" s="82" t="s">
        <v>4040</v>
      </c>
      <c r="I810" s="79" t="s">
        <v>2687</v>
      </c>
      <c r="J810" s="83">
        <v>339.17</v>
      </c>
      <c r="K810" s="83">
        <v>258.41523809523812</v>
      </c>
      <c r="L810" s="83">
        <v>236.88063492063495</v>
      </c>
      <c r="M810" s="84">
        <v>217.06880000000007</v>
      </c>
      <c r="N810" s="59">
        <f t="shared" si="12"/>
        <v>0.35999999999999982</v>
      </c>
      <c r="O810" s="85" t="s">
        <v>1969</v>
      </c>
      <c r="P810" s="86" t="s">
        <v>82</v>
      </c>
      <c r="Q810" s="87" t="s">
        <v>3208</v>
      </c>
      <c r="R810" s="87">
        <v>1</v>
      </c>
      <c r="S810" s="88">
        <v>339.17</v>
      </c>
      <c r="T810" s="88">
        <v>236.88063492063495</v>
      </c>
      <c r="U810" s="88">
        <v>217.06880000000007</v>
      </c>
      <c r="V810" s="87" t="s">
        <v>3062</v>
      </c>
      <c r="W810" s="87" t="s">
        <v>3105</v>
      </c>
      <c r="X810" s="90" t="s">
        <v>3480</v>
      </c>
      <c r="Y810" s="89"/>
      <c r="Z810" s="89">
        <v>1</v>
      </c>
      <c r="AA810" s="89"/>
      <c r="AB810" s="89"/>
    </row>
    <row r="811" spans="1:28" s="31" customFormat="1" ht="60" customHeight="1" x14ac:dyDescent="0.2">
      <c r="A811" s="76">
        <v>810</v>
      </c>
      <c r="B811" s="77">
        <v>50005840</v>
      </c>
      <c r="C811" s="78" t="s">
        <v>4226</v>
      </c>
      <c r="D811" s="79">
        <v>0.05</v>
      </c>
      <c r="E811" s="80">
        <v>30049099</v>
      </c>
      <c r="F811" s="81" t="s">
        <v>4238</v>
      </c>
      <c r="G811" s="82" t="s">
        <v>1190</v>
      </c>
      <c r="H811" s="82" t="s">
        <v>3886</v>
      </c>
      <c r="I811" s="79" t="s">
        <v>2687</v>
      </c>
      <c r="J811" s="83">
        <v>175.3</v>
      </c>
      <c r="K811" s="83">
        <v>133.56190476190477</v>
      </c>
      <c r="L811" s="83">
        <v>111.3015873015873</v>
      </c>
      <c r="M811" s="84">
        <v>100.17142857142858</v>
      </c>
      <c r="N811" s="59">
        <f t="shared" si="12"/>
        <v>0.42857142857142855</v>
      </c>
      <c r="O811" s="85" t="s">
        <v>1969</v>
      </c>
      <c r="P811" s="86" t="s">
        <v>82</v>
      </c>
      <c r="Q811" s="87" t="s">
        <v>3208</v>
      </c>
      <c r="R811" s="87">
        <v>1</v>
      </c>
      <c r="S811" s="88">
        <v>175.3</v>
      </c>
      <c r="T811" s="88">
        <v>111.3015873015873</v>
      </c>
      <c r="U811" s="88">
        <v>100.17142857142858</v>
      </c>
      <c r="V811" s="87" t="s">
        <v>3062</v>
      </c>
      <c r="W811" s="87" t="s">
        <v>3105</v>
      </c>
      <c r="X811" s="90" t="s">
        <v>3480</v>
      </c>
      <c r="Y811" s="89"/>
      <c r="Z811" s="89"/>
      <c r="AA811" s="89"/>
      <c r="AB811" s="89"/>
    </row>
    <row r="812" spans="1:28" s="31" customFormat="1" ht="60" customHeight="1" x14ac:dyDescent="0.2">
      <c r="A812" s="76">
        <v>811</v>
      </c>
      <c r="B812" s="77">
        <v>50000519</v>
      </c>
      <c r="C812" s="78" t="s">
        <v>2131</v>
      </c>
      <c r="D812" s="79">
        <v>0.05</v>
      </c>
      <c r="E812" s="80">
        <v>30049069</v>
      </c>
      <c r="F812" s="81" t="s">
        <v>2132</v>
      </c>
      <c r="G812" s="82" t="s">
        <v>2133</v>
      </c>
      <c r="H812" s="82" t="s">
        <v>3912</v>
      </c>
      <c r="I812" s="79" t="s">
        <v>2666</v>
      </c>
      <c r="J812" s="83">
        <v>87.2</v>
      </c>
      <c r="K812" s="83">
        <v>66.438095238095244</v>
      </c>
      <c r="L812" s="83">
        <v>59.794285714285721</v>
      </c>
      <c r="M812" s="84">
        <v>53.814857142857136</v>
      </c>
      <c r="N812" s="59">
        <f t="shared" si="12"/>
        <v>0.38285714285714295</v>
      </c>
      <c r="O812" s="85" t="s">
        <v>1969</v>
      </c>
      <c r="P812" s="86" t="s">
        <v>4262</v>
      </c>
      <c r="Q812" s="87" t="s">
        <v>3208</v>
      </c>
      <c r="R812" s="87">
        <v>10</v>
      </c>
      <c r="S812" s="88">
        <v>8.7200000000000006</v>
      </c>
      <c r="T812" s="88">
        <v>5.9794285714285724</v>
      </c>
      <c r="U812" s="88">
        <v>5.3814857142857138</v>
      </c>
      <c r="V812" s="87" t="s">
        <v>3061</v>
      </c>
      <c r="W812" s="87" t="s">
        <v>3106</v>
      </c>
      <c r="X812" s="90" t="s">
        <v>3477</v>
      </c>
      <c r="Y812" s="89"/>
      <c r="Z812" s="89">
        <v>10</v>
      </c>
      <c r="AA812" s="89"/>
      <c r="AB812" s="89"/>
    </row>
    <row r="813" spans="1:28" s="31" customFormat="1" ht="60" customHeight="1" x14ac:dyDescent="0.2">
      <c r="A813" s="76">
        <v>812</v>
      </c>
      <c r="B813" s="77">
        <v>50001226</v>
      </c>
      <c r="C813" s="78" t="s">
        <v>2134</v>
      </c>
      <c r="D813" s="79">
        <v>0.05</v>
      </c>
      <c r="E813" s="80">
        <v>30049099</v>
      </c>
      <c r="F813" s="81" t="s">
        <v>2135</v>
      </c>
      <c r="G813" s="82" t="s">
        <v>2136</v>
      </c>
      <c r="H813" s="82" t="s">
        <v>2137</v>
      </c>
      <c r="I813" s="79" t="s">
        <v>2717</v>
      </c>
      <c r="J813" s="83">
        <v>25.11</v>
      </c>
      <c r="K813" s="83">
        <v>19.131428571428572</v>
      </c>
      <c r="L813" s="83">
        <v>9.5657142857142858</v>
      </c>
      <c r="M813" s="84">
        <v>8.6091428571428583</v>
      </c>
      <c r="N813" s="59">
        <f t="shared" si="12"/>
        <v>0.65714285714285714</v>
      </c>
      <c r="O813" s="85" t="s">
        <v>1969</v>
      </c>
      <c r="P813" s="86" t="s">
        <v>2909</v>
      </c>
      <c r="Q813" s="87" t="s">
        <v>3207</v>
      </c>
      <c r="R813" s="87">
        <v>1</v>
      </c>
      <c r="S813" s="88">
        <v>25.11</v>
      </c>
      <c r="T813" s="88">
        <v>9.5657142857142858</v>
      </c>
      <c r="U813" s="88">
        <v>8.6091428571428583</v>
      </c>
      <c r="V813" s="87" t="s">
        <v>3065</v>
      </c>
      <c r="W813" s="87" t="s">
        <v>3106</v>
      </c>
      <c r="X813" s="90" t="s">
        <v>3479</v>
      </c>
      <c r="Y813" s="89"/>
      <c r="Z813" s="89">
        <v>12</v>
      </c>
      <c r="AA813" s="89"/>
      <c r="AB813" s="89"/>
    </row>
    <row r="814" spans="1:28" s="31" customFormat="1" ht="60" customHeight="1" x14ac:dyDescent="0.2">
      <c r="A814" s="76">
        <v>813</v>
      </c>
      <c r="B814" s="77">
        <v>50001809</v>
      </c>
      <c r="C814" s="78" t="s">
        <v>2138</v>
      </c>
      <c r="D814" s="79">
        <v>0.05</v>
      </c>
      <c r="E814" s="80">
        <v>30049039</v>
      </c>
      <c r="F814" s="81" t="s">
        <v>2139</v>
      </c>
      <c r="G814" s="82" t="s">
        <v>2140</v>
      </c>
      <c r="H814" s="82" t="s">
        <v>4039</v>
      </c>
      <c r="I814" s="79" t="s">
        <v>2693</v>
      </c>
      <c r="J814" s="83">
        <v>154.71</v>
      </c>
      <c r="K814" s="83">
        <v>117.87428571428572</v>
      </c>
      <c r="L814" s="83">
        <v>108.05142857142857</v>
      </c>
      <c r="M814" s="84">
        <v>97.246285714285719</v>
      </c>
      <c r="N814" s="59">
        <f t="shared" si="12"/>
        <v>0.37142857142857144</v>
      </c>
      <c r="O814" s="85" t="s">
        <v>1969</v>
      </c>
      <c r="P814" s="86" t="s">
        <v>2694</v>
      </c>
      <c r="Q814" s="87" t="s">
        <v>3208</v>
      </c>
      <c r="R814" s="87">
        <v>10</v>
      </c>
      <c r="S814" s="88">
        <v>15.471</v>
      </c>
      <c r="T814" s="88">
        <v>10.805142857142858</v>
      </c>
      <c r="U814" s="88">
        <v>9.7246285714285712</v>
      </c>
      <c r="V814" s="87" t="s">
        <v>3061</v>
      </c>
      <c r="W814" s="87" t="s">
        <v>3105</v>
      </c>
      <c r="X814" s="90" t="s">
        <v>3478</v>
      </c>
      <c r="Y814" s="89"/>
      <c r="Z814" s="89">
        <v>3</v>
      </c>
      <c r="AA814" s="89"/>
      <c r="AB814" s="89"/>
    </row>
    <row r="815" spans="1:28" s="31" customFormat="1" ht="60" customHeight="1" x14ac:dyDescent="0.2">
      <c r="A815" s="76">
        <v>814</v>
      </c>
      <c r="B815" s="77">
        <v>50002180</v>
      </c>
      <c r="C815" s="78" t="s">
        <v>2141</v>
      </c>
      <c r="D815" s="79">
        <v>0.05</v>
      </c>
      <c r="E815" s="80">
        <v>30049099</v>
      </c>
      <c r="F815" s="81" t="s">
        <v>2142</v>
      </c>
      <c r="G815" s="82" t="s">
        <v>2143</v>
      </c>
      <c r="H815" s="82" t="s">
        <v>3400</v>
      </c>
      <c r="I815" s="79" t="s">
        <v>2666</v>
      </c>
      <c r="J815" s="83">
        <v>133.49</v>
      </c>
      <c r="K815" s="83">
        <v>101.70666666666668</v>
      </c>
      <c r="L815" s="83">
        <v>93.231111111111133</v>
      </c>
      <c r="M815" s="84">
        <v>83.907999999999987</v>
      </c>
      <c r="N815" s="59">
        <f t="shared" si="12"/>
        <v>0.37142857142857155</v>
      </c>
      <c r="O815" s="85" t="s">
        <v>1969</v>
      </c>
      <c r="P815" s="86" t="s">
        <v>2694</v>
      </c>
      <c r="Q815" s="87" t="s">
        <v>3208</v>
      </c>
      <c r="R815" s="87">
        <v>10</v>
      </c>
      <c r="S815" s="88">
        <v>13.349</v>
      </c>
      <c r="T815" s="88">
        <v>9.323111111111114</v>
      </c>
      <c r="U815" s="88">
        <v>8.3907999999999987</v>
      </c>
      <c r="V815" s="87" t="s">
        <v>3061</v>
      </c>
      <c r="W815" s="87" t="s">
        <v>3107</v>
      </c>
      <c r="X815" s="90" t="s">
        <v>3477</v>
      </c>
      <c r="Y815" s="89"/>
      <c r="Z815" s="89">
        <v>3</v>
      </c>
      <c r="AA815" s="89"/>
      <c r="AB815" s="89"/>
    </row>
    <row r="816" spans="1:28" s="31" customFormat="1" ht="60" customHeight="1" x14ac:dyDescent="0.2">
      <c r="A816" s="76">
        <v>815</v>
      </c>
      <c r="B816" s="77">
        <v>50003058</v>
      </c>
      <c r="C816" s="78" t="s">
        <v>2144</v>
      </c>
      <c r="D816" s="79">
        <v>0.05</v>
      </c>
      <c r="E816" s="80">
        <v>21069099</v>
      </c>
      <c r="F816" s="81" t="s">
        <v>2145</v>
      </c>
      <c r="G816" s="82" t="s">
        <v>2146</v>
      </c>
      <c r="H816" s="82" t="s">
        <v>4041</v>
      </c>
      <c r="I816" s="79" t="s">
        <v>3140</v>
      </c>
      <c r="J816" s="83">
        <v>64</v>
      </c>
      <c r="K816" s="83">
        <v>48.761904761904759</v>
      </c>
      <c r="L816" s="83">
        <v>48.761904761904759</v>
      </c>
      <c r="M816" s="84">
        <v>43.885714285714279</v>
      </c>
      <c r="N816" s="59">
        <f t="shared" si="12"/>
        <v>0.31428571428571439</v>
      </c>
      <c r="O816" s="85" t="s">
        <v>1969</v>
      </c>
      <c r="P816" s="86" t="s">
        <v>2781</v>
      </c>
      <c r="Q816" s="87" t="s">
        <v>3208</v>
      </c>
      <c r="R816" s="87">
        <v>1</v>
      </c>
      <c r="S816" s="88">
        <v>64</v>
      </c>
      <c r="T816" s="88">
        <v>48.761904761904759</v>
      </c>
      <c r="U816" s="88">
        <v>43.885714285714279</v>
      </c>
      <c r="V816" s="87" t="s">
        <v>3062</v>
      </c>
      <c r="W816" s="87" t="s">
        <v>3108</v>
      </c>
      <c r="X816" s="90" t="s">
        <v>3482</v>
      </c>
      <c r="Y816" s="89"/>
      <c r="Z816" s="89">
        <v>1</v>
      </c>
      <c r="AA816" s="89" t="s">
        <v>3207</v>
      </c>
      <c r="AB816" s="89"/>
    </row>
    <row r="817" spans="1:28" s="31" customFormat="1" ht="60" customHeight="1" x14ac:dyDescent="0.2">
      <c r="A817" s="76">
        <v>816</v>
      </c>
      <c r="B817" s="77">
        <v>50003024</v>
      </c>
      <c r="C817" s="78" t="s">
        <v>2147</v>
      </c>
      <c r="D817" s="79">
        <v>0.05</v>
      </c>
      <c r="E817" s="80">
        <v>21069099</v>
      </c>
      <c r="F817" s="81" t="s">
        <v>2148</v>
      </c>
      <c r="G817" s="82" t="s">
        <v>2149</v>
      </c>
      <c r="H817" s="82" t="s">
        <v>4042</v>
      </c>
      <c r="I817" s="79" t="s">
        <v>2871</v>
      </c>
      <c r="J817" s="83">
        <v>338</v>
      </c>
      <c r="K817" s="83">
        <v>257.52380952380952</v>
      </c>
      <c r="L817" s="83">
        <v>214.60317460317461</v>
      </c>
      <c r="M817" s="84">
        <v>214.60317460317461</v>
      </c>
      <c r="N817" s="59">
        <f t="shared" si="12"/>
        <v>0.36507936507936506</v>
      </c>
      <c r="O817" s="85" t="s">
        <v>1969</v>
      </c>
      <c r="P817" s="86" t="s">
        <v>2864</v>
      </c>
      <c r="Q817" s="87" t="s">
        <v>3208</v>
      </c>
      <c r="R817" s="87">
        <v>1</v>
      </c>
      <c r="S817" s="88">
        <v>338</v>
      </c>
      <c r="T817" s="88">
        <v>214.60317460317461</v>
      </c>
      <c r="U817" s="88">
        <v>214.60317460317461</v>
      </c>
      <c r="V817" s="87" t="s">
        <v>3068</v>
      </c>
      <c r="W817" s="87" t="s">
        <v>3108</v>
      </c>
      <c r="X817" s="90" t="s">
        <v>3490</v>
      </c>
      <c r="Y817" s="89"/>
      <c r="Z817" s="89">
        <v>1</v>
      </c>
      <c r="AA817" s="89"/>
      <c r="AB817" s="89"/>
    </row>
    <row r="818" spans="1:28" s="31" customFormat="1" ht="60" customHeight="1" x14ac:dyDescent="0.2">
      <c r="A818" s="76">
        <v>817</v>
      </c>
      <c r="B818" s="77">
        <v>50002414</v>
      </c>
      <c r="C818" s="78" t="s">
        <v>2150</v>
      </c>
      <c r="D818" s="79">
        <v>0.05</v>
      </c>
      <c r="E818" s="80">
        <v>21069099</v>
      </c>
      <c r="F818" s="81" t="s">
        <v>2151</v>
      </c>
      <c r="G818" s="82" t="s">
        <v>2152</v>
      </c>
      <c r="H818" s="82" t="s">
        <v>4043</v>
      </c>
      <c r="I818" s="79" t="s">
        <v>2666</v>
      </c>
      <c r="J818" s="83">
        <v>222</v>
      </c>
      <c r="K818" s="83">
        <v>169.14285714285714</v>
      </c>
      <c r="L818" s="83">
        <v>155.04761904761904</v>
      </c>
      <c r="M818" s="84">
        <v>139.54285714285714</v>
      </c>
      <c r="N818" s="59">
        <f t="shared" si="12"/>
        <v>0.37142857142857144</v>
      </c>
      <c r="O818" s="85" t="s">
        <v>1969</v>
      </c>
      <c r="P818" s="86" t="s">
        <v>2910</v>
      </c>
      <c r="Q818" s="87" t="s">
        <v>3208</v>
      </c>
      <c r="R818" s="87">
        <v>10</v>
      </c>
      <c r="S818" s="88">
        <v>22.2</v>
      </c>
      <c r="T818" s="88">
        <v>15.504761904761903</v>
      </c>
      <c r="U818" s="88">
        <v>13.954285714285714</v>
      </c>
      <c r="V818" s="87" t="s">
        <v>3061</v>
      </c>
      <c r="W818" s="87" t="s">
        <v>3108</v>
      </c>
      <c r="X818" s="90" t="s">
        <v>3477</v>
      </c>
      <c r="Y818" s="89"/>
      <c r="Z818" s="89">
        <v>10</v>
      </c>
      <c r="AA818" s="89"/>
      <c r="AB818" s="89"/>
    </row>
    <row r="819" spans="1:28" s="31" customFormat="1" ht="60" customHeight="1" x14ac:dyDescent="0.2">
      <c r="A819" s="76">
        <v>818</v>
      </c>
      <c r="B819" s="77">
        <v>50002631</v>
      </c>
      <c r="C819" s="78" t="s">
        <v>2153</v>
      </c>
      <c r="D819" s="79">
        <v>0.05</v>
      </c>
      <c r="E819" s="80">
        <v>21069099</v>
      </c>
      <c r="F819" s="81" t="s">
        <v>2154</v>
      </c>
      <c r="G819" s="82" t="s">
        <v>2154</v>
      </c>
      <c r="H819" s="82" t="s">
        <v>85</v>
      </c>
      <c r="I819" s="79" t="s">
        <v>2724</v>
      </c>
      <c r="J819" s="83">
        <v>66</v>
      </c>
      <c r="K819" s="83">
        <v>50.285714285714285</v>
      </c>
      <c r="L819" s="83">
        <v>41.904761904761905</v>
      </c>
      <c r="M819" s="84">
        <v>37.714285714285715</v>
      </c>
      <c r="N819" s="59">
        <f t="shared" si="12"/>
        <v>0.42857142857142855</v>
      </c>
      <c r="O819" s="85" t="s">
        <v>1969</v>
      </c>
      <c r="P819" s="86" t="s">
        <v>2911</v>
      </c>
      <c r="Q819" s="87" t="s">
        <v>3208</v>
      </c>
      <c r="R819" s="87">
        <v>1</v>
      </c>
      <c r="S819" s="88">
        <v>66</v>
      </c>
      <c r="T819" s="88">
        <v>41.904761904761905</v>
      </c>
      <c r="U819" s="88">
        <v>37.714285714285715</v>
      </c>
      <c r="V819" s="87" t="s">
        <v>3064</v>
      </c>
      <c r="W819" s="87" t="s">
        <v>3108</v>
      </c>
      <c r="X819" s="90" t="s">
        <v>3489</v>
      </c>
      <c r="Y819" s="89"/>
      <c r="Z819" s="89">
        <v>6</v>
      </c>
      <c r="AA819" s="89"/>
      <c r="AB819" s="89"/>
    </row>
    <row r="820" spans="1:28" s="31" customFormat="1" ht="60" customHeight="1" x14ac:dyDescent="0.2">
      <c r="A820" s="76">
        <v>819</v>
      </c>
      <c r="B820" s="77">
        <v>50004492</v>
      </c>
      <c r="C820" s="78" t="s">
        <v>2155</v>
      </c>
      <c r="D820" s="79">
        <v>0.05</v>
      </c>
      <c r="E820" s="80">
        <v>90183990</v>
      </c>
      <c r="F820" s="81" t="s">
        <v>2156</v>
      </c>
      <c r="G820" s="82" t="s">
        <v>2157</v>
      </c>
      <c r="H820" s="82" t="s">
        <v>85</v>
      </c>
      <c r="I820" s="79" t="s">
        <v>2728</v>
      </c>
      <c r="J820" s="83">
        <v>1217.81</v>
      </c>
      <c r="K820" s="83">
        <v>927.85523809523806</v>
      </c>
      <c r="L820" s="83">
        <v>927.85523809523806</v>
      </c>
      <c r="M820" s="84">
        <v>927.85523809523829</v>
      </c>
      <c r="N820" s="59">
        <f t="shared" si="12"/>
        <v>0.23809523809523789</v>
      </c>
      <c r="O820" s="85" t="s">
        <v>2158</v>
      </c>
      <c r="P820" s="86" t="s">
        <v>4266</v>
      </c>
      <c r="Q820" s="87" t="s">
        <v>3208</v>
      </c>
      <c r="R820" s="87">
        <v>1</v>
      </c>
      <c r="S820" s="88">
        <v>1217.81</v>
      </c>
      <c r="T820" s="88">
        <v>927.85523809523806</v>
      </c>
      <c r="U820" s="88">
        <v>927.85523809523829</v>
      </c>
      <c r="V820" s="87" t="s">
        <v>3063</v>
      </c>
      <c r="W820" s="87" t="s">
        <v>3114</v>
      </c>
      <c r="X820" s="90" t="s">
        <v>2728</v>
      </c>
      <c r="Y820" s="89"/>
      <c r="Z820" s="89">
        <v>1</v>
      </c>
      <c r="AA820" s="89"/>
      <c r="AB820" s="89"/>
    </row>
    <row r="821" spans="1:28" s="31" customFormat="1" ht="60" customHeight="1" x14ac:dyDescent="0.2">
      <c r="A821" s="76">
        <v>820</v>
      </c>
      <c r="B821" s="77">
        <v>50003325</v>
      </c>
      <c r="C821" s="78" t="s">
        <v>2159</v>
      </c>
      <c r="D821" s="79">
        <v>0.05</v>
      </c>
      <c r="E821" s="80">
        <v>30045036</v>
      </c>
      <c r="F821" s="81" t="s">
        <v>2160</v>
      </c>
      <c r="G821" s="82" t="s">
        <v>2161</v>
      </c>
      <c r="H821" s="82" t="s">
        <v>2162</v>
      </c>
      <c r="I821" s="79" t="s">
        <v>2912</v>
      </c>
      <c r="J821" s="83">
        <v>152.59</v>
      </c>
      <c r="K821" s="83">
        <v>116.25904761904762</v>
      </c>
      <c r="L821" s="83">
        <v>116.25904761904762</v>
      </c>
      <c r="M821" s="84">
        <v>93.007238095238108</v>
      </c>
      <c r="N821" s="59">
        <f t="shared" si="12"/>
        <v>0.39047619047619042</v>
      </c>
      <c r="O821" s="85" t="s">
        <v>2158</v>
      </c>
      <c r="P821" s="86" t="s">
        <v>2692</v>
      </c>
      <c r="Q821" s="87" t="s">
        <v>3207</v>
      </c>
      <c r="R821" s="87">
        <v>8</v>
      </c>
      <c r="S821" s="88">
        <v>19.07375</v>
      </c>
      <c r="T821" s="88">
        <v>14.532380952380953</v>
      </c>
      <c r="U821" s="88">
        <v>11.625904761904764</v>
      </c>
      <c r="V821" s="87" t="s">
        <v>3061</v>
      </c>
      <c r="W821" s="87" t="s">
        <v>3108</v>
      </c>
      <c r="X821" s="90" t="s">
        <v>3478</v>
      </c>
      <c r="Y821" s="89"/>
      <c r="Z821" s="89">
        <v>1</v>
      </c>
      <c r="AA821" s="89"/>
      <c r="AB821" s="89"/>
    </row>
    <row r="822" spans="1:28" s="31" customFormat="1" ht="60" customHeight="1" x14ac:dyDescent="0.2">
      <c r="A822" s="76">
        <v>821</v>
      </c>
      <c r="B822" s="77">
        <v>50005500</v>
      </c>
      <c r="C822" s="78" t="s">
        <v>3550</v>
      </c>
      <c r="D822" s="79">
        <v>0.05</v>
      </c>
      <c r="E822" s="80">
        <v>30049099</v>
      </c>
      <c r="F822" s="81" t="s">
        <v>3591</v>
      </c>
      <c r="G822" s="82" t="s">
        <v>3541</v>
      </c>
      <c r="H822" s="82" t="s">
        <v>30</v>
      </c>
      <c r="I822" s="79" t="s">
        <v>2666</v>
      </c>
      <c r="J822" s="83">
        <v>51.46</v>
      </c>
      <c r="K822" s="83">
        <v>39.207619047619048</v>
      </c>
      <c r="L822" s="83">
        <v>39.207619047619048</v>
      </c>
      <c r="M822" s="84">
        <v>27.44533333333333</v>
      </c>
      <c r="N822" s="59">
        <f t="shared" si="12"/>
        <v>0.46666666666666673</v>
      </c>
      <c r="O822" s="85" t="s">
        <v>2158</v>
      </c>
      <c r="P822" s="86" t="s">
        <v>2683</v>
      </c>
      <c r="Q822" s="87" t="s">
        <v>3208</v>
      </c>
      <c r="R822" s="87">
        <v>10</v>
      </c>
      <c r="S822" s="88">
        <v>5.1459999999999999</v>
      </c>
      <c r="T822" s="88">
        <v>3.9207619047619047</v>
      </c>
      <c r="U822" s="88">
        <v>2.744533333333333</v>
      </c>
      <c r="V822" s="87" t="s">
        <v>3061</v>
      </c>
      <c r="W822" s="87" t="s">
        <v>3114</v>
      </c>
      <c r="X822" s="90" t="s">
        <v>3477</v>
      </c>
      <c r="Y822" s="89" t="s">
        <v>3455</v>
      </c>
      <c r="Z822" s="89">
        <v>3</v>
      </c>
      <c r="AA822" s="89"/>
      <c r="AB822" s="89"/>
    </row>
    <row r="823" spans="1:28" s="31" customFormat="1" ht="60" customHeight="1" x14ac:dyDescent="0.2">
      <c r="A823" s="76">
        <v>822</v>
      </c>
      <c r="B823" s="77">
        <v>50005501</v>
      </c>
      <c r="C823" s="78" t="s">
        <v>3551</v>
      </c>
      <c r="D823" s="79">
        <v>0.05</v>
      </c>
      <c r="E823" s="80">
        <v>30049099</v>
      </c>
      <c r="F823" s="81" t="s">
        <v>3592</v>
      </c>
      <c r="G823" s="82" t="s">
        <v>3542</v>
      </c>
      <c r="H823" s="82" t="s">
        <v>154</v>
      </c>
      <c r="I823" s="79" t="s">
        <v>2666</v>
      </c>
      <c r="J823" s="83">
        <v>102.08</v>
      </c>
      <c r="K823" s="83">
        <v>77.775238095238095</v>
      </c>
      <c r="L823" s="83">
        <v>77.775238095238095</v>
      </c>
      <c r="M823" s="84">
        <v>54.442666666666675</v>
      </c>
      <c r="N823" s="59">
        <f t="shared" si="12"/>
        <v>0.46666666666666656</v>
      </c>
      <c r="O823" s="85" t="s">
        <v>2158</v>
      </c>
      <c r="P823" s="86" t="s">
        <v>2683</v>
      </c>
      <c r="Q823" s="87" t="s">
        <v>3208</v>
      </c>
      <c r="R823" s="87">
        <v>10</v>
      </c>
      <c r="S823" s="88">
        <v>10.208</v>
      </c>
      <c r="T823" s="88">
        <v>7.7775238095238093</v>
      </c>
      <c r="U823" s="88">
        <v>5.4442666666666675</v>
      </c>
      <c r="V823" s="87" t="s">
        <v>3061</v>
      </c>
      <c r="W823" s="87" t="s">
        <v>3114</v>
      </c>
      <c r="X823" s="90" t="s">
        <v>3477</v>
      </c>
      <c r="Y823" s="89" t="s">
        <v>3455</v>
      </c>
      <c r="Z823" s="89">
        <v>3</v>
      </c>
      <c r="AA823" s="89"/>
      <c r="AB823" s="89" t="s">
        <v>4613</v>
      </c>
    </row>
    <row r="824" spans="1:28" s="31" customFormat="1" ht="60" customHeight="1" x14ac:dyDescent="0.2">
      <c r="A824" s="76">
        <v>823</v>
      </c>
      <c r="B824" s="77">
        <v>50005565</v>
      </c>
      <c r="C824" s="78" t="s">
        <v>3552</v>
      </c>
      <c r="D824" s="79">
        <v>0.05</v>
      </c>
      <c r="E824" s="80">
        <v>30049099</v>
      </c>
      <c r="F824" s="81" t="s">
        <v>3565</v>
      </c>
      <c r="G824" s="82" t="s">
        <v>3556</v>
      </c>
      <c r="H824" s="82" t="s">
        <v>3663</v>
      </c>
      <c r="I824" s="79" t="s">
        <v>2666</v>
      </c>
      <c r="J824" s="83">
        <v>82.37</v>
      </c>
      <c r="K824" s="83">
        <v>62.758095238095237</v>
      </c>
      <c r="L824" s="83">
        <v>62.758095238095237</v>
      </c>
      <c r="M824" s="84">
        <v>50.203965866666664</v>
      </c>
      <c r="N824" s="59">
        <f t="shared" si="12"/>
        <v>0.39050666666666672</v>
      </c>
      <c r="O824" s="85" t="s">
        <v>2158</v>
      </c>
      <c r="P824" s="86" t="s">
        <v>2683</v>
      </c>
      <c r="Q824" s="87" t="s">
        <v>3208</v>
      </c>
      <c r="R824" s="87">
        <v>10</v>
      </c>
      <c r="S824" s="88">
        <v>8.2370000000000001</v>
      </c>
      <c r="T824" s="88">
        <v>6.2758095238095235</v>
      </c>
      <c r="U824" s="88">
        <v>5.0203965866666662</v>
      </c>
      <c r="V824" s="87" t="s">
        <v>3061</v>
      </c>
      <c r="W824" s="87" t="s">
        <v>3114</v>
      </c>
      <c r="X824" s="90" t="s">
        <v>3477</v>
      </c>
      <c r="Y824" s="89" t="s">
        <v>3455</v>
      </c>
      <c r="Z824" s="89">
        <v>3</v>
      </c>
      <c r="AA824" s="89"/>
      <c r="AB824" s="89" t="s">
        <v>4613</v>
      </c>
    </row>
    <row r="825" spans="1:28" s="31" customFormat="1" ht="60" customHeight="1" x14ac:dyDescent="0.2">
      <c r="A825" s="76">
        <v>824</v>
      </c>
      <c r="B825" s="77">
        <v>50005566</v>
      </c>
      <c r="C825" s="78" t="s">
        <v>3553</v>
      </c>
      <c r="D825" s="79">
        <v>0.05</v>
      </c>
      <c r="E825" s="80">
        <v>30049099</v>
      </c>
      <c r="F825" s="81" t="s">
        <v>3566</v>
      </c>
      <c r="G825" s="82" t="s">
        <v>3557</v>
      </c>
      <c r="H825" s="82" t="s">
        <v>3664</v>
      </c>
      <c r="I825" s="79" t="s">
        <v>2666</v>
      </c>
      <c r="J825" s="83">
        <v>112.4</v>
      </c>
      <c r="K825" s="83">
        <v>85.638095238095246</v>
      </c>
      <c r="L825" s="83">
        <v>85.638095238095246</v>
      </c>
      <c r="M825" s="84">
        <v>71.125707133917402</v>
      </c>
      <c r="N825" s="59">
        <f t="shared" si="12"/>
        <v>0.36720901126408007</v>
      </c>
      <c r="O825" s="85" t="s">
        <v>2158</v>
      </c>
      <c r="P825" s="86" t="s">
        <v>2683</v>
      </c>
      <c r="Q825" s="87" t="s">
        <v>3208</v>
      </c>
      <c r="R825" s="87">
        <v>10</v>
      </c>
      <c r="S825" s="88">
        <v>11.24</v>
      </c>
      <c r="T825" s="88">
        <v>8.5638095238095246</v>
      </c>
      <c r="U825" s="88">
        <v>7.1125707133917402</v>
      </c>
      <c r="V825" s="87" t="s">
        <v>3061</v>
      </c>
      <c r="W825" s="87" t="s">
        <v>3114</v>
      </c>
      <c r="X825" s="90" t="s">
        <v>3477</v>
      </c>
      <c r="Y825" s="89" t="s">
        <v>3455</v>
      </c>
      <c r="Z825" s="89">
        <v>3</v>
      </c>
      <c r="AA825" s="89"/>
      <c r="AB825" s="89"/>
    </row>
    <row r="826" spans="1:28" s="31" customFormat="1" ht="60" customHeight="1" x14ac:dyDescent="0.2">
      <c r="A826" s="76">
        <v>825</v>
      </c>
      <c r="B826" s="77">
        <v>50005788</v>
      </c>
      <c r="C826" s="78" t="s">
        <v>3633</v>
      </c>
      <c r="D826" s="79">
        <v>0.05</v>
      </c>
      <c r="E826" s="80">
        <v>30049099</v>
      </c>
      <c r="F826" s="81" t="s">
        <v>3646</v>
      </c>
      <c r="G826" s="82" t="s">
        <v>3656</v>
      </c>
      <c r="H826" s="82" t="s">
        <v>3665</v>
      </c>
      <c r="I826" s="79" t="s">
        <v>2666</v>
      </c>
      <c r="J826" s="83">
        <v>112.49</v>
      </c>
      <c r="K826" s="83">
        <v>85.706666666666678</v>
      </c>
      <c r="L826" s="83">
        <v>85.706666666666678</v>
      </c>
      <c r="M826" s="84">
        <v>68.561905066666668</v>
      </c>
      <c r="N826" s="59">
        <f t="shared" si="12"/>
        <v>0.39050666666666661</v>
      </c>
      <c r="O826" s="85" t="s">
        <v>2158</v>
      </c>
      <c r="P826" s="86" t="s">
        <v>48</v>
      </c>
      <c r="Q826" s="87" t="s">
        <v>3208</v>
      </c>
      <c r="R826" s="87">
        <v>10</v>
      </c>
      <c r="S826" s="88">
        <v>11.248999999999999</v>
      </c>
      <c r="T826" s="88">
        <v>8.5706666666666678</v>
      </c>
      <c r="U826" s="88">
        <v>6.8561905066666666</v>
      </c>
      <c r="V826" s="87" t="s">
        <v>3061</v>
      </c>
      <c r="W826" s="87" t="s">
        <v>3114</v>
      </c>
      <c r="X826" s="90" t="s">
        <v>3477</v>
      </c>
      <c r="Y826" s="89"/>
      <c r="Z826" s="89"/>
      <c r="AA826" s="89"/>
      <c r="AB826" s="89"/>
    </row>
    <row r="827" spans="1:28" s="31" customFormat="1" ht="60" customHeight="1" x14ac:dyDescent="0.2">
      <c r="A827" s="76">
        <v>826</v>
      </c>
      <c r="B827" s="77">
        <v>50005789</v>
      </c>
      <c r="C827" s="78" t="s">
        <v>3634</v>
      </c>
      <c r="D827" s="79">
        <v>0.05</v>
      </c>
      <c r="E827" s="80">
        <v>30049099</v>
      </c>
      <c r="F827" s="81" t="s">
        <v>3647</v>
      </c>
      <c r="G827" s="82" t="s">
        <v>3657</v>
      </c>
      <c r="H827" s="82" t="s">
        <v>3666</v>
      </c>
      <c r="I827" s="79" t="s">
        <v>2666</v>
      </c>
      <c r="J827" s="83">
        <v>140.61000000000001</v>
      </c>
      <c r="K827" s="83">
        <v>107.13142857142859</v>
      </c>
      <c r="L827" s="83">
        <v>107.13142857142859</v>
      </c>
      <c r="M827" s="84">
        <v>85.700857600000035</v>
      </c>
      <c r="N827" s="59">
        <f t="shared" si="12"/>
        <v>0.3905066666666665</v>
      </c>
      <c r="O827" s="85" t="s">
        <v>2158</v>
      </c>
      <c r="P827" s="86" t="s">
        <v>48</v>
      </c>
      <c r="Q827" s="87" t="s">
        <v>3208</v>
      </c>
      <c r="R827" s="87">
        <v>10</v>
      </c>
      <c r="S827" s="88">
        <v>14.061000000000002</v>
      </c>
      <c r="T827" s="88">
        <v>10.713142857142859</v>
      </c>
      <c r="U827" s="88">
        <v>8.5700857600000031</v>
      </c>
      <c r="V827" s="87" t="s">
        <v>3061</v>
      </c>
      <c r="W827" s="87" t="s">
        <v>3114</v>
      </c>
      <c r="X827" s="90" t="s">
        <v>3477</v>
      </c>
      <c r="Y827" s="89"/>
      <c r="Z827" s="89"/>
      <c r="AA827" s="89"/>
      <c r="AB827" s="89"/>
    </row>
    <row r="828" spans="1:28" s="31" customFormat="1" ht="60" customHeight="1" x14ac:dyDescent="0.2">
      <c r="A828" s="76">
        <v>827</v>
      </c>
      <c r="B828" s="77">
        <v>50005502</v>
      </c>
      <c r="C828" s="78" t="s">
        <v>3554</v>
      </c>
      <c r="D828" s="79">
        <v>0.05</v>
      </c>
      <c r="E828" s="80">
        <v>30049099</v>
      </c>
      <c r="F828" s="81" t="s">
        <v>3593</v>
      </c>
      <c r="G828" s="82" t="s">
        <v>3543</v>
      </c>
      <c r="H828" s="82" t="s">
        <v>3669</v>
      </c>
      <c r="I828" s="79" t="s">
        <v>2666</v>
      </c>
      <c r="J828" s="83">
        <v>65.53</v>
      </c>
      <c r="K828" s="83">
        <v>49.927619047619046</v>
      </c>
      <c r="L828" s="83">
        <v>49.927619047619046</v>
      </c>
      <c r="M828" s="84">
        <v>34.949333333333328</v>
      </c>
      <c r="N828" s="59">
        <f t="shared" si="12"/>
        <v>0.46666666666666673</v>
      </c>
      <c r="O828" s="85" t="s">
        <v>2158</v>
      </c>
      <c r="P828" s="86" t="s">
        <v>2683</v>
      </c>
      <c r="Q828" s="87" t="s">
        <v>3208</v>
      </c>
      <c r="R828" s="87">
        <v>10</v>
      </c>
      <c r="S828" s="88">
        <v>6.5529999999999999</v>
      </c>
      <c r="T828" s="88">
        <v>4.9927619047619043</v>
      </c>
      <c r="U828" s="88">
        <v>3.494933333333333</v>
      </c>
      <c r="V828" s="87" t="s">
        <v>3061</v>
      </c>
      <c r="W828" s="87" t="s">
        <v>3114</v>
      </c>
      <c r="X828" s="90" t="s">
        <v>3477</v>
      </c>
      <c r="Y828" s="89" t="s">
        <v>3455</v>
      </c>
      <c r="Z828" s="89">
        <v>3</v>
      </c>
      <c r="AA828" s="89"/>
      <c r="AB828" s="89"/>
    </row>
    <row r="829" spans="1:28" s="31" customFormat="1" ht="60" customHeight="1" x14ac:dyDescent="0.2">
      <c r="A829" s="76">
        <v>828</v>
      </c>
      <c r="B829" s="77">
        <v>50005503</v>
      </c>
      <c r="C829" s="78" t="s">
        <v>3555</v>
      </c>
      <c r="D829" s="79">
        <v>0.05</v>
      </c>
      <c r="E829" s="80">
        <v>30049099</v>
      </c>
      <c r="F829" s="81" t="s">
        <v>3598</v>
      </c>
      <c r="G829" s="82" t="s">
        <v>3544</v>
      </c>
      <c r="H829" s="82" t="s">
        <v>3670</v>
      </c>
      <c r="I829" s="79" t="s">
        <v>2666</v>
      </c>
      <c r="J829" s="83">
        <v>84.27</v>
      </c>
      <c r="K829" s="83">
        <v>64.205714285714279</v>
      </c>
      <c r="L829" s="83">
        <v>64.205714285714279</v>
      </c>
      <c r="M829" s="84">
        <v>44.94400000000001</v>
      </c>
      <c r="N829" s="59">
        <f t="shared" si="12"/>
        <v>0.46666666666666651</v>
      </c>
      <c r="O829" s="85" t="s">
        <v>2158</v>
      </c>
      <c r="P829" s="86" t="s">
        <v>2683</v>
      </c>
      <c r="Q829" s="87" t="s">
        <v>3208</v>
      </c>
      <c r="R829" s="87">
        <v>10</v>
      </c>
      <c r="S829" s="88">
        <v>8.4269999999999996</v>
      </c>
      <c r="T829" s="88">
        <v>6.4205714285714279</v>
      </c>
      <c r="U829" s="88">
        <v>4.4944000000000006</v>
      </c>
      <c r="V829" s="87" t="s">
        <v>3061</v>
      </c>
      <c r="W829" s="87" t="s">
        <v>3114</v>
      </c>
      <c r="X829" s="90" t="s">
        <v>3477</v>
      </c>
      <c r="Y829" s="89" t="s">
        <v>3455</v>
      </c>
      <c r="Z829" s="89">
        <v>3</v>
      </c>
      <c r="AA829" s="89"/>
      <c r="AB829" s="89"/>
    </row>
    <row r="830" spans="1:28" s="31" customFormat="1" ht="60" customHeight="1" x14ac:dyDescent="0.2">
      <c r="A830" s="76">
        <v>829</v>
      </c>
      <c r="B830" s="77">
        <v>50005551</v>
      </c>
      <c r="C830" s="78" t="s">
        <v>3589</v>
      </c>
      <c r="D830" s="79">
        <v>0.05</v>
      </c>
      <c r="E830" s="80">
        <v>30049099</v>
      </c>
      <c r="F830" s="81" t="s">
        <v>3599</v>
      </c>
      <c r="G830" s="82" t="s">
        <v>3545</v>
      </c>
      <c r="H830" s="82" t="s">
        <v>3290</v>
      </c>
      <c r="I830" s="79" t="s">
        <v>2666</v>
      </c>
      <c r="J830" s="83">
        <v>102.18</v>
      </c>
      <c r="K830" s="83">
        <v>77.851428571428571</v>
      </c>
      <c r="L830" s="83">
        <v>77.851428571428571</v>
      </c>
      <c r="M830" s="84">
        <v>54.495999999999995</v>
      </c>
      <c r="N830" s="59">
        <f t="shared" si="12"/>
        <v>0.46666666666666673</v>
      </c>
      <c r="O830" s="85" t="s">
        <v>2158</v>
      </c>
      <c r="P830" s="86" t="s">
        <v>2751</v>
      </c>
      <c r="Q830" s="87" t="s">
        <v>3208</v>
      </c>
      <c r="R830" s="87">
        <v>10</v>
      </c>
      <c r="S830" s="88">
        <v>10.218</v>
      </c>
      <c r="T830" s="88">
        <v>7.7851428571428567</v>
      </c>
      <c r="U830" s="88">
        <v>5.4495999999999993</v>
      </c>
      <c r="V830" s="87" t="s">
        <v>3061</v>
      </c>
      <c r="W830" s="87" t="s">
        <v>3114</v>
      </c>
      <c r="X830" s="90" t="s">
        <v>3477</v>
      </c>
      <c r="Y830" s="89" t="s">
        <v>3455</v>
      </c>
      <c r="Z830" s="89">
        <v>3</v>
      </c>
      <c r="AA830" s="89"/>
      <c r="AB830" s="89"/>
    </row>
    <row r="831" spans="1:28" s="31" customFormat="1" ht="60" customHeight="1" x14ac:dyDescent="0.2">
      <c r="A831" s="76">
        <v>830</v>
      </c>
      <c r="B831" s="77">
        <v>50005552</v>
      </c>
      <c r="C831" s="78" t="s">
        <v>3590</v>
      </c>
      <c r="D831" s="79">
        <v>0.05</v>
      </c>
      <c r="E831" s="80">
        <v>30049099</v>
      </c>
      <c r="F831" s="81" t="s">
        <v>3600</v>
      </c>
      <c r="G831" s="82" t="s">
        <v>3546</v>
      </c>
      <c r="H831" s="82" t="s">
        <v>3671</v>
      </c>
      <c r="I831" s="79" t="s">
        <v>2666</v>
      </c>
      <c r="J831" s="83">
        <v>126.55</v>
      </c>
      <c r="K831" s="83">
        <v>96.419047619047618</v>
      </c>
      <c r="L831" s="83">
        <v>96.419047619047618</v>
      </c>
      <c r="M831" s="84">
        <v>67.493333333333325</v>
      </c>
      <c r="N831" s="59">
        <f t="shared" si="12"/>
        <v>0.46666666666666673</v>
      </c>
      <c r="O831" s="85" t="s">
        <v>2158</v>
      </c>
      <c r="P831" s="86" t="s">
        <v>2751</v>
      </c>
      <c r="Q831" s="87" t="s">
        <v>3208</v>
      </c>
      <c r="R831" s="87">
        <v>10</v>
      </c>
      <c r="S831" s="88">
        <v>12.654999999999999</v>
      </c>
      <c r="T831" s="88">
        <v>9.6419047619047618</v>
      </c>
      <c r="U831" s="88">
        <v>6.7493333333333325</v>
      </c>
      <c r="V831" s="87" t="s">
        <v>3061</v>
      </c>
      <c r="W831" s="87" t="s">
        <v>3114</v>
      </c>
      <c r="X831" s="90" t="s">
        <v>3477</v>
      </c>
      <c r="Y831" s="89" t="s">
        <v>3455</v>
      </c>
      <c r="Z831" s="89">
        <v>3</v>
      </c>
      <c r="AA831" s="89"/>
      <c r="AB831" s="89"/>
    </row>
    <row r="832" spans="1:28" s="31" customFormat="1" ht="60" customHeight="1" x14ac:dyDescent="0.2">
      <c r="A832" s="76">
        <v>831</v>
      </c>
      <c r="B832" s="77">
        <v>50005802</v>
      </c>
      <c r="C832" s="78" t="s">
        <v>4227</v>
      </c>
      <c r="D832" s="79">
        <v>0.05</v>
      </c>
      <c r="E832" s="80">
        <v>30049099</v>
      </c>
      <c r="F832" s="81" t="s">
        <v>4239</v>
      </c>
      <c r="G832" s="82" t="s">
        <v>4253</v>
      </c>
      <c r="H832" s="82" t="s">
        <v>3294</v>
      </c>
      <c r="I832" s="79" t="s">
        <v>2666</v>
      </c>
      <c r="J832" s="83">
        <v>154.68</v>
      </c>
      <c r="K832" s="83">
        <v>117.85142857142857</v>
      </c>
      <c r="L832" s="83">
        <v>117.85142857142857</v>
      </c>
      <c r="M832" s="84">
        <v>94.281142857142868</v>
      </c>
      <c r="N832" s="59">
        <f t="shared" si="12"/>
        <v>0.39047619047619042</v>
      </c>
      <c r="O832" s="85" t="s">
        <v>2158</v>
      </c>
      <c r="P832" s="86" t="s">
        <v>2813</v>
      </c>
      <c r="Q832" s="87" t="s">
        <v>3208</v>
      </c>
      <c r="R832" s="87">
        <v>10</v>
      </c>
      <c r="S832" s="88">
        <v>15.468</v>
      </c>
      <c r="T832" s="88">
        <v>11.785142857142857</v>
      </c>
      <c r="U832" s="88">
        <v>9.4281142857142868</v>
      </c>
      <c r="V832" s="87" t="s">
        <v>3061</v>
      </c>
      <c r="W832" s="87" t="s">
        <v>3114</v>
      </c>
      <c r="X832" s="90" t="s">
        <v>3477</v>
      </c>
      <c r="Y832" s="89"/>
      <c r="Z832" s="89"/>
      <c r="AA832" s="89"/>
      <c r="AB832" s="89"/>
    </row>
    <row r="833" spans="1:28" s="31" customFormat="1" ht="60" customHeight="1" x14ac:dyDescent="0.2">
      <c r="A833" s="76">
        <v>832</v>
      </c>
      <c r="B833" s="77">
        <v>50005799</v>
      </c>
      <c r="C833" s="78" t="s">
        <v>4271</v>
      </c>
      <c r="D833" s="79">
        <v>0.05</v>
      </c>
      <c r="E833" s="80">
        <v>30042019</v>
      </c>
      <c r="F833" s="81" t="s">
        <v>4274</v>
      </c>
      <c r="G833" s="82" t="s">
        <v>4279</v>
      </c>
      <c r="H833" s="82" t="s">
        <v>4280</v>
      </c>
      <c r="I833" s="79" t="s">
        <v>2666</v>
      </c>
      <c r="J833" s="83">
        <v>178.12</v>
      </c>
      <c r="K833" s="83">
        <v>135.71047619047619</v>
      </c>
      <c r="L833" s="83">
        <v>135.71047619047619</v>
      </c>
      <c r="M833" s="84">
        <v>108.56838095238095</v>
      </c>
      <c r="N833" s="59">
        <f t="shared" si="12"/>
        <v>0.39047619047619053</v>
      </c>
      <c r="O833" s="85" t="s">
        <v>2158</v>
      </c>
      <c r="P833" s="86" t="s">
        <v>2813</v>
      </c>
      <c r="Q833" s="87" t="s">
        <v>3208</v>
      </c>
      <c r="R833" s="87">
        <v>10</v>
      </c>
      <c r="S833" s="88">
        <v>17.812000000000001</v>
      </c>
      <c r="T833" s="88">
        <v>13.571047619047619</v>
      </c>
      <c r="U833" s="88">
        <v>10.856838095238095</v>
      </c>
      <c r="V833" s="87" t="s">
        <v>3061</v>
      </c>
      <c r="W833" s="87" t="s">
        <v>3114</v>
      </c>
      <c r="X833" s="90" t="s">
        <v>3477</v>
      </c>
      <c r="Y833" s="89"/>
      <c r="Z833" s="89"/>
      <c r="AA833" s="89"/>
      <c r="AB833" s="89"/>
    </row>
    <row r="834" spans="1:28" s="31" customFormat="1" ht="60" customHeight="1" x14ac:dyDescent="0.2">
      <c r="A834" s="76">
        <v>833</v>
      </c>
      <c r="B834" s="77">
        <v>50004499</v>
      </c>
      <c r="C834" s="78" t="s">
        <v>2163</v>
      </c>
      <c r="D834" s="79">
        <v>0.05</v>
      </c>
      <c r="E834" s="80">
        <v>30043110</v>
      </c>
      <c r="F834" s="81" t="s">
        <v>2164</v>
      </c>
      <c r="G834" s="82" t="s">
        <v>2165</v>
      </c>
      <c r="H834" s="82" t="s">
        <v>4044</v>
      </c>
      <c r="I834" s="79" t="s">
        <v>2878</v>
      </c>
      <c r="J834" s="83">
        <v>620.61</v>
      </c>
      <c r="K834" s="83">
        <v>472.84571428571428</v>
      </c>
      <c r="L834" s="83">
        <v>472.84571428571428</v>
      </c>
      <c r="M834" s="84">
        <v>472.84571428571428</v>
      </c>
      <c r="N834" s="59">
        <f t="shared" ref="N834:N897" si="13">(J834-M834)/J834</f>
        <v>0.23809523809523811</v>
      </c>
      <c r="O834" s="85" t="s">
        <v>2158</v>
      </c>
      <c r="P834" s="86" t="s">
        <v>2913</v>
      </c>
      <c r="Q834" s="87" t="s">
        <v>3207</v>
      </c>
      <c r="R834" s="87">
        <v>1</v>
      </c>
      <c r="S834" s="88">
        <v>620.61</v>
      </c>
      <c r="T834" s="88">
        <v>472.84571428571428</v>
      </c>
      <c r="U834" s="88">
        <v>472.84571428571428</v>
      </c>
      <c r="V834" s="87" t="s">
        <v>3069</v>
      </c>
      <c r="W834" s="87" t="s">
        <v>3114</v>
      </c>
      <c r="X834" s="90" t="s">
        <v>3564</v>
      </c>
      <c r="Y834" s="89"/>
      <c r="Z834" s="89">
        <v>5</v>
      </c>
      <c r="AA834" s="89"/>
      <c r="AB834" s="89"/>
    </row>
    <row r="835" spans="1:28" s="31" customFormat="1" ht="60" customHeight="1" x14ac:dyDescent="0.2">
      <c r="A835" s="76">
        <v>834</v>
      </c>
      <c r="B835" s="77">
        <v>50004500</v>
      </c>
      <c r="C835" s="78" t="s">
        <v>2166</v>
      </c>
      <c r="D835" s="79">
        <v>0.05</v>
      </c>
      <c r="E835" s="80">
        <v>30043110</v>
      </c>
      <c r="F835" s="81" t="s">
        <v>2167</v>
      </c>
      <c r="G835" s="82" t="s">
        <v>2165</v>
      </c>
      <c r="H835" s="82" t="s">
        <v>4044</v>
      </c>
      <c r="I835" s="79" t="s">
        <v>2728</v>
      </c>
      <c r="J835" s="83">
        <v>762</v>
      </c>
      <c r="K835" s="83">
        <v>580.57142857142856</v>
      </c>
      <c r="L835" s="83">
        <v>580.57142857142856</v>
      </c>
      <c r="M835" s="84">
        <v>580.57142857142856</v>
      </c>
      <c r="N835" s="59">
        <f t="shared" si="13"/>
        <v>0.23809523809523811</v>
      </c>
      <c r="O835" s="85" t="s">
        <v>2158</v>
      </c>
      <c r="P835" s="86" t="s">
        <v>2913</v>
      </c>
      <c r="Q835" s="87" t="s">
        <v>3207</v>
      </c>
      <c r="R835" s="87">
        <v>1</v>
      </c>
      <c r="S835" s="88">
        <v>762</v>
      </c>
      <c r="T835" s="88">
        <v>580.57142857142856</v>
      </c>
      <c r="U835" s="88">
        <v>580.57142857142856</v>
      </c>
      <c r="V835" s="87" t="s">
        <v>3063</v>
      </c>
      <c r="W835" s="87" t="s">
        <v>3114</v>
      </c>
      <c r="X835" s="90" t="s">
        <v>2728</v>
      </c>
      <c r="Y835" s="89"/>
      <c r="Z835" s="89">
        <v>1</v>
      </c>
      <c r="AA835" s="89"/>
      <c r="AB835" s="89"/>
    </row>
    <row r="836" spans="1:28" s="31" customFormat="1" ht="60" customHeight="1" x14ac:dyDescent="0.2">
      <c r="A836" s="76">
        <v>835</v>
      </c>
      <c r="B836" s="77">
        <v>50004498</v>
      </c>
      <c r="C836" s="78" t="s">
        <v>2168</v>
      </c>
      <c r="D836" s="79">
        <v>0.05</v>
      </c>
      <c r="E836" s="80">
        <v>30043110</v>
      </c>
      <c r="F836" s="81" t="s">
        <v>2164</v>
      </c>
      <c r="G836" s="82" t="s">
        <v>2165</v>
      </c>
      <c r="H836" s="82" t="s">
        <v>4044</v>
      </c>
      <c r="I836" s="79" t="s">
        <v>2708</v>
      </c>
      <c r="J836" s="83">
        <v>836.3</v>
      </c>
      <c r="K836" s="83">
        <v>637.18095238095236</v>
      </c>
      <c r="L836" s="83">
        <v>637.18095238095236</v>
      </c>
      <c r="M836" s="84">
        <v>637.18095238095236</v>
      </c>
      <c r="N836" s="59">
        <f t="shared" si="13"/>
        <v>0.23809523809523808</v>
      </c>
      <c r="O836" s="85" t="s">
        <v>2158</v>
      </c>
      <c r="P836" s="86" t="s">
        <v>2913</v>
      </c>
      <c r="Q836" s="87" t="s">
        <v>3207</v>
      </c>
      <c r="R836" s="87">
        <v>1</v>
      </c>
      <c r="S836" s="88">
        <v>836.3</v>
      </c>
      <c r="T836" s="88">
        <v>637.18095238095236</v>
      </c>
      <c r="U836" s="88">
        <v>637.18095238095236</v>
      </c>
      <c r="V836" s="87" t="s">
        <v>3067</v>
      </c>
      <c r="W836" s="87" t="s">
        <v>3114</v>
      </c>
      <c r="X836" s="90" t="s">
        <v>3479</v>
      </c>
      <c r="Y836" s="89"/>
      <c r="Z836" s="89">
        <v>1</v>
      </c>
      <c r="AA836" s="89"/>
      <c r="AB836" s="89"/>
    </row>
    <row r="837" spans="1:28" s="31" customFormat="1" ht="60" customHeight="1" x14ac:dyDescent="0.2">
      <c r="A837" s="76">
        <v>836</v>
      </c>
      <c r="B837" s="77">
        <v>50003329</v>
      </c>
      <c r="C837" s="78" t="s">
        <v>2169</v>
      </c>
      <c r="D837" s="79">
        <v>0.05</v>
      </c>
      <c r="E837" s="80">
        <v>30049099</v>
      </c>
      <c r="F837" s="81" t="s">
        <v>2170</v>
      </c>
      <c r="G837" s="82" t="s">
        <v>2171</v>
      </c>
      <c r="H837" s="82" t="s">
        <v>489</v>
      </c>
      <c r="I837" s="79" t="s">
        <v>2666</v>
      </c>
      <c r="J837" s="83">
        <v>68.61</v>
      </c>
      <c r="K837" s="83">
        <v>52.27428571428571</v>
      </c>
      <c r="L837" s="83">
        <v>52.27428571428571</v>
      </c>
      <c r="M837" s="84">
        <v>41.819428571428567</v>
      </c>
      <c r="N837" s="59">
        <f t="shared" si="13"/>
        <v>0.39047619047619053</v>
      </c>
      <c r="O837" s="85" t="s">
        <v>2158</v>
      </c>
      <c r="P837" s="86" t="s">
        <v>2692</v>
      </c>
      <c r="Q837" s="87" t="s">
        <v>3208</v>
      </c>
      <c r="R837" s="87">
        <v>10</v>
      </c>
      <c r="S837" s="88">
        <v>6.8609999999999998</v>
      </c>
      <c r="T837" s="88">
        <v>5.2274285714285709</v>
      </c>
      <c r="U837" s="88">
        <v>4.1819428571428565</v>
      </c>
      <c r="V837" s="87" t="s">
        <v>3061</v>
      </c>
      <c r="W837" s="87" t="s">
        <v>3114</v>
      </c>
      <c r="X837" s="90" t="s">
        <v>3477</v>
      </c>
      <c r="Y837" s="89"/>
      <c r="Z837" s="89">
        <v>3</v>
      </c>
      <c r="AA837" s="89"/>
      <c r="AB837" s="89"/>
    </row>
    <row r="838" spans="1:28" s="31" customFormat="1" ht="60" customHeight="1" x14ac:dyDescent="0.2">
      <c r="A838" s="76">
        <v>837</v>
      </c>
      <c r="B838" s="77">
        <v>50003330</v>
      </c>
      <c r="C838" s="78" t="s">
        <v>2172</v>
      </c>
      <c r="D838" s="79">
        <v>0.05</v>
      </c>
      <c r="E838" s="80">
        <v>30049099</v>
      </c>
      <c r="F838" s="81" t="s">
        <v>2173</v>
      </c>
      <c r="G838" s="82" t="s">
        <v>2174</v>
      </c>
      <c r="H838" s="82" t="s">
        <v>3771</v>
      </c>
      <c r="I838" s="79" t="s">
        <v>2666</v>
      </c>
      <c r="J838" s="83">
        <v>102.09</v>
      </c>
      <c r="K838" s="83">
        <v>77.782857142857139</v>
      </c>
      <c r="L838" s="83">
        <v>77.782857142857139</v>
      </c>
      <c r="M838" s="84">
        <v>62.226285714285709</v>
      </c>
      <c r="N838" s="59">
        <f t="shared" si="13"/>
        <v>0.39047619047619053</v>
      </c>
      <c r="O838" s="85" t="s">
        <v>2158</v>
      </c>
      <c r="P838" s="86" t="s">
        <v>2914</v>
      </c>
      <c r="Q838" s="87" t="s">
        <v>3208</v>
      </c>
      <c r="R838" s="87">
        <v>10</v>
      </c>
      <c r="S838" s="88">
        <v>10.209</v>
      </c>
      <c r="T838" s="88">
        <v>7.7782857142857136</v>
      </c>
      <c r="U838" s="88">
        <v>6.2226285714285705</v>
      </c>
      <c r="V838" s="87" t="s">
        <v>3061</v>
      </c>
      <c r="W838" s="87" t="s">
        <v>3114</v>
      </c>
      <c r="X838" s="90" t="s">
        <v>3477</v>
      </c>
      <c r="Y838" s="89"/>
      <c r="Z838" s="89">
        <v>3</v>
      </c>
      <c r="AA838" s="89"/>
      <c r="AB838" s="89"/>
    </row>
    <row r="839" spans="1:28" s="31" customFormat="1" ht="60" customHeight="1" x14ac:dyDescent="0.2">
      <c r="A839" s="76">
        <v>838</v>
      </c>
      <c r="B839" s="77">
        <v>50003327</v>
      </c>
      <c r="C839" s="78" t="s">
        <v>2175</v>
      </c>
      <c r="D839" s="79">
        <v>0.05</v>
      </c>
      <c r="E839" s="80">
        <v>30049099</v>
      </c>
      <c r="F839" s="81" t="s">
        <v>2176</v>
      </c>
      <c r="G839" s="82" t="s">
        <v>2177</v>
      </c>
      <c r="H839" s="82" t="s">
        <v>2178</v>
      </c>
      <c r="I839" s="79" t="s">
        <v>2666</v>
      </c>
      <c r="J839" s="83">
        <v>56.7</v>
      </c>
      <c r="K839" s="83">
        <v>43.2</v>
      </c>
      <c r="L839" s="83">
        <v>43.2</v>
      </c>
      <c r="M839" s="84">
        <v>34.56</v>
      </c>
      <c r="N839" s="59">
        <f t="shared" si="13"/>
        <v>0.39047619047619048</v>
      </c>
      <c r="O839" s="85" t="s">
        <v>2158</v>
      </c>
      <c r="P839" s="86" t="s">
        <v>2692</v>
      </c>
      <c r="Q839" s="87" t="s">
        <v>3208</v>
      </c>
      <c r="R839" s="87">
        <v>10</v>
      </c>
      <c r="S839" s="88">
        <v>5.67</v>
      </c>
      <c r="T839" s="88">
        <v>4.32</v>
      </c>
      <c r="U839" s="88">
        <v>3.4560000000000004</v>
      </c>
      <c r="V839" s="87" t="s">
        <v>3061</v>
      </c>
      <c r="W839" s="87" t="s">
        <v>3114</v>
      </c>
      <c r="X839" s="90" t="s">
        <v>3477</v>
      </c>
      <c r="Y839" s="89"/>
      <c r="Z839" s="89">
        <v>3</v>
      </c>
      <c r="AA839" s="89"/>
      <c r="AB839" s="89" t="s">
        <v>4613</v>
      </c>
    </row>
    <row r="840" spans="1:28" s="31" customFormat="1" ht="60" customHeight="1" x14ac:dyDescent="0.2">
      <c r="A840" s="76">
        <v>839</v>
      </c>
      <c r="B840" s="77">
        <v>50003324</v>
      </c>
      <c r="C840" s="78" t="s">
        <v>2179</v>
      </c>
      <c r="D840" s="79">
        <v>0.05</v>
      </c>
      <c r="E840" s="80">
        <v>30049099</v>
      </c>
      <c r="F840" s="81" t="s">
        <v>2180</v>
      </c>
      <c r="G840" s="82" t="s">
        <v>672</v>
      </c>
      <c r="H840" s="82" t="s">
        <v>673</v>
      </c>
      <c r="I840" s="79" t="s">
        <v>2666</v>
      </c>
      <c r="J840" s="83">
        <v>61.88</v>
      </c>
      <c r="K840" s="83">
        <v>47.146666666666661</v>
      </c>
      <c r="L840" s="83">
        <v>47.146666666666661</v>
      </c>
      <c r="M840" s="84">
        <v>37.717333333333343</v>
      </c>
      <c r="N840" s="59">
        <f t="shared" si="13"/>
        <v>0.39047619047619037</v>
      </c>
      <c r="O840" s="85" t="s">
        <v>2158</v>
      </c>
      <c r="P840" s="86" t="s">
        <v>2821</v>
      </c>
      <c r="Q840" s="87" t="s">
        <v>3208</v>
      </c>
      <c r="R840" s="87">
        <v>10</v>
      </c>
      <c r="S840" s="88">
        <v>6.1880000000000006</v>
      </c>
      <c r="T840" s="88">
        <v>4.7146666666666661</v>
      </c>
      <c r="U840" s="88">
        <v>3.7717333333333345</v>
      </c>
      <c r="V840" s="87" t="s">
        <v>3061</v>
      </c>
      <c r="W840" s="87" t="s">
        <v>3114</v>
      </c>
      <c r="X840" s="90" t="s">
        <v>3477</v>
      </c>
      <c r="Y840" s="89"/>
      <c r="Z840" s="89">
        <v>3</v>
      </c>
      <c r="AA840" s="89"/>
      <c r="AB840" s="89"/>
    </row>
    <row r="841" spans="1:28" s="31" customFormat="1" ht="60" customHeight="1" x14ac:dyDescent="0.2">
      <c r="A841" s="76">
        <v>840</v>
      </c>
      <c r="B841" s="77">
        <v>50003323</v>
      </c>
      <c r="C841" s="78" t="s">
        <v>2181</v>
      </c>
      <c r="D841" s="79">
        <v>0.05</v>
      </c>
      <c r="E841" s="80">
        <v>30049099</v>
      </c>
      <c r="F841" s="81" t="s">
        <v>2182</v>
      </c>
      <c r="G841" s="82" t="s">
        <v>676</v>
      </c>
      <c r="H841" s="82" t="s">
        <v>677</v>
      </c>
      <c r="I841" s="79" t="s">
        <v>2666</v>
      </c>
      <c r="J841" s="83">
        <v>87.65</v>
      </c>
      <c r="K841" s="83">
        <v>66.780952380952385</v>
      </c>
      <c r="L841" s="83">
        <v>66.780952380952385</v>
      </c>
      <c r="M841" s="84">
        <v>53.424761904761894</v>
      </c>
      <c r="N841" s="59">
        <f t="shared" si="13"/>
        <v>0.39047619047619064</v>
      </c>
      <c r="O841" s="85" t="s">
        <v>2158</v>
      </c>
      <c r="P841" s="86" t="s">
        <v>2821</v>
      </c>
      <c r="Q841" s="87" t="s">
        <v>3208</v>
      </c>
      <c r="R841" s="87">
        <v>10</v>
      </c>
      <c r="S841" s="88">
        <v>8.7650000000000006</v>
      </c>
      <c r="T841" s="88">
        <v>6.6780952380952385</v>
      </c>
      <c r="U841" s="88">
        <v>5.342476190476189</v>
      </c>
      <c r="V841" s="87" t="s">
        <v>3061</v>
      </c>
      <c r="W841" s="87" t="s">
        <v>3114</v>
      </c>
      <c r="X841" s="90" t="s">
        <v>3477</v>
      </c>
      <c r="Y841" s="89"/>
      <c r="Z841" s="89">
        <v>3</v>
      </c>
      <c r="AA841" s="89"/>
      <c r="AB841" s="89"/>
    </row>
    <row r="842" spans="1:28" s="31" customFormat="1" ht="60" customHeight="1" x14ac:dyDescent="0.2">
      <c r="A842" s="76">
        <v>841</v>
      </c>
      <c r="B842" s="77">
        <v>50003326</v>
      </c>
      <c r="C842" s="78" t="s">
        <v>2183</v>
      </c>
      <c r="D842" s="79">
        <v>0.05</v>
      </c>
      <c r="E842" s="80">
        <v>30049099</v>
      </c>
      <c r="F842" s="81" t="s">
        <v>2184</v>
      </c>
      <c r="G842" s="82" t="s">
        <v>2185</v>
      </c>
      <c r="H842" s="82" t="s">
        <v>3804</v>
      </c>
      <c r="I842" s="79" t="s">
        <v>2666</v>
      </c>
      <c r="J842" s="83">
        <v>71.349999999999994</v>
      </c>
      <c r="K842" s="83">
        <v>54.361904761904761</v>
      </c>
      <c r="L842" s="83">
        <v>54.361904761904761</v>
      </c>
      <c r="M842" s="84">
        <v>43.48952380952381</v>
      </c>
      <c r="N842" s="59">
        <f t="shared" si="13"/>
        <v>0.39047619047619042</v>
      </c>
      <c r="O842" s="85" t="s">
        <v>2158</v>
      </c>
      <c r="P842" s="86" t="s">
        <v>21</v>
      </c>
      <c r="Q842" s="87" t="s">
        <v>3208</v>
      </c>
      <c r="R842" s="87">
        <v>10</v>
      </c>
      <c r="S842" s="88">
        <v>7.1349999999999998</v>
      </c>
      <c r="T842" s="88">
        <v>5.4361904761904762</v>
      </c>
      <c r="U842" s="88">
        <v>4.3489523809523813</v>
      </c>
      <c r="V842" s="87" t="s">
        <v>3061</v>
      </c>
      <c r="W842" s="87" t="s">
        <v>3114</v>
      </c>
      <c r="X842" s="90" t="s">
        <v>3477</v>
      </c>
      <c r="Y842" s="89"/>
      <c r="Z842" s="89">
        <v>3</v>
      </c>
      <c r="AA842" s="89"/>
      <c r="AB842" s="89"/>
    </row>
    <row r="843" spans="1:28" s="31" customFormat="1" ht="60" customHeight="1" x14ac:dyDescent="0.2">
      <c r="A843" s="76">
        <v>842</v>
      </c>
      <c r="B843" s="77">
        <v>50004135</v>
      </c>
      <c r="C843" s="78" t="s">
        <v>2192</v>
      </c>
      <c r="D843" s="79">
        <v>0.05</v>
      </c>
      <c r="E843" s="80">
        <v>30049099</v>
      </c>
      <c r="F843" s="81" t="s">
        <v>2193</v>
      </c>
      <c r="G843" s="82" t="s">
        <v>2194</v>
      </c>
      <c r="H843" s="82" t="s">
        <v>4045</v>
      </c>
      <c r="I843" s="79" t="s">
        <v>2663</v>
      </c>
      <c r="J843" s="83">
        <v>230.47</v>
      </c>
      <c r="K843" s="83">
        <v>175.59619047619049</v>
      </c>
      <c r="L843" s="83">
        <v>160.96317460317462</v>
      </c>
      <c r="M843" s="84">
        <v>140.47695238095244</v>
      </c>
      <c r="N843" s="59">
        <f t="shared" si="13"/>
        <v>0.3904761904761902</v>
      </c>
      <c r="O843" s="85" t="s">
        <v>2158</v>
      </c>
      <c r="P843" s="86" t="s">
        <v>4126</v>
      </c>
      <c r="Q843" s="87" t="s">
        <v>3208</v>
      </c>
      <c r="R843" s="87">
        <v>15</v>
      </c>
      <c r="S843" s="88">
        <v>15.364666666666666</v>
      </c>
      <c r="T843" s="88">
        <v>10.730878306878308</v>
      </c>
      <c r="U843" s="88">
        <v>9.3651301587301621</v>
      </c>
      <c r="V843" s="87" t="s">
        <v>3061</v>
      </c>
      <c r="W843" s="87" t="s">
        <v>3114</v>
      </c>
      <c r="X843" s="90" t="s">
        <v>3477</v>
      </c>
      <c r="Y843" s="89"/>
      <c r="Z843" s="89">
        <v>3</v>
      </c>
      <c r="AA843" s="89"/>
      <c r="AB843" s="89"/>
    </row>
    <row r="844" spans="1:28" s="31" customFormat="1" ht="60" customHeight="1" x14ac:dyDescent="0.2">
      <c r="A844" s="76">
        <v>843</v>
      </c>
      <c r="B844" s="77">
        <v>50005063</v>
      </c>
      <c r="C844" s="78" t="s">
        <v>3132</v>
      </c>
      <c r="D844" s="79">
        <v>0.05</v>
      </c>
      <c r="E844" s="80">
        <v>30049099</v>
      </c>
      <c r="F844" s="81" t="s">
        <v>3133</v>
      </c>
      <c r="G844" s="82" t="s">
        <v>3134</v>
      </c>
      <c r="H844" s="82" t="s">
        <v>4046</v>
      </c>
      <c r="I844" s="79" t="s">
        <v>2663</v>
      </c>
      <c r="J844" s="83">
        <v>182.8</v>
      </c>
      <c r="K844" s="83">
        <v>139.27619047619049</v>
      </c>
      <c r="L844" s="83">
        <v>127.66984126984129</v>
      </c>
      <c r="M844" s="84">
        <v>111.42095238095237</v>
      </c>
      <c r="N844" s="59">
        <f t="shared" si="13"/>
        <v>0.39047619047619059</v>
      </c>
      <c r="O844" s="85" t="s">
        <v>2158</v>
      </c>
      <c r="P844" s="86" t="s">
        <v>48</v>
      </c>
      <c r="Q844" s="87" t="s">
        <v>3208</v>
      </c>
      <c r="R844" s="87">
        <v>15</v>
      </c>
      <c r="S844" s="88">
        <v>12.186666666666667</v>
      </c>
      <c r="T844" s="88">
        <v>8.5113227513227532</v>
      </c>
      <c r="U844" s="88">
        <v>7.4280634920634911</v>
      </c>
      <c r="V844" s="87" t="s">
        <v>3061</v>
      </c>
      <c r="W844" s="87" t="s">
        <v>3114</v>
      </c>
      <c r="X844" s="90" t="s">
        <v>3477</v>
      </c>
      <c r="Y844" s="89"/>
      <c r="Z844" s="89">
        <v>3</v>
      </c>
      <c r="AA844" s="89"/>
      <c r="AB844" s="89"/>
    </row>
    <row r="845" spans="1:28" s="31" customFormat="1" ht="60" customHeight="1" x14ac:dyDescent="0.2">
      <c r="A845" s="76">
        <v>844</v>
      </c>
      <c r="B845" s="77">
        <v>50004136</v>
      </c>
      <c r="C845" s="78" t="s">
        <v>2195</v>
      </c>
      <c r="D845" s="79">
        <v>0.05</v>
      </c>
      <c r="E845" s="80">
        <v>30049099</v>
      </c>
      <c r="F845" s="81" t="s">
        <v>2196</v>
      </c>
      <c r="G845" s="82" t="s">
        <v>2197</v>
      </c>
      <c r="H845" s="82" t="s">
        <v>4047</v>
      </c>
      <c r="I845" s="79" t="s">
        <v>2663</v>
      </c>
      <c r="J845" s="83">
        <v>289.08999999999997</v>
      </c>
      <c r="K845" s="83">
        <v>220.25904761904758</v>
      </c>
      <c r="L845" s="83">
        <v>201.90412698412695</v>
      </c>
      <c r="M845" s="84">
        <v>176.20723809523804</v>
      </c>
      <c r="N845" s="59">
        <f t="shared" si="13"/>
        <v>0.39047619047619059</v>
      </c>
      <c r="O845" s="85" t="s">
        <v>2158</v>
      </c>
      <c r="P845" s="86" t="s">
        <v>4190</v>
      </c>
      <c r="Q845" s="87" t="s">
        <v>3208</v>
      </c>
      <c r="R845" s="87">
        <v>15</v>
      </c>
      <c r="S845" s="88">
        <v>19.272666666666666</v>
      </c>
      <c r="T845" s="88">
        <v>13.460275132275131</v>
      </c>
      <c r="U845" s="88">
        <v>11.747149206349203</v>
      </c>
      <c r="V845" s="87" t="s">
        <v>3061</v>
      </c>
      <c r="W845" s="87" t="s">
        <v>3114</v>
      </c>
      <c r="X845" s="90" t="s">
        <v>3477</v>
      </c>
      <c r="Y845" s="89"/>
      <c r="Z845" s="89">
        <v>3</v>
      </c>
      <c r="AA845" s="89"/>
      <c r="AB845" s="89"/>
    </row>
    <row r="846" spans="1:28" s="31" customFormat="1" ht="60" customHeight="1" x14ac:dyDescent="0.2">
      <c r="A846" s="76">
        <v>845</v>
      </c>
      <c r="B846" s="77">
        <v>50004189</v>
      </c>
      <c r="C846" s="78" t="s">
        <v>2198</v>
      </c>
      <c r="D846" s="79">
        <v>0.05</v>
      </c>
      <c r="E846" s="80">
        <v>30049099</v>
      </c>
      <c r="F846" s="81" t="s">
        <v>2199</v>
      </c>
      <c r="G846" s="82" t="s">
        <v>2200</v>
      </c>
      <c r="H846" s="82" t="s">
        <v>4048</v>
      </c>
      <c r="I846" s="79" t="s">
        <v>2663</v>
      </c>
      <c r="J846" s="83">
        <v>230.58</v>
      </c>
      <c r="K846" s="83">
        <v>175.68</v>
      </c>
      <c r="L846" s="83">
        <v>161.04</v>
      </c>
      <c r="M846" s="84">
        <v>140.54399999999998</v>
      </c>
      <c r="N846" s="59">
        <f t="shared" si="13"/>
        <v>0.39047619047619059</v>
      </c>
      <c r="O846" s="85" t="s">
        <v>2158</v>
      </c>
      <c r="P846" s="86" t="s">
        <v>2916</v>
      </c>
      <c r="Q846" s="87" t="s">
        <v>3208</v>
      </c>
      <c r="R846" s="87">
        <v>15</v>
      </c>
      <c r="S846" s="88">
        <v>15.372000000000002</v>
      </c>
      <c r="T846" s="88">
        <v>10.735999999999999</v>
      </c>
      <c r="U846" s="88">
        <v>9.3695999999999984</v>
      </c>
      <c r="V846" s="87" t="s">
        <v>3061</v>
      </c>
      <c r="W846" s="87" t="s">
        <v>3114</v>
      </c>
      <c r="X846" s="90" t="s">
        <v>3477</v>
      </c>
      <c r="Y846" s="89"/>
      <c r="Z846" s="89">
        <v>3</v>
      </c>
      <c r="AA846" s="89"/>
      <c r="AB846" s="89"/>
    </row>
    <row r="847" spans="1:28" s="31" customFormat="1" ht="60" customHeight="1" x14ac:dyDescent="0.2">
      <c r="A847" s="76">
        <v>846</v>
      </c>
      <c r="B847" s="77">
        <v>50004142</v>
      </c>
      <c r="C847" s="78" t="s">
        <v>2201</v>
      </c>
      <c r="D847" s="79">
        <v>0.05</v>
      </c>
      <c r="E847" s="80">
        <v>30049099</v>
      </c>
      <c r="F847" s="81" t="s">
        <v>2202</v>
      </c>
      <c r="G847" s="82" t="s">
        <v>2203</v>
      </c>
      <c r="H847" s="82" t="s">
        <v>2204</v>
      </c>
      <c r="I847" s="79" t="s">
        <v>2663</v>
      </c>
      <c r="J847" s="83">
        <v>109.81</v>
      </c>
      <c r="K847" s="83">
        <v>83.664761904761903</v>
      </c>
      <c r="L847" s="83">
        <v>76.692698412698419</v>
      </c>
      <c r="M847" s="84">
        <v>66.93180952380952</v>
      </c>
      <c r="N847" s="59">
        <f t="shared" si="13"/>
        <v>0.39047619047619053</v>
      </c>
      <c r="O847" s="85" t="s">
        <v>2158</v>
      </c>
      <c r="P847" s="86" t="s">
        <v>37</v>
      </c>
      <c r="Q847" s="87" t="s">
        <v>3208</v>
      </c>
      <c r="R847" s="87">
        <v>15</v>
      </c>
      <c r="S847" s="88">
        <v>7.3206666666666669</v>
      </c>
      <c r="T847" s="88">
        <v>5.1128465608465614</v>
      </c>
      <c r="U847" s="88">
        <v>4.4621206349206348</v>
      </c>
      <c r="V847" s="87" t="s">
        <v>3061</v>
      </c>
      <c r="W847" s="87" t="s">
        <v>3114</v>
      </c>
      <c r="X847" s="90" t="s">
        <v>3477</v>
      </c>
      <c r="Y847" s="89"/>
      <c r="Z847" s="89">
        <v>3</v>
      </c>
      <c r="AA847" s="89"/>
      <c r="AB847" s="89"/>
    </row>
    <row r="848" spans="1:28" s="31" customFormat="1" ht="60" customHeight="1" x14ac:dyDescent="0.2">
      <c r="A848" s="76">
        <v>847</v>
      </c>
      <c r="B848" s="77">
        <v>50004141</v>
      </c>
      <c r="C848" s="78" t="s">
        <v>2205</v>
      </c>
      <c r="D848" s="79">
        <v>0.05</v>
      </c>
      <c r="E848" s="80">
        <v>30049099</v>
      </c>
      <c r="F848" s="81" t="s">
        <v>2206</v>
      </c>
      <c r="G848" s="82" t="s">
        <v>2207</v>
      </c>
      <c r="H848" s="82" t="s">
        <v>2208</v>
      </c>
      <c r="I848" s="79" t="s">
        <v>2663</v>
      </c>
      <c r="J848" s="83">
        <v>185.46</v>
      </c>
      <c r="K848" s="83">
        <v>141.30285714285714</v>
      </c>
      <c r="L848" s="83">
        <v>129.52761904761903</v>
      </c>
      <c r="M848" s="84">
        <v>113.04228571428568</v>
      </c>
      <c r="N848" s="59">
        <f t="shared" si="13"/>
        <v>0.3904761904761907</v>
      </c>
      <c r="O848" s="85" t="s">
        <v>2158</v>
      </c>
      <c r="P848" s="86" t="s">
        <v>2691</v>
      </c>
      <c r="Q848" s="87" t="s">
        <v>3208</v>
      </c>
      <c r="R848" s="87">
        <v>15</v>
      </c>
      <c r="S848" s="88">
        <v>12.364000000000001</v>
      </c>
      <c r="T848" s="88">
        <v>8.6351746031746011</v>
      </c>
      <c r="U848" s="88">
        <v>7.5361523809523785</v>
      </c>
      <c r="V848" s="87" t="s">
        <v>3061</v>
      </c>
      <c r="W848" s="87" t="s">
        <v>3114</v>
      </c>
      <c r="X848" s="90" t="s">
        <v>3477</v>
      </c>
      <c r="Y848" s="89"/>
      <c r="Z848" s="89">
        <v>3</v>
      </c>
      <c r="AA848" s="89"/>
      <c r="AB848" s="89"/>
    </row>
    <row r="849" spans="1:28" s="31" customFormat="1" ht="60" customHeight="1" x14ac:dyDescent="0.2">
      <c r="A849" s="76">
        <v>848</v>
      </c>
      <c r="B849" s="77">
        <v>50004140</v>
      </c>
      <c r="C849" s="78" t="s">
        <v>2209</v>
      </c>
      <c r="D849" s="79">
        <v>0.05</v>
      </c>
      <c r="E849" s="80">
        <v>30049099</v>
      </c>
      <c r="F849" s="81" t="s">
        <v>2210</v>
      </c>
      <c r="G849" s="82" t="s">
        <v>2211</v>
      </c>
      <c r="H849" s="82" t="s">
        <v>4049</v>
      </c>
      <c r="I849" s="79" t="s">
        <v>2663</v>
      </c>
      <c r="J849" s="83">
        <v>131.47999999999999</v>
      </c>
      <c r="K849" s="83">
        <v>100.17523809523809</v>
      </c>
      <c r="L849" s="83">
        <v>91.827301587301577</v>
      </c>
      <c r="M849" s="84">
        <v>80.140190476190483</v>
      </c>
      <c r="N849" s="59">
        <f t="shared" si="13"/>
        <v>0.39047619047619037</v>
      </c>
      <c r="O849" s="85" t="s">
        <v>2158</v>
      </c>
      <c r="P849" s="86" t="s">
        <v>22</v>
      </c>
      <c r="Q849" s="87" t="s">
        <v>3208</v>
      </c>
      <c r="R849" s="87">
        <v>15</v>
      </c>
      <c r="S849" s="88">
        <v>8.7653333333333325</v>
      </c>
      <c r="T849" s="88">
        <v>6.1218201058201052</v>
      </c>
      <c r="U849" s="88">
        <v>5.3426793650793654</v>
      </c>
      <c r="V849" s="87" t="s">
        <v>3061</v>
      </c>
      <c r="W849" s="87" t="s">
        <v>3114</v>
      </c>
      <c r="X849" s="90" t="s">
        <v>3477</v>
      </c>
      <c r="Y849" s="89"/>
      <c r="Z849" s="89">
        <v>3</v>
      </c>
      <c r="AA849" s="89"/>
      <c r="AB849" s="89"/>
    </row>
    <row r="850" spans="1:28" s="31" customFormat="1" ht="60" customHeight="1" x14ac:dyDescent="0.2">
      <c r="A850" s="76">
        <v>849</v>
      </c>
      <c r="B850" s="77">
        <v>50004139</v>
      </c>
      <c r="C850" s="78" t="s">
        <v>2212</v>
      </c>
      <c r="D850" s="79">
        <v>0.05</v>
      </c>
      <c r="E850" s="80">
        <v>30049099</v>
      </c>
      <c r="F850" s="81" t="s">
        <v>2213</v>
      </c>
      <c r="G850" s="82" t="s">
        <v>2214</v>
      </c>
      <c r="H850" s="82" t="s">
        <v>4050</v>
      </c>
      <c r="I850" s="79" t="s">
        <v>2663</v>
      </c>
      <c r="J850" s="83">
        <v>212.68</v>
      </c>
      <c r="K850" s="83">
        <v>162.04190476190476</v>
      </c>
      <c r="L850" s="83">
        <v>148.53841269841271</v>
      </c>
      <c r="M850" s="84">
        <v>129.63352380952384</v>
      </c>
      <c r="N850" s="59">
        <f t="shared" si="13"/>
        <v>0.39047619047619037</v>
      </c>
      <c r="O850" s="85" t="s">
        <v>2158</v>
      </c>
      <c r="P850" s="86" t="s">
        <v>22</v>
      </c>
      <c r="Q850" s="87" t="s">
        <v>3208</v>
      </c>
      <c r="R850" s="87">
        <v>15</v>
      </c>
      <c r="S850" s="88">
        <v>14.178666666666667</v>
      </c>
      <c r="T850" s="88">
        <v>9.9025608465608475</v>
      </c>
      <c r="U850" s="88">
        <v>8.6422349206349232</v>
      </c>
      <c r="V850" s="87" t="s">
        <v>3061</v>
      </c>
      <c r="W850" s="87" t="s">
        <v>3114</v>
      </c>
      <c r="X850" s="90" t="s">
        <v>3477</v>
      </c>
      <c r="Y850" s="89"/>
      <c r="Z850" s="89">
        <v>3</v>
      </c>
      <c r="AA850" s="89"/>
      <c r="AB850" s="89"/>
    </row>
    <row r="851" spans="1:28" s="31" customFormat="1" ht="60" customHeight="1" x14ac:dyDescent="0.2">
      <c r="A851" s="76">
        <v>850</v>
      </c>
      <c r="B851" s="77">
        <v>50004113</v>
      </c>
      <c r="C851" s="78" t="s">
        <v>2215</v>
      </c>
      <c r="D851" s="79">
        <v>0.05</v>
      </c>
      <c r="E851" s="80">
        <v>30049099</v>
      </c>
      <c r="F851" s="81" t="s">
        <v>2216</v>
      </c>
      <c r="G851" s="82" t="s">
        <v>2217</v>
      </c>
      <c r="H851" s="82" t="s">
        <v>158</v>
      </c>
      <c r="I851" s="79" t="s">
        <v>2663</v>
      </c>
      <c r="J851" s="83">
        <v>93.37</v>
      </c>
      <c r="K851" s="83">
        <v>71.139047619047616</v>
      </c>
      <c r="L851" s="83">
        <v>71.139047619047616</v>
      </c>
      <c r="M851" s="84">
        <v>56.911238095238097</v>
      </c>
      <c r="N851" s="59">
        <f t="shared" si="13"/>
        <v>0.39047619047619048</v>
      </c>
      <c r="O851" s="85" t="s">
        <v>2158</v>
      </c>
      <c r="P851" s="86" t="s">
        <v>4127</v>
      </c>
      <c r="Q851" s="87" t="s">
        <v>3208</v>
      </c>
      <c r="R851" s="87">
        <v>15</v>
      </c>
      <c r="S851" s="88">
        <v>6.2246666666666668</v>
      </c>
      <c r="T851" s="88">
        <v>4.7426031746031745</v>
      </c>
      <c r="U851" s="88">
        <v>3.7940825396825399</v>
      </c>
      <c r="V851" s="87" t="s">
        <v>3061</v>
      </c>
      <c r="W851" s="87" t="s">
        <v>3114</v>
      </c>
      <c r="X851" s="90" t="s">
        <v>3477</v>
      </c>
      <c r="Y851" s="89" t="s">
        <v>3455</v>
      </c>
      <c r="Z851" s="89">
        <v>3</v>
      </c>
      <c r="AA851" s="89"/>
      <c r="AB851" s="89"/>
    </row>
    <row r="852" spans="1:28" s="31" customFormat="1" ht="60" customHeight="1" x14ac:dyDescent="0.2">
      <c r="A852" s="76">
        <v>851</v>
      </c>
      <c r="B852" s="77">
        <v>50004114</v>
      </c>
      <c r="C852" s="78" t="s">
        <v>2218</v>
      </c>
      <c r="D852" s="79">
        <v>0.05</v>
      </c>
      <c r="E852" s="80">
        <v>30049099</v>
      </c>
      <c r="F852" s="81" t="s">
        <v>1186</v>
      </c>
      <c r="G852" s="82" t="s">
        <v>1187</v>
      </c>
      <c r="H852" s="82" t="s">
        <v>323</v>
      </c>
      <c r="I852" s="79" t="s">
        <v>2663</v>
      </c>
      <c r="J852" s="83">
        <v>183.76</v>
      </c>
      <c r="K852" s="83">
        <v>140.00761904761904</v>
      </c>
      <c r="L852" s="83">
        <v>140.00761904761904</v>
      </c>
      <c r="M852" s="84">
        <v>112.00609523809527</v>
      </c>
      <c r="N852" s="59">
        <f t="shared" si="13"/>
        <v>0.39047619047619025</v>
      </c>
      <c r="O852" s="85" t="s">
        <v>2158</v>
      </c>
      <c r="P852" s="86" t="s">
        <v>2813</v>
      </c>
      <c r="Q852" s="87" t="s">
        <v>3208</v>
      </c>
      <c r="R852" s="87">
        <v>15</v>
      </c>
      <c r="S852" s="88">
        <v>12.250666666666666</v>
      </c>
      <c r="T852" s="88">
        <v>9.3338412698412689</v>
      </c>
      <c r="U852" s="88">
        <v>7.4670730158730176</v>
      </c>
      <c r="V852" s="87" t="s">
        <v>3061</v>
      </c>
      <c r="W852" s="87" t="s">
        <v>3114</v>
      </c>
      <c r="X852" s="90" t="s">
        <v>3477</v>
      </c>
      <c r="Y852" s="89" t="s">
        <v>3455</v>
      </c>
      <c r="Z852" s="89">
        <v>3</v>
      </c>
      <c r="AA852" s="89"/>
      <c r="AB852" s="89"/>
    </row>
    <row r="853" spans="1:28" s="31" customFormat="1" ht="60" customHeight="1" x14ac:dyDescent="0.2">
      <c r="A853" s="76">
        <v>852</v>
      </c>
      <c r="B853" s="77">
        <v>50003984</v>
      </c>
      <c r="C853" s="78" t="s">
        <v>2219</v>
      </c>
      <c r="D853" s="79">
        <v>0.05</v>
      </c>
      <c r="E853" s="80">
        <v>30049099</v>
      </c>
      <c r="F853" s="81" t="s">
        <v>1162</v>
      </c>
      <c r="G853" s="82" t="s">
        <v>2220</v>
      </c>
      <c r="H853" s="82" t="s">
        <v>3098</v>
      </c>
      <c r="I853" s="79" t="s">
        <v>2666</v>
      </c>
      <c r="J853" s="83">
        <v>164.99</v>
      </c>
      <c r="K853" s="83">
        <v>125.70666666666666</v>
      </c>
      <c r="L853" s="83">
        <v>125.70666666666666</v>
      </c>
      <c r="M853" s="84">
        <v>100.56533333333334</v>
      </c>
      <c r="N853" s="59">
        <f t="shared" si="13"/>
        <v>0.39047619047619048</v>
      </c>
      <c r="O853" s="85" t="s">
        <v>2158</v>
      </c>
      <c r="P853" s="86" t="s">
        <v>2813</v>
      </c>
      <c r="Q853" s="87" t="s">
        <v>3208</v>
      </c>
      <c r="R853" s="87">
        <v>10</v>
      </c>
      <c r="S853" s="88">
        <v>16.499000000000002</v>
      </c>
      <c r="T853" s="88">
        <v>12.570666666666666</v>
      </c>
      <c r="U853" s="88">
        <v>10.056533333333334</v>
      </c>
      <c r="V853" s="87" t="s">
        <v>3061</v>
      </c>
      <c r="W853" s="87" t="s">
        <v>3114</v>
      </c>
      <c r="X853" s="90" t="s">
        <v>3477</v>
      </c>
      <c r="Y853" s="89" t="s">
        <v>3455</v>
      </c>
      <c r="Z853" s="89">
        <v>3</v>
      </c>
      <c r="AA853" s="89"/>
      <c r="AB853" s="89"/>
    </row>
    <row r="854" spans="1:28" s="31" customFormat="1" ht="60" customHeight="1" x14ac:dyDescent="0.2">
      <c r="A854" s="76">
        <v>853</v>
      </c>
      <c r="B854" s="77">
        <v>50003983</v>
      </c>
      <c r="C854" s="78" t="s">
        <v>2221</v>
      </c>
      <c r="D854" s="79">
        <v>0.05</v>
      </c>
      <c r="E854" s="80">
        <v>30049099</v>
      </c>
      <c r="F854" s="81" t="s">
        <v>1165</v>
      </c>
      <c r="G854" s="82" t="s">
        <v>2222</v>
      </c>
      <c r="H854" s="82" t="s">
        <v>3290</v>
      </c>
      <c r="I854" s="79" t="s">
        <v>2666</v>
      </c>
      <c r="J854" s="83">
        <v>192.84</v>
      </c>
      <c r="K854" s="83">
        <v>146.92571428571426</v>
      </c>
      <c r="L854" s="83">
        <v>146.92571428571426</v>
      </c>
      <c r="M854" s="84">
        <v>117.54057142857141</v>
      </c>
      <c r="N854" s="59">
        <f t="shared" si="13"/>
        <v>0.39047619047619059</v>
      </c>
      <c r="O854" s="85" t="s">
        <v>2158</v>
      </c>
      <c r="P854" s="86" t="s">
        <v>2813</v>
      </c>
      <c r="Q854" s="87" t="s">
        <v>3208</v>
      </c>
      <c r="R854" s="87">
        <v>10</v>
      </c>
      <c r="S854" s="88">
        <v>19.283999999999999</v>
      </c>
      <c r="T854" s="88">
        <v>14.692571428571426</v>
      </c>
      <c r="U854" s="88">
        <v>11.754057142857141</v>
      </c>
      <c r="V854" s="87" t="s">
        <v>3061</v>
      </c>
      <c r="W854" s="87" t="s">
        <v>3114</v>
      </c>
      <c r="X854" s="90" t="s">
        <v>3477</v>
      </c>
      <c r="Y854" s="89" t="s">
        <v>3455</v>
      </c>
      <c r="Z854" s="89">
        <v>3</v>
      </c>
      <c r="AA854" s="89"/>
      <c r="AB854" s="89"/>
    </row>
    <row r="855" spans="1:28" s="31" customFormat="1" ht="60" customHeight="1" x14ac:dyDescent="0.2">
      <c r="A855" s="76">
        <v>854</v>
      </c>
      <c r="B855" s="77">
        <v>50004590</v>
      </c>
      <c r="C855" s="78" t="s">
        <v>2223</v>
      </c>
      <c r="D855" s="79">
        <v>0.05</v>
      </c>
      <c r="E855" s="80">
        <v>30049099</v>
      </c>
      <c r="F855" s="81" t="s">
        <v>2224</v>
      </c>
      <c r="G855" s="82" t="s">
        <v>2225</v>
      </c>
      <c r="H855" s="82" t="s">
        <v>3884</v>
      </c>
      <c r="I855" s="79" t="s">
        <v>2666</v>
      </c>
      <c r="J855" s="83">
        <v>183.56</v>
      </c>
      <c r="K855" s="83">
        <v>139.85523809523809</v>
      </c>
      <c r="L855" s="83">
        <v>139.85523809523809</v>
      </c>
      <c r="M855" s="84">
        <v>111.87859626666669</v>
      </c>
      <c r="N855" s="59">
        <f t="shared" si="13"/>
        <v>0.39050666666666656</v>
      </c>
      <c r="O855" s="85" t="s">
        <v>2158</v>
      </c>
      <c r="P855" s="86" t="s">
        <v>2813</v>
      </c>
      <c r="Q855" s="87" t="s">
        <v>3208</v>
      </c>
      <c r="R855" s="87">
        <v>10</v>
      </c>
      <c r="S855" s="88">
        <v>18.356000000000002</v>
      </c>
      <c r="T855" s="88">
        <v>13.985523809523809</v>
      </c>
      <c r="U855" s="88">
        <v>11.187859626666668</v>
      </c>
      <c r="V855" s="87" t="s">
        <v>3061</v>
      </c>
      <c r="W855" s="87" t="s">
        <v>3114</v>
      </c>
      <c r="X855" s="90" t="s">
        <v>3477</v>
      </c>
      <c r="Y855" s="89"/>
      <c r="Z855" s="89">
        <v>3</v>
      </c>
      <c r="AA855" s="89"/>
      <c r="AB855" s="89"/>
    </row>
    <row r="856" spans="1:28" s="31" customFormat="1" ht="60" customHeight="1" x14ac:dyDescent="0.2">
      <c r="A856" s="76">
        <v>855</v>
      </c>
      <c r="B856" s="77">
        <v>50004591</v>
      </c>
      <c r="C856" s="78" t="s">
        <v>2226</v>
      </c>
      <c r="D856" s="79">
        <v>0.05</v>
      </c>
      <c r="E856" s="80">
        <v>30049099</v>
      </c>
      <c r="F856" s="81" t="s">
        <v>2227</v>
      </c>
      <c r="G856" s="82" t="s">
        <v>2228</v>
      </c>
      <c r="H856" s="82" t="s">
        <v>3885</v>
      </c>
      <c r="I856" s="79" t="s">
        <v>2666</v>
      </c>
      <c r="J856" s="83">
        <v>176.24</v>
      </c>
      <c r="K856" s="83">
        <v>134.27809523809523</v>
      </c>
      <c r="L856" s="83">
        <v>134.27809523809523</v>
      </c>
      <c r="M856" s="84">
        <v>107.41710506666668</v>
      </c>
      <c r="N856" s="59">
        <f t="shared" si="13"/>
        <v>0.39050666666666661</v>
      </c>
      <c r="O856" s="85" t="s">
        <v>2158</v>
      </c>
      <c r="P856" s="86" t="s">
        <v>2813</v>
      </c>
      <c r="Q856" s="87" t="s">
        <v>3208</v>
      </c>
      <c r="R856" s="87">
        <v>10</v>
      </c>
      <c r="S856" s="88">
        <v>17.624000000000002</v>
      </c>
      <c r="T856" s="88">
        <v>13.427809523809524</v>
      </c>
      <c r="U856" s="88">
        <v>10.741710506666667</v>
      </c>
      <c r="V856" s="87" t="s">
        <v>3061</v>
      </c>
      <c r="W856" s="87" t="s">
        <v>3114</v>
      </c>
      <c r="X856" s="90" t="s">
        <v>3477</v>
      </c>
      <c r="Y856" s="89"/>
      <c r="Z856" s="89">
        <v>3</v>
      </c>
      <c r="AA856" s="89"/>
      <c r="AB856" s="89"/>
    </row>
    <row r="857" spans="1:28" s="31" customFormat="1" ht="60" customHeight="1" x14ac:dyDescent="0.2">
      <c r="A857" s="76">
        <v>856</v>
      </c>
      <c r="B857" s="77">
        <v>50004559</v>
      </c>
      <c r="C857" s="78" t="s">
        <v>2229</v>
      </c>
      <c r="D857" s="79">
        <v>0.05</v>
      </c>
      <c r="E857" s="80">
        <v>30049099</v>
      </c>
      <c r="F857" s="81" t="s">
        <v>2230</v>
      </c>
      <c r="G857" s="82" t="s">
        <v>2231</v>
      </c>
      <c r="H857" s="82" t="s">
        <v>3672</v>
      </c>
      <c r="I857" s="79" t="s">
        <v>2710</v>
      </c>
      <c r="J857" s="83">
        <v>185.28</v>
      </c>
      <c r="K857" s="83">
        <v>141.16571428571427</v>
      </c>
      <c r="L857" s="83">
        <v>141.16571428571427</v>
      </c>
      <c r="M857" s="84">
        <v>112.93257142857142</v>
      </c>
      <c r="N857" s="59">
        <f t="shared" si="13"/>
        <v>0.39047619047619053</v>
      </c>
      <c r="O857" s="85" t="s">
        <v>2158</v>
      </c>
      <c r="P857" s="86" t="s">
        <v>2694</v>
      </c>
      <c r="Q857" s="87" t="s">
        <v>3208</v>
      </c>
      <c r="R857" s="87">
        <v>20</v>
      </c>
      <c r="S857" s="88">
        <v>9.2639999999999993</v>
      </c>
      <c r="T857" s="88">
        <v>7.0582857142857138</v>
      </c>
      <c r="U857" s="88">
        <v>5.6466285714285709</v>
      </c>
      <c r="V857" s="87" t="s">
        <v>3061</v>
      </c>
      <c r="W857" s="87" t="s">
        <v>3114</v>
      </c>
      <c r="X857" s="90" t="s">
        <v>3477</v>
      </c>
      <c r="Y857" s="89" t="s">
        <v>3455</v>
      </c>
      <c r="Z857" s="89">
        <v>3</v>
      </c>
      <c r="AA857" s="89"/>
      <c r="AB857" s="89"/>
    </row>
    <row r="858" spans="1:28" s="31" customFormat="1" ht="60" customHeight="1" x14ac:dyDescent="0.2">
      <c r="A858" s="76">
        <v>857</v>
      </c>
      <c r="B858" s="77">
        <v>50004115</v>
      </c>
      <c r="C858" s="78" t="s">
        <v>2232</v>
      </c>
      <c r="D858" s="79">
        <v>0.05</v>
      </c>
      <c r="E858" s="80">
        <v>30049099</v>
      </c>
      <c r="F858" s="81" t="s">
        <v>2233</v>
      </c>
      <c r="G858" s="82" t="s">
        <v>2234</v>
      </c>
      <c r="H858" s="82" t="s">
        <v>3834</v>
      </c>
      <c r="I858" s="79" t="s">
        <v>2663</v>
      </c>
      <c r="J858" s="83">
        <v>130.80000000000001</v>
      </c>
      <c r="K858" s="83">
        <v>99.657142857142873</v>
      </c>
      <c r="L858" s="83">
        <v>99.657142857142873</v>
      </c>
      <c r="M858" s="84">
        <v>79.72571428571429</v>
      </c>
      <c r="N858" s="59">
        <f t="shared" si="13"/>
        <v>0.39047619047619048</v>
      </c>
      <c r="O858" s="85" t="s">
        <v>2158</v>
      </c>
      <c r="P858" s="86" t="s">
        <v>2694</v>
      </c>
      <c r="Q858" s="87" t="s">
        <v>3208</v>
      </c>
      <c r="R858" s="87">
        <v>15</v>
      </c>
      <c r="S858" s="88">
        <v>8.7200000000000006</v>
      </c>
      <c r="T858" s="88">
        <v>6.6438095238095247</v>
      </c>
      <c r="U858" s="88">
        <v>5.3150476190476192</v>
      </c>
      <c r="V858" s="87" t="s">
        <v>3061</v>
      </c>
      <c r="W858" s="87" t="s">
        <v>3114</v>
      </c>
      <c r="X858" s="90" t="s">
        <v>3477</v>
      </c>
      <c r="Y858" s="89" t="s">
        <v>3455</v>
      </c>
      <c r="Z858" s="89">
        <v>3</v>
      </c>
      <c r="AA858" s="89"/>
      <c r="AB858" s="89"/>
    </row>
    <row r="859" spans="1:28" s="31" customFormat="1" ht="60" customHeight="1" x14ac:dyDescent="0.2">
      <c r="A859" s="76">
        <v>858</v>
      </c>
      <c r="B859" s="77">
        <v>50004568</v>
      </c>
      <c r="C859" s="78" t="s">
        <v>2235</v>
      </c>
      <c r="D859" s="79">
        <v>0.05</v>
      </c>
      <c r="E859" s="80">
        <v>30049099</v>
      </c>
      <c r="F859" s="81" t="s">
        <v>2236</v>
      </c>
      <c r="G859" s="82" t="s">
        <v>2237</v>
      </c>
      <c r="H859" s="82" t="s">
        <v>3810</v>
      </c>
      <c r="I859" s="79" t="s">
        <v>2666</v>
      </c>
      <c r="J859" s="83">
        <v>133.94999999999999</v>
      </c>
      <c r="K859" s="83">
        <v>102.05714285714285</v>
      </c>
      <c r="L859" s="83">
        <v>102.05714285714285</v>
      </c>
      <c r="M859" s="84">
        <v>81.645714285714277</v>
      </c>
      <c r="N859" s="59">
        <f t="shared" si="13"/>
        <v>0.39047619047619048</v>
      </c>
      <c r="O859" s="85" t="s">
        <v>2158</v>
      </c>
      <c r="P859" s="86" t="s">
        <v>2748</v>
      </c>
      <c r="Q859" s="87" t="s">
        <v>3208</v>
      </c>
      <c r="R859" s="87">
        <v>10</v>
      </c>
      <c r="S859" s="88">
        <v>13.395</v>
      </c>
      <c r="T859" s="88">
        <v>10.205714285714285</v>
      </c>
      <c r="U859" s="88">
        <v>8.1645714285714277</v>
      </c>
      <c r="V859" s="87" t="s">
        <v>3061</v>
      </c>
      <c r="W859" s="87" t="s">
        <v>3114</v>
      </c>
      <c r="X859" s="90" t="s">
        <v>3477</v>
      </c>
      <c r="Y859" s="89"/>
      <c r="Z859" s="89">
        <v>3</v>
      </c>
      <c r="AA859" s="89"/>
      <c r="AB859" s="89"/>
    </row>
    <row r="860" spans="1:28" s="31" customFormat="1" ht="60" customHeight="1" x14ac:dyDescent="0.2">
      <c r="A860" s="76">
        <v>859</v>
      </c>
      <c r="B860" s="77">
        <v>50004657</v>
      </c>
      <c r="C860" s="78" t="s">
        <v>2238</v>
      </c>
      <c r="D860" s="79">
        <v>0.05</v>
      </c>
      <c r="E860" s="80">
        <v>30049099</v>
      </c>
      <c r="F860" s="81" t="s">
        <v>2239</v>
      </c>
      <c r="G860" s="82" t="s">
        <v>2240</v>
      </c>
      <c r="H860" s="82" t="s">
        <v>3811</v>
      </c>
      <c r="I860" s="79" t="s">
        <v>2666</v>
      </c>
      <c r="J860" s="83">
        <v>154.57</v>
      </c>
      <c r="K860" s="83">
        <v>117.76761904761904</v>
      </c>
      <c r="L860" s="83">
        <v>117.76761904761904</v>
      </c>
      <c r="M860" s="84">
        <v>94.21409523809524</v>
      </c>
      <c r="N860" s="59">
        <f t="shared" si="13"/>
        <v>0.39047619047619042</v>
      </c>
      <c r="O860" s="85" t="s">
        <v>2158</v>
      </c>
      <c r="P860" s="86" t="s">
        <v>2748</v>
      </c>
      <c r="Q860" s="87" t="s">
        <v>3208</v>
      </c>
      <c r="R860" s="87">
        <v>10</v>
      </c>
      <c r="S860" s="88">
        <v>15.456999999999999</v>
      </c>
      <c r="T860" s="88">
        <v>11.776761904761903</v>
      </c>
      <c r="U860" s="88">
        <v>9.4214095238095243</v>
      </c>
      <c r="V860" s="87" t="s">
        <v>3061</v>
      </c>
      <c r="W860" s="87" t="s">
        <v>3114</v>
      </c>
      <c r="X860" s="90" t="s">
        <v>3477</v>
      </c>
      <c r="Y860" s="89"/>
      <c r="Z860" s="89">
        <v>3</v>
      </c>
      <c r="AA860" s="89"/>
      <c r="AB860" s="89"/>
    </row>
    <row r="861" spans="1:28" s="31" customFormat="1" ht="60" customHeight="1" x14ac:dyDescent="0.2">
      <c r="A861" s="76">
        <v>860</v>
      </c>
      <c r="B861" s="77">
        <v>50004128</v>
      </c>
      <c r="C861" s="78" t="s">
        <v>2241</v>
      </c>
      <c r="D861" s="79">
        <v>0.05</v>
      </c>
      <c r="E861" s="80">
        <v>30049079</v>
      </c>
      <c r="F861" s="81" t="s">
        <v>2242</v>
      </c>
      <c r="G861" s="82" t="s">
        <v>2243</v>
      </c>
      <c r="H861" s="82" t="s">
        <v>26</v>
      </c>
      <c r="I861" s="79" t="s">
        <v>2663</v>
      </c>
      <c r="J861" s="83">
        <v>108.33</v>
      </c>
      <c r="K861" s="83">
        <v>82.537142857142868</v>
      </c>
      <c r="L861" s="83">
        <v>75.659047619047627</v>
      </c>
      <c r="M861" s="84">
        <v>66.029714285714277</v>
      </c>
      <c r="N861" s="59">
        <f t="shared" si="13"/>
        <v>0.39047619047619053</v>
      </c>
      <c r="O861" s="85" t="s">
        <v>2244</v>
      </c>
      <c r="P861" s="86" t="s">
        <v>37</v>
      </c>
      <c r="Q861" s="87" t="s">
        <v>3208</v>
      </c>
      <c r="R861" s="87">
        <v>15</v>
      </c>
      <c r="S861" s="88">
        <v>7.2219999999999995</v>
      </c>
      <c r="T861" s="88">
        <v>5.0439365079365084</v>
      </c>
      <c r="U861" s="88">
        <v>4.4019809523809519</v>
      </c>
      <c r="V861" s="87" t="s">
        <v>3061</v>
      </c>
      <c r="W861" s="87" t="s">
        <v>3100</v>
      </c>
      <c r="X861" s="90" t="s">
        <v>3477</v>
      </c>
      <c r="Y861" s="89"/>
      <c r="Z861" s="89">
        <v>3</v>
      </c>
      <c r="AA861" s="89"/>
      <c r="AB861" s="89" t="s">
        <v>4613</v>
      </c>
    </row>
    <row r="862" spans="1:28" s="31" customFormat="1" ht="60" customHeight="1" x14ac:dyDescent="0.2">
      <c r="A862" s="76">
        <v>861</v>
      </c>
      <c r="B862" s="77">
        <v>50004121</v>
      </c>
      <c r="C862" s="78" t="s">
        <v>2245</v>
      </c>
      <c r="D862" s="79">
        <v>0.05</v>
      </c>
      <c r="E862" s="80">
        <v>30049079</v>
      </c>
      <c r="F862" s="81" t="s">
        <v>2246</v>
      </c>
      <c r="G862" s="82" t="s">
        <v>2247</v>
      </c>
      <c r="H862" s="82" t="s">
        <v>30</v>
      </c>
      <c r="I862" s="79" t="s">
        <v>2663</v>
      </c>
      <c r="J862" s="83">
        <v>174.08</v>
      </c>
      <c r="K862" s="83">
        <v>132.63238095238097</v>
      </c>
      <c r="L862" s="83">
        <v>121.57968253968255</v>
      </c>
      <c r="M862" s="84">
        <v>106.10590476190478</v>
      </c>
      <c r="N862" s="59">
        <f t="shared" si="13"/>
        <v>0.39047619047619042</v>
      </c>
      <c r="O862" s="85" t="s">
        <v>2244</v>
      </c>
      <c r="P862" s="86" t="s">
        <v>2699</v>
      </c>
      <c r="Q862" s="87" t="s">
        <v>3208</v>
      </c>
      <c r="R862" s="87">
        <v>15</v>
      </c>
      <c r="S862" s="88">
        <v>11.605333333333334</v>
      </c>
      <c r="T862" s="88">
        <v>8.1053121693121692</v>
      </c>
      <c r="U862" s="88">
        <v>7.0737269841269859</v>
      </c>
      <c r="V862" s="87" t="s">
        <v>3061</v>
      </c>
      <c r="W862" s="87" t="s">
        <v>3100</v>
      </c>
      <c r="X862" s="90" t="s">
        <v>3477</v>
      </c>
      <c r="Y862" s="89"/>
      <c r="Z862" s="89">
        <v>3</v>
      </c>
      <c r="AA862" s="89"/>
      <c r="AB862" s="89" t="s">
        <v>4613</v>
      </c>
    </row>
    <row r="863" spans="1:28" s="31" customFormat="1" ht="60" customHeight="1" x14ac:dyDescent="0.2">
      <c r="A863" s="76">
        <v>862</v>
      </c>
      <c r="B863" s="77">
        <v>50004127</v>
      </c>
      <c r="C863" s="78" t="s">
        <v>2248</v>
      </c>
      <c r="D863" s="79">
        <v>0.05</v>
      </c>
      <c r="E863" s="80">
        <v>30049079</v>
      </c>
      <c r="F863" s="81" t="s">
        <v>2249</v>
      </c>
      <c r="G863" s="82" t="s">
        <v>2250</v>
      </c>
      <c r="H863" s="82" t="s">
        <v>294</v>
      </c>
      <c r="I863" s="79" t="s">
        <v>2663</v>
      </c>
      <c r="J863" s="83">
        <v>248.85</v>
      </c>
      <c r="K863" s="83">
        <v>189.6</v>
      </c>
      <c r="L863" s="83">
        <v>173.79999999999998</v>
      </c>
      <c r="M863" s="84">
        <v>151.68000000000006</v>
      </c>
      <c r="N863" s="59">
        <f t="shared" si="13"/>
        <v>0.3904761904761902</v>
      </c>
      <c r="O863" s="85" t="s">
        <v>2244</v>
      </c>
      <c r="P863" s="86" t="s">
        <v>2694</v>
      </c>
      <c r="Q863" s="87" t="s">
        <v>3208</v>
      </c>
      <c r="R863" s="87">
        <v>15</v>
      </c>
      <c r="S863" s="88">
        <v>16.59</v>
      </c>
      <c r="T863" s="88">
        <v>11.586666666666666</v>
      </c>
      <c r="U863" s="88">
        <v>10.112000000000004</v>
      </c>
      <c r="V863" s="87" t="s">
        <v>3061</v>
      </c>
      <c r="W863" s="87" t="s">
        <v>3100</v>
      </c>
      <c r="X863" s="90" t="s">
        <v>3477</v>
      </c>
      <c r="Y863" s="89"/>
      <c r="Z863" s="89">
        <v>3</v>
      </c>
      <c r="AA863" s="89"/>
      <c r="AB863" s="89"/>
    </row>
    <row r="864" spans="1:28" s="31" customFormat="1" ht="60" customHeight="1" x14ac:dyDescent="0.2">
      <c r="A864" s="76">
        <v>863</v>
      </c>
      <c r="B864" s="77">
        <v>50004131</v>
      </c>
      <c r="C864" s="78" t="s">
        <v>2251</v>
      </c>
      <c r="D864" s="79">
        <v>0.05</v>
      </c>
      <c r="E864" s="80">
        <v>30049079</v>
      </c>
      <c r="F864" s="81" t="s">
        <v>2252</v>
      </c>
      <c r="G864" s="82" t="s">
        <v>2253</v>
      </c>
      <c r="H864" s="82" t="s">
        <v>3838</v>
      </c>
      <c r="I864" s="79" t="s">
        <v>2663</v>
      </c>
      <c r="J864" s="83">
        <v>220.55</v>
      </c>
      <c r="K864" s="83">
        <v>168.03809523809522</v>
      </c>
      <c r="L864" s="83">
        <v>154.03492063492061</v>
      </c>
      <c r="M864" s="84">
        <v>134.43047619047618</v>
      </c>
      <c r="N864" s="59">
        <f t="shared" si="13"/>
        <v>0.39047619047619053</v>
      </c>
      <c r="O864" s="85" t="s">
        <v>2244</v>
      </c>
      <c r="P864" s="86" t="s">
        <v>4744</v>
      </c>
      <c r="Q864" s="87" t="s">
        <v>3208</v>
      </c>
      <c r="R864" s="87">
        <v>15</v>
      </c>
      <c r="S864" s="88">
        <v>14.703333333333335</v>
      </c>
      <c r="T864" s="88">
        <v>10.268994708994708</v>
      </c>
      <c r="U864" s="88">
        <v>8.9620317460317462</v>
      </c>
      <c r="V864" s="87" t="s">
        <v>3061</v>
      </c>
      <c r="W864" s="87" t="s">
        <v>3100</v>
      </c>
      <c r="X864" s="90" t="s">
        <v>3477</v>
      </c>
      <c r="Y864" s="89"/>
      <c r="Z864" s="89">
        <v>3</v>
      </c>
      <c r="AA864" s="89"/>
      <c r="AB864" s="89"/>
    </row>
    <row r="865" spans="1:28" s="31" customFormat="1" ht="60" customHeight="1" x14ac:dyDescent="0.2">
      <c r="A865" s="76">
        <v>864</v>
      </c>
      <c r="B865" s="77">
        <v>50005019</v>
      </c>
      <c r="C865" s="78" t="s">
        <v>3359</v>
      </c>
      <c r="D865" s="79">
        <v>0.05</v>
      </c>
      <c r="E865" s="80">
        <v>30049079</v>
      </c>
      <c r="F865" s="81" t="s">
        <v>3376</v>
      </c>
      <c r="G865" s="82" t="s">
        <v>3389</v>
      </c>
      <c r="H865" s="82" t="s">
        <v>3400</v>
      </c>
      <c r="I865" s="79" t="s">
        <v>2666</v>
      </c>
      <c r="J865" s="83">
        <v>148.57</v>
      </c>
      <c r="K865" s="83">
        <v>113.19619047619048</v>
      </c>
      <c r="L865" s="83">
        <v>103.7631746031746</v>
      </c>
      <c r="M865" s="84">
        <v>90.556952380952367</v>
      </c>
      <c r="N865" s="59">
        <f t="shared" si="13"/>
        <v>0.39047619047619053</v>
      </c>
      <c r="O865" s="85" t="s">
        <v>2244</v>
      </c>
      <c r="P865" s="86" t="s">
        <v>2876</v>
      </c>
      <c r="Q865" s="87" t="s">
        <v>3208</v>
      </c>
      <c r="R865" s="87">
        <v>10</v>
      </c>
      <c r="S865" s="88">
        <v>14.856999999999999</v>
      </c>
      <c r="T865" s="88">
        <v>10.376317460317461</v>
      </c>
      <c r="U865" s="88">
        <v>9.055695238095236</v>
      </c>
      <c r="V865" s="87" t="s">
        <v>3061</v>
      </c>
      <c r="W865" s="87" t="s">
        <v>3100</v>
      </c>
      <c r="X865" s="90" t="s">
        <v>3477</v>
      </c>
      <c r="Y865" s="89"/>
      <c r="Z865" s="89">
        <v>3</v>
      </c>
      <c r="AA865" s="89"/>
      <c r="AB865" s="89"/>
    </row>
    <row r="866" spans="1:28" s="31" customFormat="1" ht="60" customHeight="1" x14ac:dyDescent="0.2">
      <c r="A866" s="76">
        <v>865</v>
      </c>
      <c r="B866" s="77">
        <v>50004849</v>
      </c>
      <c r="C866" s="78" t="s">
        <v>2254</v>
      </c>
      <c r="D866" s="79">
        <v>0.05</v>
      </c>
      <c r="E866" s="80">
        <v>30049079</v>
      </c>
      <c r="F866" s="81" t="s">
        <v>2255</v>
      </c>
      <c r="G866" s="82" t="s">
        <v>2256</v>
      </c>
      <c r="H866" s="82" t="s">
        <v>3746</v>
      </c>
      <c r="I866" s="79" t="s">
        <v>2666</v>
      </c>
      <c r="J866" s="83">
        <v>113.22</v>
      </c>
      <c r="K866" s="83">
        <v>86.262857142857143</v>
      </c>
      <c r="L866" s="83">
        <v>79.074285714285722</v>
      </c>
      <c r="M866" s="84">
        <v>69.010285714285757</v>
      </c>
      <c r="N866" s="59">
        <f t="shared" si="13"/>
        <v>0.39047619047619009</v>
      </c>
      <c r="O866" s="85" t="s">
        <v>2244</v>
      </c>
      <c r="P866" s="86" t="s">
        <v>2734</v>
      </c>
      <c r="Q866" s="87" t="s">
        <v>3208</v>
      </c>
      <c r="R866" s="87">
        <v>10</v>
      </c>
      <c r="S866" s="88">
        <v>11.321999999999999</v>
      </c>
      <c r="T866" s="88">
        <v>7.9074285714285724</v>
      </c>
      <c r="U866" s="88">
        <v>6.9010285714285757</v>
      </c>
      <c r="V866" s="87" t="s">
        <v>3061</v>
      </c>
      <c r="W866" s="87" t="s">
        <v>3100</v>
      </c>
      <c r="X866" s="90" t="s">
        <v>3477</v>
      </c>
      <c r="Y866" s="89"/>
      <c r="Z866" s="89">
        <v>3</v>
      </c>
      <c r="AA866" s="89"/>
      <c r="AB866" s="89"/>
    </row>
    <row r="867" spans="1:28" s="31" customFormat="1" ht="60" customHeight="1" x14ac:dyDescent="0.2">
      <c r="A867" s="76">
        <v>866</v>
      </c>
      <c r="B867" s="77">
        <v>50004848</v>
      </c>
      <c r="C867" s="78" t="s">
        <v>2257</v>
      </c>
      <c r="D867" s="79">
        <v>0.05</v>
      </c>
      <c r="E867" s="80">
        <v>30049079</v>
      </c>
      <c r="F867" s="81" t="s">
        <v>2258</v>
      </c>
      <c r="G867" s="82" t="s">
        <v>2259</v>
      </c>
      <c r="H867" s="82" t="s">
        <v>3747</v>
      </c>
      <c r="I867" s="79" t="s">
        <v>2666</v>
      </c>
      <c r="J867" s="83">
        <v>124.77</v>
      </c>
      <c r="K867" s="83">
        <v>95.062857142857141</v>
      </c>
      <c r="L867" s="83">
        <v>87.140952380952385</v>
      </c>
      <c r="M867" s="84">
        <v>76.050285714285721</v>
      </c>
      <c r="N867" s="59">
        <f t="shared" si="13"/>
        <v>0.39047619047619042</v>
      </c>
      <c r="O867" s="85" t="s">
        <v>2244</v>
      </c>
      <c r="P867" s="86" t="s">
        <v>2734</v>
      </c>
      <c r="Q867" s="87" t="s">
        <v>3208</v>
      </c>
      <c r="R867" s="87">
        <v>10</v>
      </c>
      <c r="S867" s="88">
        <v>12.477</v>
      </c>
      <c r="T867" s="88">
        <v>8.7140952380952381</v>
      </c>
      <c r="U867" s="88">
        <v>7.6050285714285719</v>
      </c>
      <c r="V867" s="87" t="s">
        <v>3061</v>
      </c>
      <c r="W867" s="87" t="s">
        <v>3100</v>
      </c>
      <c r="X867" s="90" t="s">
        <v>3477</v>
      </c>
      <c r="Y867" s="89"/>
      <c r="Z867" s="89">
        <v>3</v>
      </c>
      <c r="AA867" s="89"/>
      <c r="AB867" s="89"/>
    </row>
    <row r="868" spans="1:28" s="31" customFormat="1" ht="60" customHeight="1" x14ac:dyDescent="0.2">
      <c r="A868" s="76">
        <v>867</v>
      </c>
      <c r="B868" s="77">
        <v>50005744</v>
      </c>
      <c r="C868" s="78" t="s">
        <v>4161</v>
      </c>
      <c r="D868" s="79">
        <v>0.05</v>
      </c>
      <c r="E868" s="80">
        <v>30049079</v>
      </c>
      <c r="F868" s="81" t="s">
        <v>4162</v>
      </c>
      <c r="G868" s="82" t="s">
        <v>4163</v>
      </c>
      <c r="H868" s="82" t="s">
        <v>4164</v>
      </c>
      <c r="I868" s="79" t="s">
        <v>2666</v>
      </c>
      <c r="J868" s="83">
        <v>117.18</v>
      </c>
      <c r="K868" s="83">
        <v>89.28</v>
      </c>
      <c r="L868" s="83">
        <v>81.84</v>
      </c>
      <c r="M868" s="84">
        <v>71.424000000000007</v>
      </c>
      <c r="N868" s="59">
        <f t="shared" si="13"/>
        <v>0.39047619047619048</v>
      </c>
      <c r="O868" s="85" t="s">
        <v>2244</v>
      </c>
      <c r="P868" s="86" t="s">
        <v>304</v>
      </c>
      <c r="Q868" s="87" t="s">
        <v>3208</v>
      </c>
      <c r="R868" s="87">
        <v>10</v>
      </c>
      <c r="S868" s="88">
        <v>11.718</v>
      </c>
      <c r="T868" s="88">
        <v>8.1840000000000011</v>
      </c>
      <c r="U868" s="88">
        <v>7.1424000000000003</v>
      </c>
      <c r="V868" s="87" t="s">
        <v>3061</v>
      </c>
      <c r="W868" s="87" t="s">
        <v>3100</v>
      </c>
      <c r="X868" s="90" t="s">
        <v>3477</v>
      </c>
      <c r="Y868" s="89"/>
      <c r="Z868" s="89"/>
      <c r="AA868" s="89"/>
      <c r="AB868" s="89"/>
    </row>
    <row r="869" spans="1:28" s="31" customFormat="1" ht="60" customHeight="1" x14ac:dyDescent="0.2">
      <c r="A869" s="76">
        <v>868</v>
      </c>
      <c r="B869" s="77">
        <v>50005743</v>
      </c>
      <c r="C869" s="78" t="s">
        <v>4165</v>
      </c>
      <c r="D869" s="79">
        <v>0.05</v>
      </c>
      <c r="E869" s="80">
        <v>30049079</v>
      </c>
      <c r="F869" s="81" t="s">
        <v>4166</v>
      </c>
      <c r="G869" s="82" t="s">
        <v>4167</v>
      </c>
      <c r="H869" s="82" t="s">
        <v>4168</v>
      </c>
      <c r="I869" s="79" t="s">
        <v>2666</v>
      </c>
      <c r="J869" s="83">
        <v>151.88999999999999</v>
      </c>
      <c r="K869" s="83">
        <v>115.72571428571428</v>
      </c>
      <c r="L869" s="83">
        <v>106.08190476190475</v>
      </c>
      <c r="M869" s="84">
        <v>92.580571428571432</v>
      </c>
      <c r="N869" s="59">
        <f t="shared" si="13"/>
        <v>0.39047619047619042</v>
      </c>
      <c r="O869" s="85" t="s">
        <v>2244</v>
      </c>
      <c r="P869" s="86" t="s">
        <v>304</v>
      </c>
      <c r="Q869" s="87" t="s">
        <v>3208</v>
      </c>
      <c r="R869" s="87">
        <v>10</v>
      </c>
      <c r="S869" s="88">
        <v>15.188999999999998</v>
      </c>
      <c r="T869" s="88">
        <v>10.608190476190476</v>
      </c>
      <c r="U869" s="88">
        <v>9.2580571428571439</v>
      </c>
      <c r="V869" s="87" t="s">
        <v>3061</v>
      </c>
      <c r="W869" s="87" t="s">
        <v>3100</v>
      </c>
      <c r="X869" s="90" t="s">
        <v>3477</v>
      </c>
      <c r="Y869" s="89"/>
      <c r="Z869" s="89"/>
      <c r="AA869" s="89"/>
      <c r="AB869" s="89"/>
    </row>
    <row r="870" spans="1:28" s="31" customFormat="1" ht="60" customHeight="1" x14ac:dyDescent="0.2">
      <c r="A870" s="76">
        <v>869</v>
      </c>
      <c r="B870" s="77">
        <v>50000330</v>
      </c>
      <c r="C870" s="78" t="s">
        <v>2260</v>
      </c>
      <c r="D870" s="79">
        <v>0.05</v>
      </c>
      <c r="E870" s="80">
        <v>30049099</v>
      </c>
      <c r="F870" s="81" t="s">
        <v>2261</v>
      </c>
      <c r="G870" s="82" t="s">
        <v>2262</v>
      </c>
      <c r="H870" s="82" t="s">
        <v>429</v>
      </c>
      <c r="I870" s="79" t="s">
        <v>2666</v>
      </c>
      <c r="J870" s="83">
        <v>31.39</v>
      </c>
      <c r="K870" s="83">
        <v>23.916190476190476</v>
      </c>
      <c r="L870" s="83">
        <v>23.916190476190476</v>
      </c>
      <c r="M870" s="84">
        <v>19.132952380952382</v>
      </c>
      <c r="N870" s="59">
        <f t="shared" si="13"/>
        <v>0.39047619047619048</v>
      </c>
      <c r="O870" s="85" t="s">
        <v>2244</v>
      </c>
      <c r="P870" s="86" t="s">
        <v>319</v>
      </c>
      <c r="Q870" s="87" t="s">
        <v>3207</v>
      </c>
      <c r="R870" s="87">
        <v>10</v>
      </c>
      <c r="S870" s="88">
        <v>3.1390000000000002</v>
      </c>
      <c r="T870" s="88">
        <v>2.3916190476190478</v>
      </c>
      <c r="U870" s="88">
        <v>1.9132952380952382</v>
      </c>
      <c r="V870" s="87" t="s">
        <v>3061</v>
      </c>
      <c r="W870" s="87" t="s">
        <v>3100</v>
      </c>
      <c r="X870" s="90" t="s">
        <v>3477</v>
      </c>
      <c r="Y870" s="89"/>
      <c r="Z870" s="89">
        <v>6</v>
      </c>
      <c r="AA870" s="89"/>
      <c r="AB870" s="89"/>
    </row>
    <row r="871" spans="1:28" s="31" customFormat="1" ht="60" customHeight="1" x14ac:dyDescent="0.2">
      <c r="A871" s="76">
        <v>870</v>
      </c>
      <c r="B871" s="77">
        <v>50000668</v>
      </c>
      <c r="C871" s="78" t="s">
        <v>2263</v>
      </c>
      <c r="D871" s="79">
        <v>0.05</v>
      </c>
      <c r="E871" s="80">
        <v>30049099</v>
      </c>
      <c r="F871" s="81" t="s">
        <v>2264</v>
      </c>
      <c r="G871" s="82" t="s">
        <v>2265</v>
      </c>
      <c r="H871" s="82" t="s">
        <v>3955</v>
      </c>
      <c r="I871" s="79" t="s">
        <v>2693</v>
      </c>
      <c r="J871" s="83">
        <v>57.11</v>
      </c>
      <c r="K871" s="83">
        <v>43.512380952380951</v>
      </c>
      <c r="L871" s="83">
        <v>43.512380952380951</v>
      </c>
      <c r="M871" s="84">
        <v>34.809904761904761</v>
      </c>
      <c r="N871" s="59">
        <f t="shared" si="13"/>
        <v>0.39047619047619048</v>
      </c>
      <c r="O871" s="85" t="s">
        <v>2244</v>
      </c>
      <c r="P871" s="86" t="s">
        <v>319</v>
      </c>
      <c r="Q871" s="87" t="s">
        <v>3208</v>
      </c>
      <c r="R871" s="87">
        <v>10</v>
      </c>
      <c r="S871" s="88">
        <v>5.7110000000000003</v>
      </c>
      <c r="T871" s="88">
        <v>4.3512380952380951</v>
      </c>
      <c r="U871" s="88">
        <v>3.4809904761904762</v>
      </c>
      <c r="V871" s="87" t="s">
        <v>3061</v>
      </c>
      <c r="W871" s="87" t="s">
        <v>3100</v>
      </c>
      <c r="X871" s="90" t="s">
        <v>3478</v>
      </c>
      <c r="Y871" s="89"/>
      <c r="Z871" s="89">
        <v>6</v>
      </c>
      <c r="AA871" s="89"/>
      <c r="AB871" s="89"/>
    </row>
    <row r="872" spans="1:28" s="31" customFormat="1" ht="60" customHeight="1" x14ac:dyDescent="0.2">
      <c r="A872" s="76">
        <v>871</v>
      </c>
      <c r="B872" s="77">
        <v>50005254</v>
      </c>
      <c r="C872" s="78" t="s">
        <v>3177</v>
      </c>
      <c r="D872" s="79">
        <v>0</v>
      </c>
      <c r="E872" s="80">
        <v>30049099</v>
      </c>
      <c r="F872" s="81" t="s">
        <v>3178</v>
      </c>
      <c r="G872" s="82" t="s">
        <v>3190</v>
      </c>
      <c r="H872" s="82" t="s">
        <v>3192</v>
      </c>
      <c r="I872" s="79" t="s">
        <v>3193</v>
      </c>
      <c r="J872" s="83">
        <v>110650</v>
      </c>
      <c r="K872" s="83">
        <v>88520</v>
      </c>
      <c r="L872" s="83">
        <v>88520</v>
      </c>
      <c r="M872" s="84">
        <v>88520</v>
      </c>
      <c r="N872" s="59">
        <f t="shared" si="13"/>
        <v>0.2</v>
      </c>
      <c r="O872" s="85" t="s">
        <v>2244</v>
      </c>
      <c r="P872" s="86" t="s">
        <v>3195</v>
      </c>
      <c r="Q872" s="87" t="s">
        <v>3208</v>
      </c>
      <c r="R872" s="87">
        <v>1</v>
      </c>
      <c r="S872" s="88">
        <v>110650</v>
      </c>
      <c r="T872" s="88">
        <v>88520</v>
      </c>
      <c r="U872" s="88">
        <v>88520</v>
      </c>
      <c r="V872" s="87" t="s">
        <v>3063</v>
      </c>
      <c r="W872" s="87" t="s">
        <v>3100</v>
      </c>
      <c r="X872" s="90" t="s">
        <v>3479</v>
      </c>
      <c r="Y872" s="89"/>
      <c r="Z872" s="89">
        <v>1</v>
      </c>
      <c r="AA872" s="89"/>
      <c r="AB872" s="89"/>
    </row>
    <row r="873" spans="1:28" s="31" customFormat="1" ht="60" customHeight="1" x14ac:dyDescent="0.2">
      <c r="A873" s="76">
        <v>872</v>
      </c>
      <c r="B873" s="77">
        <v>50004088</v>
      </c>
      <c r="C873" s="78" t="s">
        <v>2266</v>
      </c>
      <c r="D873" s="79">
        <v>0.05</v>
      </c>
      <c r="E873" s="80">
        <v>30049099</v>
      </c>
      <c r="F873" s="81" t="s">
        <v>4796</v>
      </c>
      <c r="G873" s="82" t="s">
        <v>39</v>
      </c>
      <c r="H873" s="82" t="s">
        <v>3701</v>
      </c>
      <c r="I873" s="79" t="s">
        <v>2669</v>
      </c>
      <c r="J873" s="83">
        <v>363.66</v>
      </c>
      <c r="K873" s="83">
        <v>277.07428571428574</v>
      </c>
      <c r="L873" s="83">
        <v>277.07428571428574</v>
      </c>
      <c r="M873" s="84">
        <v>221.65942857142861</v>
      </c>
      <c r="N873" s="59">
        <f t="shared" si="13"/>
        <v>0.39047619047619042</v>
      </c>
      <c r="O873" s="85" t="s">
        <v>2244</v>
      </c>
      <c r="P873" s="86" t="s">
        <v>37</v>
      </c>
      <c r="Q873" s="87" t="s">
        <v>3208</v>
      </c>
      <c r="R873" s="87">
        <v>14</v>
      </c>
      <c r="S873" s="88">
        <v>25.975714285714286</v>
      </c>
      <c r="T873" s="88">
        <v>19.791020408163266</v>
      </c>
      <c r="U873" s="88">
        <v>15.832816326530615</v>
      </c>
      <c r="V873" s="87" t="s">
        <v>3061</v>
      </c>
      <c r="W873" s="87" t="s">
        <v>3100</v>
      </c>
      <c r="X873" s="90" t="s">
        <v>3477</v>
      </c>
      <c r="Y873" s="89" t="s">
        <v>3455</v>
      </c>
      <c r="Z873" s="89">
        <v>2</v>
      </c>
      <c r="AA873" s="89"/>
      <c r="AB873" s="89"/>
    </row>
    <row r="874" spans="1:28" s="31" customFormat="1" ht="60" customHeight="1" x14ac:dyDescent="0.2">
      <c r="A874" s="76">
        <v>873</v>
      </c>
      <c r="B874" s="77">
        <v>50004089</v>
      </c>
      <c r="C874" s="78" t="s">
        <v>2267</v>
      </c>
      <c r="D874" s="79">
        <v>0.05</v>
      </c>
      <c r="E874" s="80">
        <v>30049099</v>
      </c>
      <c r="F874" s="81" t="s">
        <v>4797</v>
      </c>
      <c r="G874" s="82" t="s">
        <v>41</v>
      </c>
      <c r="H874" s="82" t="s">
        <v>4051</v>
      </c>
      <c r="I874" s="79" t="s">
        <v>2669</v>
      </c>
      <c r="J874" s="83">
        <v>554.24</v>
      </c>
      <c r="K874" s="83">
        <v>422.2780952380952</v>
      </c>
      <c r="L874" s="83">
        <v>422.2780952380952</v>
      </c>
      <c r="M874" s="84">
        <v>337.8224761904761</v>
      </c>
      <c r="N874" s="59">
        <f t="shared" si="13"/>
        <v>0.39047619047619064</v>
      </c>
      <c r="O874" s="85" t="s">
        <v>2244</v>
      </c>
      <c r="P874" s="86" t="s">
        <v>37</v>
      </c>
      <c r="Q874" s="87" t="s">
        <v>3208</v>
      </c>
      <c r="R874" s="87">
        <v>14</v>
      </c>
      <c r="S874" s="88">
        <v>39.588571428571427</v>
      </c>
      <c r="T874" s="88">
        <v>30.162721088435372</v>
      </c>
      <c r="U874" s="88">
        <v>24.130176870748294</v>
      </c>
      <c r="V874" s="87" t="s">
        <v>3061</v>
      </c>
      <c r="W874" s="87" t="s">
        <v>3100</v>
      </c>
      <c r="X874" s="90" t="s">
        <v>3477</v>
      </c>
      <c r="Y874" s="89" t="s">
        <v>3455</v>
      </c>
      <c r="Z874" s="89">
        <v>2</v>
      </c>
      <c r="AA874" s="89"/>
      <c r="AB874" s="89"/>
    </row>
    <row r="875" spans="1:28" s="31" customFormat="1" ht="60" customHeight="1" x14ac:dyDescent="0.2">
      <c r="A875" s="76">
        <v>874</v>
      </c>
      <c r="B875" s="77">
        <v>50004090</v>
      </c>
      <c r="C875" s="78" t="s">
        <v>2268</v>
      </c>
      <c r="D875" s="79">
        <v>0.05</v>
      </c>
      <c r="E875" s="80">
        <v>30049099</v>
      </c>
      <c r="F875" s="81" t="s">
        <v>4798</v>
      </c>
      <c r="G875" s="82" t="s">
        <v>43</v>
      </c>
      <c r="H875" s="82" t="s">
        <v>3703</v>
      </c>
      <c r="I875" s="79" t="s">
        <v>2670</v>
      </c>
      <c r="J875" s="83">
        <v>372.4</v>
      </c>
      <c r="K875" s="83">
        <v>283.73333333333335</v>
      </c>
      <c r="L875" s="83">
        <v>283.73333333333335</v>
      </c>
      <c r="M875" s="84">
        <v>226.98666666666665</v>
      </c>
      <c r="N875" s="59">
        <f t="shared" si="13"/>
        <v>0.39047619047619048</v>
      </c>
      <c r="O875" s="85" t="s">
        <v>2244</v>
      </c>
      <c r="P875" s="86" t="s">
        <v>37</v>
      </c>
      <c r="Q875" s="87" t="s">
        <v>3208</v>
      </c>
      <c r="R875" s="87">
        <v>7</v>
      </c>
      <c r="S875" s="88">
        <v>53.199999999999996</v>
      </c>
      <c r="T875" s="88">
        <v>40.533333333333339</v>
      </c>
      <c r="U875" s="88">
        <v>32.426666666666662</v>
      </c>
      <c r="V875" s="87" t="s">
        <v>3061</v>
      </c>
      <c r="W875" s="87" t="s">
        <v>3100</v>
      </c>
      <c r="X875" s="90" t="s">
        <v>3477</v>
      </c>
      <c r="Y875" s="89" t="s">
        <v>3455</v>
      </c>
      <c r="Z875" s="89">
        <v>4</v>
      </c>
      <c r="AA875" s="89"/>
      <c r="AB875" s="89"/>
    </row>
    <row r="876" spans="1:28" s="31" customFormat="1" ht="60" customHeight="1" x14ac:dyDescent="0.2">
      <c r="A876" s="76">
        <v>875</v>
      </c>
      <c r="B876" s="77">
        <v>50006028</v>
      </c>
      <c r="C876" s="78" t="s">
        <v>4677</v>
      </c>
      <c r="D876" s="79">
        <v>0.05</v>
      </c>
      <c r="E876" s="80">
        <v>30049099</v>
      </c>
      <c r="F876" s="81" t="s">
        <v>4678</v>
      </c>
      <c r="G876" s="82" t="s">
        <v>4679</v>
      </c>
      <c r="H876" s="82" t="s">
        <v>4697</v>
      </c>
      <c r="I876" s="79" t="s">
        <v>2666</v>
      </c>
      <c r="J876" s="83">
        <v>300</v>
      </c>
      <c r="K876" s="83">
        <v>228.57142857142858</v>
      </c>
      <c r="L876" s="83">
        <v>228.57142857142858</v>
      </c>
      <c r="M876" s="84">
        <v>182.85714285714289</v>
      </c>
      <c r="N876" s="59">
        <f t="shared" si="13"/>
        <v>0.39047619047619037</v>
      </c>
      <c r="O876" s="85" t="s">
        <v>2244</v>
      </c>
      <c r="P876" s="86" t="s">
        <v>2813</v>
      </c>
      <c r="Q876" s="87" t="s">
        <v>3208</v>
      </c>
      <c r="R876" s="87">
        <v>10</v>
      </c>
      <c r="S876" s="88">
        <v>30</v>
      </c>
      <c r="T876" s="88">
        <v>22.857142857142858</v>
      </c>
      <c r="U876" s="88">
        <v>18.285714285714288</v>
      </c>
      <c r="V876" s="87" t="s">
        <v>3061</v>
      </c>
      <c r="W876" s="87" t="s">
        <v>3100</v>
      </c>
      <c r="X876" s="90" t="s">
        <v>3477</v>
      </c>
      <c r="Y876" s="89"/>
      <c r="Z876" s="89"/>
      <c r="AA876" s="89"/>
      <c r="AB876" s="89"/>
    </row>
    <row r="877" spans="1:28" s="31" customFormat="1" ht="60" customHeight="1" x14ac:dyDescent="0.2">
      <c r="A877" s="76">
        <v>876</v>
      </c>
      <c r="B877" s="77">
        <v>50006026</v>
      </c>
      <c r="C877" s="78" t="s">
        <v>4680</v>
      </c>
      <c r="D877" s="79">
        <v>0.05</v>
      </c>
      <c r="E877" s="80">
        <v>30049099</v>
      </c>
      <c r="F877" s="81" t="s">
        <v>4681</v>
      </c>
      <c r="G877" s="82" t="s">
        <v>4682</v>
      </c>
      <c r="H877" s="82" t="s">
        <v>4698</v>
      </c>
      <c r="I877" s="79" t="s">
        <v>2666</v>
      </c>
      <c r="J877" s="83">
        <v>400</v>
      </c>
      <c r="K877" s="83">
        <v>304.76190476190476</v>
      </c>
      <c r="L877" s="83">
        <v>304.76190476190476</v>
      </c>
      <c r="M877" s="84">
        <v>243.80952380952382</v>
      </c>
      <c r="N877" s="59">
        <f t="shared" si="13"/>
        <v>0.39047619047619042</v>
      </c>
      <c r="O877" s="85" t="s">
        <v>2244</v>
      </c>
      <c r="P877" s="86" t="s">
        <v>2813</v>
      </c>
      <c r="Q877" s="87" t="s">
        <v>3208</v>
      </c>
      <c r="R877" s="87">
        <v>10</v>
      </c>
      <c r="S877" s="88">
        <v>40</v>
      </c>
      <c r="T877" s="88">
        <v>30.476190476190474</v>
      </c>
      <c r="U877" s="88">
        <v>24.380952380952383</v>
      </c>
      <c r="V877" s="87" t="s">
        <v>3061</v>
      </c>
      <c r="W877" s="87" t="s">
        <v>3100</v>
      </c>
      <c r="X877" s="90" t="s">
        <v>3477</v>
      </c>
      <c r="Y877" s="89"/>
      <c r="Z877" s="89"/>
      <c r="AA877" s="89"/>
      <c r="AB877" s="89"/>
    </row>
    <row r="878" spans="1:28" s="31" customFormat="1" ht="60" customHeight="1" x14ac:dyDescent="0.2">
      <c r="A878" s="76">
        <v>877</v>
      </c>
      <c r="B878" s="77">
        <v>50003307</v>
      </c>
      <c r="C878" s="78" t="s">
        <v>2269</v>
      </c>
      <c r="D878" s="79">
        <v>0.05</v>
      </c>
      <c r="E878" s="80">
        <v>30049079</v>
      </c>
      <c r="F878" s="81" t="s">
        <v>2270</v>
      </c>
      <c r="G878" s="82" t="s">
        <v>2271</v>
      </c>
      <c r="H878" s="82" t="s">
        <v>4052</v>
      </c>
      <c r="I878" s="79" t="s">
        <v>2666</v>
      </c>
      <c r="J878" s="83">
        <v>91.02</v>
      </c>
      <c r="K878" s="83">
        <v>69.348571428571432</v>
      </c>
      <c r="L878" s="83">
        <v>69.348571428571432</v>
      </c>
      <c r="M878" s="84">
        <v>55.47885714285713</v>
      </c>
      <c r="N878" s="59">
        <f t="shared" si="13"/>
        <v>0.39047619047619059</v>
      </c>
      <c r="O878" s="85" t="s">
        <v>2244</v>
      </c>
      <c r="P878" s="86" t="s">
        <v>2694</v>
      </c>
      <c r="Q878" s="87" t="s">
        <v>3208</v>
      </c>
      <c r="R878" s="87">
        <v>10</v>
      </c>
      <c r="S878" s="88">
        <v>9.1020000000000003</v>
      </c>
      <c r="T878" s="88">
        <v>6.9348571428571431</v>
      </c>
      <c r="U878" s="88">
        <v>5.5478857142857132</v>
      </c>
      <c r="V878" s="87" t="s">
        <v>3061</v>
      </c>
      <c r="W878" s="87" t="s">
        <v>3100</v>
      </c>
      <c r="X878" s="90" t="s">
        <v>3477</v>
      </c>
      <c r="Y878" s="89"/>
      <c r="Z878" s="89">
        <v>3</v>
      </c>
      <c r="AA878" s="89"/>
      <c r="AB878" s="89"/>
    </row>
    <row r="879" spans="1:28" s="31" customFormat="1" ht="60" customHeight="1" x14ac:dyDescent="0.2">
      <c r="A879" s="76">
        <v>878</v>
      </c>
      <c r="B879" s="77">
        <v>50002881</v>
      </c>
      <c r="C879" s="78" t="s">
        <v>2272</v>
      </c>
      <c r="D879" s="79">
        <v>0.05</v>
      </c>
      <c r="E879" s="80">
        <v>30049099</v>
      </c>
      <c r="F879" s="81" t="s">
        <v>2273</v>
      </c>
      <c r="G879" s="82" t="s">
        <v>2274</v>
      </c>
      <c r="H879" s="82" t="s">
        <v>2275</v>
      </c>
      <c r="I879" s="79" t="s">
        <v>2664</v>
      </c>
      <c r="J879" s="83">
        <v>251.96</v>
      </c>
      <c r="K879" s="83">
        <v>191.96952380952379</v>
      </c>
      <c r="L879" s="83">
        <v>174.51774891774892</v>
      </c>
      <c r="M879" s="84">
        <v>153.57561904761906</v>
      </c>
      <c r="N879" s="59">
        <f t="shared" si="13"/>
        <v>0.39047619047619048</v>
      </c>
      <c r="O879" s="85" t="s">
        <v>2244</v>
      </c>
      <c r="P879" s="86" t="s">
        <v>53</v>
      </c>
      <c r="Q879" s="87" t="s">
        <v>3208</v>
      </c>
      <c r="R879" s="87">
        <v>30</v>
      </c>
      <c r="S879" s="88">
        <v>8.3986666666666672</v>
      </c>
      <c r="T879" s="88">
        <v>5.8172582972582969</v>
      </c>
      <c r="U879" s="88">
        <v>5.119187301587302</v>
      </c>
      <c r="V879" s="87" t="s">
        <v>3062</v>
      </c>
      <c r="W879" s="87" t="s">
        <v>3100</v>
      </c>
      <c r="X879" s="90" t="s">
        <v>3477</v>
      </c>
      <c r="Y879" s="89"/>
      <c r="Z879" s="89">
        <v>1</v>
      </c>
      <c r="AA879" s="89"/>
      <c r="AB879" s="89"/>
    </row>
    <row r="880" spans="1:28" s="31" customFormat="1" ht="60" customHeight="1" x14ac:dyDescent="0.2">
      <c r="A880" s="76">
        <v>879</v>
      </c>
      <c r="B880" s="77">
        <v>50002882</v>
      </c>
      <c r="C880" s="78" t="s">
        <v>2276</v>
      </c>
      <c r="D880" s="79">
        <v>0.05</v>
      </c>
      <c r="E880" s="80">
        <v>30049099</v>
      </c>
      <c r="F880" s="81" t="s">
        <v>2277</v>
      </c>
      <c r="G880" s="82" t="s">
        <v>2278</v>
      </c>
      <c r="H880" s="82" t="s">
        <v>2279</v>
      </c>
      <c r="I880" s="79" t="s">
        <v>2664</v>
      </c>
      <c r="J880" s="83">
        <v>369.33</v>
      </c>
      <c r="K880" s="83">
        <v>281.39428571428573</v>
      </c>
      <c r="L880" s="83">
        <v>255.81298701298701</v>
      </c>
      <c r="M880" s="84">
        <v>225.11542857142859</v>
      </c>
      <c r="N880" s="59">
        <f t="shared" si="13"/>
        <v>0.39047619047619037</v>
      </c>
      <c r="O880" s="85" t="s">
        <v>2244</v>
      </c>
      <c r="P880" s="86" t="s">
        <v>53</v>
      </c>
      <c r="Q880" s="87" t="s">
        <v>3208</v>
      </c>
      <c r="R880" s="87">
        <v>30</v>
      </c>
      <c r="S880" s="88">
        <v>12.311</v>
      </c>
      <c r="T880" s="88">
        <v>8.5270995670995671</v>
      </c>
      <c r="U880" s="88">
        <v>7.5038476190476198</v>
      </c>
      <c r="V880" s="87" t="s">
        <v>3062</v>
      </c>
      <c r="W880" s="87" t="s">
        <v>3100</v>
      </c>
      <c r="X880" s="90" t="s">
        <v>3477</v>
      </c>
      <c r="Y880" s="89"/>
      <c r="Z880" s="89">
        <v>1</v>
      </c>
      <c r="AA880" s="89"/>
      <c r="AB880" s="89" t="s">
        <v>4613</v>
      </c>
    </row>
    <row r="881" spans="1:28" s="31" customFormat="1" ht="60" customHeight="1" x14ac:dyDescent="0.2">
      <c r="A881" s="76">
        <v>880</v>
      </c>
      <c r="B881" s="77">
        <v>50004125</v>
      </c>
      <c r="C881" s="78" t="s">
        <v>2288</v>
      </c>
      <c r="D881" s="79">
        <v>0.05</v>
      </c>
      <c r="E881" s="80">
        <v>30049079</v>
      </c>
      <c r="F881" s="81" t="s">
        <v>2289</v>
      </c>
      <c r="G881" s="82" t="s">
        <v>2290</v>
      </c>
      <c r="H881" s="82" t="s">
        <v>3096</v>
      </c>
      <c r="I881" s="79" t="s">
        <v>2696</v>
      </c>
      <c r="J881" s="83">
        <v>137.55000000000001</v>
      </c>
      <c r="K881" s="83">
        <v>104.80000000000003</v>
      </c>
      <c r="L881" s="83">
        <v>104.80000000000003</v>
      </c>
      <c r="M881" s="84">
        <v>83.840000000000032</v>
      </c>
      <c r="N881" s="59">
        <f t="shared" si="13"/>
        <v>0.39047619047619031</v>
      </c>
      <c r="O881" s="85" t="s">
        <v>2244</v>
      </c>
      <c r="P881" s="86" t="s">
        <v>2694</v>
      </c>
      <c r="Q881" s="87" t="s">
        <v>3208</v>
      </c>
      <c r="R881" s="87">
        <v>15</v>
      </c>
      <c r="S881" s="88">
        <v>9.17</v>
      </c>
      <c r="T881" s="88">
        <v>6.9866666666666681</v>
      </c>
      <c r="U881" s="88">
        <v>5.589333333333335</v>
      </c>
      <c r="V881" s="87" t="s">
        <v>3061</v>
      </c>
      <c r="W881" s="87" t="s">
        <v>3100</v>
      </c>
      <c r="X881" s="90" t="s">
        <v>3478</v>
      </c>
      <c r="Y881" s="89"/>
      <c r="Z881" s="89">
        <v>3</v>
      </c>
      <c r="AA881" s="89"/>
      <c r="AB881" s="89"/>
    </row>
    <row r="882" spans="1:28" s="31" customFormat="1" ht="60" customHeight="1" x14ac:dyDescent="0.2">
      <c r="A882" s="76">
        <v>881</v>
      </c>
      <c r="B882" s="77">
        <v>50004126</v>
      </c>
      <c r="C882" s="78" t="s">
        <v>2291</v>
      </c>
      <c r="D882" s="79">
        <v>0.05</v>
      </c>
      <c r="E882" s="80">
        <v>30049079</v>
      </c>
      <c r="F882" s="81" t="s">
        <v>2292</v>
      </c>
      <c r="G882" s="82" t="s">
        <v>2293</v>
      </c>
      <c r="H882" s="82" t="s">
        <v>3097</v>
      </c>
      <c r="I882" s="79" t="s">
        <v>2696</v>
      </c>
      <c r="J882" s="83">
        <v>196.62</v>
      </c>
      <c r="K882" s="83">
        <v>149.80571428571429</v>
      </c>
      <c r="L882" s="83">
        <v>149.80571428571429</v>
      </c>
      <c r="M882" s="84">
        <v>119.84457142857148</v>
      </c>
      <c r="N882" s="59">
        <f t="shared" si="13"/>
        <v>0.3904761904761902</v>
      </c>
      <c r="O882" s="85" t="s">
        <v>2244</v>
      </c>
      <c r="P882" s="86" t="s">
        <v>2694</v>
      </c>
      <c r="Q882" s="87" t="s">
        <v>3208</v>
      </c>
      <c r="R882" s="87">
        <v>15</v>
      </c>
      <c r="S882" s="88">
        <v>13.108000000000001</v>
      </c>
      <c r="T882" s="88">
        <v>9.987047619047619</v>
      </c>
      <c r="U882" s="88">
        <v>7.9896380952380985</v>
      </c>
      <c r="V882" s="87" t="s">
        <v>3061</v>
      </c>
      <c r="W882" s="87" t="s">
        <v>3100</v>
      </c>
      <c r="X882" s="90" t="s">
        <v>3478</v>
      </c>
      <c r="Y882" s="89"/>
      <c r="Z882" s="89">
        <v>3</v>
      </c>
      <c r="AA882" s="89"/>
      <c r="AB882" s="89"/>
    </row>
    <row r="883" spans="1:28" s="31" customFormat="1" ht="60" customHeight="1" x14ac:dyDescent="0.2">
      <c r="A883" s="76">
        <v>882</v>
      </c>
      <c r="B883" s="77">
        <v>50003315</v>
      </c>
      <c r="C883" s="78" t="s">
        <v>2294</v>
      </c>
      <c r="D883" s="79">
        <v>0.05</v>
      </c>
      <c r="E883" s="80">
        <v>30049079</v>
      </c>
      <c r="F883" s="81" t="s">
        <v>2295</v>
      </c>
      <c r="G883" s="82" t="s">
        <v>2296</v>
      </c>
      <c r="H883" s="82" t="s">
        <v>3096</v>
      </c>
      <c r="I883" s="79" t="s">
        <v>2693</v>
      </c>
      <c r="J883" s="83">
        <v>164.48</v>
      </c>
      <c r="K883" s="83">
        <v>125.31809523809525</v>
      </c>
      <c r="L883" s="83">
        <v>125.31809523809525</v>
      </c>
      <c r="M883" s="84">
        <v>100.25447619047618</v>
      </c>
      <c r="N883" s="59">
        <f t="shared" si="13"/>
        <v>0.39047619047619048</v>
      </c>
      <c r="O883" s="85" t="s">
        <v>2244</v>
      </c>
      <c r="P883" s="86" t="s">
        <v>2894</v>
      </c>
      <c r="Q883" s="87" t="s">
        <v>3208</v>
      </c>
      <c r="R883" s="87">
        <v>10</v>
      </c>
      <c r="S883" s="88">
        <v>16.448</v>
      </c>
      <c r="T883" s="88">
        <v>12.531809523809525</v>
      </c>
      <c r="U883" s="88">
        <v>10.025447619047618</v>
      </c>
      <c r="V883" s="87" t="s">
        <v>3061</v>
      </c>
      <c r="W883" s="87" t="s">
        <v>3100</v>
      </c>
      <c r="X883" s="90" t="s">
        <v>3478</v>
      </c>
      <c r="Y883" s="89"/>
      <c r="Z883" s="89">
        <v>3</v>
      </c>
      <c r="AA883" s="89"/>
      <c r="AB883" s="89"/>
    </row>
    <row r="884" spans="1:28" s="31" customFormat="1" ht="60" customHeight="1" x14ac:dyDescent="0.2">
      <c r="A884" s="76">
        <v>883</v>
      </c>
      <c r="B884" s="77">
        <v>50004119</v>
      </c>
      <c r="C884" s="78" t="s">
        <v>2294</v>
      </c>
      <c r="D884" s="79">
        <v>0.05</v>
      </c>
      <c r="E884" s="80">
        <v>30049079</v>
      </c>
      <c r="F884" s="81" t="s">
        <v>2295</v>
      </c>
      <c r="G884" s="82" t="s">
        <v>1226</v>
      </c>
      <c r="H884" s="82" t="s">
        <v>4849</v>
      </c>
      <c r="I884" s="79" t="s">
        <v>2696</v>
      </c>
      <c r="J884" s="83">
        <v>271.38</v>
      </c>
      <c r="K884" s="83">
        <v>206.7657142857143</v>
      </c>
      <c r="L884" s="83">
        <v>206.7657142857143</v>
      </c>
      <c r="M884" s="84">
        <v>165.41257142857145</v>
      </c>
      <c r="N884" s="59">
        <f t="shared" si="13"/>
        <v>0.39047619047619037</v>
      </c>
      <c r="O884" s="85" t="s">
        <v>2244</v>
      </c>
      <c r="P884" s="86" t="s">
        <v>2894</v>
      </c>
      <c r="Q884" s="87" t="s">
        <v>3208</v>
      </c>
      <c r="R884" s="87">
        <v>15</v>
      </c>
      <c r="S884" s="88">
        <v>18.091999999999999</v>
      </c>
      <c r="T884" s="88">
        <v>13.784380952380953</v>
      </c>
      <c r="U884" s="88">
        <v>11.027504761904764</v>
      </c>
      <c r="V884" s="87" t="s">
        <v>3061</v>
      </c>
      <c r="W884" s="87" t="s">
        <v>3100</v>
      </c>
      <c r="X884" s="90" t="s">
        <v>3478</v>
      </c>
      <c r="Y884" s="89"/>
      <c r="Z884" s="89"/>
      <c r="AA884" s="89"/>
      <c r="AB884" s="89" t="s">
        <v>3299</v>
      </c>
    </row>
    <row r="885" spans="1:28" s="31" customFormat="1" ht="60" customHeight="1" x14ac:dyDescent="0.2">
      <c r="A885" s="76">
        <v>884</v>
      </c>
      <c r="B885" s="77">
        <v>50003316</v>
      </c>
      <c r="C885" s="78" t="s">
        <v>2297</v>
      </c>
      <c r="D885" s="79">
        <v>0.05</v>
      </c>
      <c r="E885" s="80">
        <v>30049079</v>
      </c>
      <c r="F885" s="81" t="s">
        <v>2298</v>
      </c>
      <c r="G885" s="82" t="s">
        <v>2299</v>
      </c>
      <c r="H885" s="82" t="s">
        <v>3097</v>
      </c>
      <c r="I885" s="79" t="s">
        <v>2693</v>
      </c>
      <c r="J885" s="83">
        <v>204.02</v>
      </c>
      <c r="K885" s="83">
        <v>155.44380952380953</v>
      </c>
      <c r="L885" s="83">
        <v>155.44380952380953</v>
      </c>
      <c r="M885" s="84">
        <v>124.35504761904767</v>
      </c>
      <c r="N885" s="59">
        <f t="shared" si="13"/>
        <v>0.39047619047619025</v>
      </c>
      <c r="O885" s="85" t="s">
        <v>2244</v>
      </c>
      <c r="P885" s="86" t="s">
        <v>2694</v>
      </c>
      <c r="Q885" s="87" t="s">
        <v>3208</v>
      </c>
      <c r="R885" s="87">
        <v>10</v>
      </c>
      <c r="S885" s="88">
        <v>20.402000000000001</v>
      </c>
      <c r="T885" s="88">
        <v>15.544380952380953</v>
      </c>
      <c r="U885" s="88">
        <v>12.435504761904767</v>
      </c>
      <c r="V885" s="87" t="s">
        <v>3061</v>
      </c>
      <c r="W885" s="87" t="s">
        <v>3100</v>
      </c>
      <c r="X885" s="90" t="s">
        <v>3478</v>
      </c>
      <c r="Y885" s="89"/>
      <c r="Z885" s="89">
        <v>3</v>
      </c>
      <c r="AA885" s="89"/>
      <c r="AB885" s="89"/>
    </row>
    <row r="886" spans="1:28" s="31" customFormat="1" ht="60" customHeight="1" x14ac:dyDescent="0.2">
      <c r="A886" s="76">
        <v>885</v>
      </c>
      <c r="B886" s="77">
        <v>50005486</v>
      </c>
      <c r="C886" s="78" t="s">
        <v>2297</v>
      </c>
      <c r="D886" s="79">
        <v>0.05</v>
      </c>
      <c r="E886" s="80">
        <v>30049079</v>
      </c>
      <c r="F886" s="81" t="s">
        <v>2298</v>
      </c>
      <c r="G886" s="82" t="s">
        <v>1229</v>
      </c>
      <c r="H886" s="82" t="s">
        <v>4850</v>
      </c>
      <c r="I886" s="79" t="s">
        <v>2696</v>
      </c>
      <c r="J886" s="83">
        <v>336.63</v>
      </c>
      <c r="K886" s="83">
        <v>256.48</v>
      </c>
      <c r="L886" s="83">
        <v>256.48</v>
      </c>
      <c r="M886" s="84">
        <v>205.18400000000003</v>
      </c>
      <c r="N886" s="59">
        <f t="shared" si="13"/>
        <v>0.39047619047619037</v>
      </c>
      <c r="O886" s="85" t="s">
        <v>2244</v>
      </c>
      <c r="P886" s="86" t="s">
        <v>2894</v>
      </c>
      <c r="Q886" s="87" t="s">
        <v>3208</v>
      </c>
      <c r="R886" s="87">
        <v>15</v>
      </c>
      <c r="S886" s="88">
        <v>22.442</v>
      </c>
      <c r="T886" s="88">
        <v>17.098666666666666</v>
      </c>
      <c r="U886" s="88">
        <v>13.678933333333335</v>
      </c>
      <c r="V886" s="87" t="s">
        <v>3061</v>
      </c>
      <c r="W886" s="87" t="s">
        <v>3100</v>
      </c>
      <c r="X886" s="90" t="s">
        <v>3478</v>
      </c>
      <c r="Y886" s="89"/>
      <c r="Z886" s="89"/>
      <c r="AA886" s="89"/>
      <c r="AB886" s="89" t="s">
        <v>3299</v>
      </c>
    </row>
    <row r="887" spans="1:28" s="31" customFormat="1" ht="60" customHeight="1" x14ac:dyDescent="0.2">
      <c r="A887" s="76">
        <v>886</v>
      </c>
      <c r="B887" s="77">
        <v>50005236</v>
      </c>
      <c r="C887" s="78" t="s">
        <v>3314</v>
      </c>
      <c r="D887" s="79">
        <v>0.05</v>
      </c>
      <c r="E887" s="80">
        <v>30049099</v>
      </c>
      <c r="F887" s="81" t="s">
        <v>3326</v>
      </c>
      <c r="G887" s="82" t="s">
        <v>3349</v>
      </c>
      <c r="H887" s="82" t="s">
        <v>3342</v>
      </c>
      <c r="I887" s="79" t="s">
        <v>2666</v>
      </c>
      <c r="J887" s="83">
        <v>226.86</v>
      </c>
      <c r="K887" s="83">
        <v>172.84571428571428</v>
      </c>
      <c r="L887" s="83">
        <v>172.84571428571428</v>
      </c>
      <c r="M887" s="84">
        <v>138.27657142857143</v>
      </c>
      <c r="N887" s="59">
        <f t="shared" si="13"/>
        <v>0.39047619047619053</v>
      </c>
      <c r="O887" s="85" t="s">
        <v>2244</v>
      </c>
      <c r="P887" s="86" t="s">
        <v>2694</v>
      </c>
      <c r="Q887" s="87" t="s">
        <v>3208</v>
      </c>
      <c r="R887" s="87">
        <v>10</v>
      </c>
      <c r="S887" s="88">
        <v>22.686</v>
      </c>
      <c r="T887" s="88">
        <v>17.284571428571429</v>
      </c>
      <c r="U887" s="88">
        <v>13.827657142857143</v>
      </c>
      <c r="V887" s="87" t="s">
        <v>3061</v>
      </c>
      <c r="W887" s="87" t="s">
        <v>3114</v>
      </c>
      <c r="X887" s="90" t="s">
        <v>3477</v>
      </c>
      <c r="Y887" s="89"/>
      <c r="Z887" s="89">
        <v>3</v>
      </c>
      <c r="AA887" s="89"/>
      <c r="AB887" s="89" t="s">
        <v>4613</v>
      </c>
    </row>
    <row r="888" spans="1:28" s="31" customFormat="1" ht="60" customHeight="1" x14ac:dyDescent="0.2">
      <c r="A888" s="76">
        <v>887</v>
      </c>
      <c r="B888" s="77">
        <v>50005235</v>
      </c>
      <c r="C888" s="78" t="s">
        <v>3315</v>
      </c>
      <c r="D888" s="79">
        <v>0.05</v>
      </c>
      <c r="E888" s="80">
        <v>30049099</v>
      </c>
      <c r="F888" s="81" t="s">
        <v>3327</v>
      </c>
      <c r="G888" s="82" t="s">
        <v>3350</v>
      </c>
      <c r="H888" s="82" t="s">
        <v>3343</v>
      </c>
      <c r="I888" s="79" t="s">
        <v>2666</v>
      </c>
      <c r="J888" s="83">
        <v>360.93</v>
      </c>
      <c r="K888" s="83">
        <v>274.9942857142857</v>
      </c>
      <c r="L888" s="83">
        <v>274.9942857142857</v>
      </c>
      <c r="M888" s="84">
        <v>219.99542857142856</v>
      </c>
      <c r="N888" s="59">
        <f t="shared" si="13"/>
        <v>0.39047619047619053</v>
      </c>
      <c r="O888" s="85" t="s">
        <v>2244</v>
      </c>
      <c r="P888" s="86" t="s">
        <v>2694</v>
      </c>
      <c r="Q888" s="87" t="s">
        <v>3208</v>
      </c>
      <c r="R888" s="87">
        <v>10</v>
      </c>
      <c r="S888" s="88">
        <v>36.093000000000004</v>
      </c>
      <c r="T888" s="88">
        <v>27.49942857142857</v>
      </c>
      <c r="U888" s="88">
        <v>21.999542857142856</v>
      </c>
      <c r="V888" s="87" t="s">
        <v>3061</v>
      </c>
      <c r="W888" s="87" t="s">
        <v>3114</v>
      </c>
      <c r="X888" s="90" t="s">
        <v>3477</v>
      </c>
      <c r="Y888" s="89"/>
      <c r="Z888" s="89">
        <v>3</v>
      </c>
      <c r="AA888" s="89"/>
      <c r="AB888" s="89"/>
    </row>
    <row r="889" spans="1:28" s="31" customFormat="1" ht="60" customHeight="1" x14ac:dyDescent="0.2">
      <c r="A889" s="76">
        <v>888</v>
      </c>
      <c r="B889" s="77">
        <v>50005448</v>
      </c>
      <c r="C889" s="78" t="s">
        <v>3424</v>
      </c>
      <c r="D889" s="79">
        <v>0.05</v>
      </c>
      <c r="E889" s="80">
        <v>30049099</v>
      </c>
      <c r="F889" s="81" t="s">
        <v>3430</v>
      </c>
      <c r="G889" s="82" t="s">
        <v>3451</v>
      </c>
      <c r="H889" s="82" t="s">
        <v>3443</v>
      </c>
      <c r="I889" s="79" t="s">
        <v>2666</v>
      </c>
      <c r="J889" s="83">
        <v>510.45</v>
      </c>
      <c r="K889" s="83">
        <v>388.91428571428571</v>
      </c>
      <c r="L889" s="83">
        <v>388.91428571428571</v>
      </c>
      <c r="M889" s="84">
        <v>311.13142857142861</v>
      </c>
      <c r="N889" s="59">
        <f t="shared" si="13"/>
        <v>0.39047619047619037</v>
      </c>
      <c r="O889" s="85" t="s">
        <v>2244</v>
      </c>
      <c r="P889" s="86" t="s">
        <v>2694</v>
      </c>
      <c r="Q889" s="87" t="s">
        <v>3208</v>
      </c>
      <c r="R889" s="87">
        <v>10</v>
      </c>
      <c r="S889" s="88">
        <v>51.045000000000002</v>
      </c>
      <c r="T889" s="88">
        <v>38.89142857142857</v>
      </c>
      <c r="U889" s="88">
        <v>31.113142857142861</v>
      </c>
      <c r="V889" s="87" t="s">
        <v>3061</v>
      </c>
      <c r="W889" s="87" t="s">
        <v>3114</v>
      </c>
      <c r="X889" s="90" t="s">
        <v>3477</v>
      </c>
      <c r="Y889" s="89"/>
      <c r="Z889" s="89">
        <v>3</v>
      </c>
      <c r="AA889" s="89"/>
      <c r="AB889" s="89" t="s">
        <v>4613</v>
      </c>
    </row>
    <row r="890" spans="1:28" s="31" customFormat="1" ht="60" customHeight="1" x14ac:dyDescent="0.2">
      <c r="A890" s="76">
        <v>889</v>
      </c>
      <c r="B890" s="77">
        <v>50003308</v>
      </c>
      <c r="C890" s="78" t="s">
        <v>2186</v>
      </c>
      <c r="D890" s="79">
        <v>0.05</v>
      </c>
      <c r="E890" s="80">
        <v>30049099</v>
      </c>
      <c r="F890" s="81" t="s">
        <v>2187</v>
      </c>
      <c r="G890" s="82" t="s">
        <v>2188</v>
      </c>
      <c r="H890" s="82" t="s">
        <v>3889</v>
      </c>
      <c r="I890" s="79" t="s">
        <v>2666</v>
      </c>
      <c r="J890" s="83">
        <v>271.10000000000002</v>
      </c>
      <c r="K890" s="83">
        <v>206.55238095238096</v>
      </c>
      <c r="L890" s="83">
        <v>206.55238095238096</v>
      </c>
      <c r="M890" s="84">
        <v>165.24190476190472</v>
      </c>
      <c r="N890" s="59">
        <f t="shared" si="13"/>
        <v>0.3904761904761907</v>
      </c>
      <c r="O890" s="85" t="s">
        <v>2244</v>
      </c>
      <c r="P890" s="86" t="s">
        <v>304</v>
      </c>
      <c r="Q890" s="87" t="s">
        <v>3208</v>
      </c>
      <c r="R890" s="87">
        <v>10</v>
      </c>
      <c r="S890" s="88">
        <v>27.110000000000003</v>
      </c>
      <c r="T890" s="88">
        <v>20.655238095238097</v>
      </c>
      <c r="U890" s="88">
        <v>16.524190476190473</v>
      </c>
      <c r="V890" s="87" t="s">
        <v>3061</v>
      </c>
      <c r="W890" s="87" t="s">
        <v>3100</v>
      </c>
      <c r="X890" s="90" t="s">
        <v>3477</v>
      </c>
      <c r="Y890" s="89"/>
      <c r="Z890" s="89">
        <v>3</v>
      </c>
      <c r="AA890" s="89"/>
      <c r="AB890" s="89" t="s">
        <v>4613</v>
      </c>
    </row>
    <row r="891" spans="1:28" s="31" customFormat="1" ht="60" customHeight="1" x14ac:dyDescent="0.2">
      <c r="A891" s="76">
        <v>890</v>
      </c>
      <c r="B891" s="77">
        <v>50003306</v>
      </c>
      <c r="C891" s="78" t="s">
        <v>2189</v>
      </c>
      <c r="D891" s="79">
        <v>0.05</v>
      </c>
      <c r="E891" s="80">
        <v>30049099</v>
      </c>
      <c r="F891" s="81" t="s">
        <v>2190</v>
      </c>
      <c r="G891" s="82" t="s">
        <v>2191</v>
      </c>
      <c r="H891" s="82" t="s">
        <v>4053</v>
      </c>
      <c r="I891" s="79" t="s">
        <v>2666</v>
      </c>
      <c r="J891" s="83">
        <v>281.24</v>
      </c>
      <c r="K891" s="83">
        <v>214.27809523809523</v>
      </c>
      <c r="L891" s="83">
        <v>214.27809523809523</v>
      </c>
      <c r="M891" s="84">
        <v>171.42247619047617</v>
      </c>
      <c r="N891" s="59">
        <f t="shared" si="13"/>
        <v>0.39047619047619053</v>
      </c>
      <c r="O891" s="85" t="s">
        <v>2244</v>
      </c>
      <c r="P891" s="86" t="s">
        <v>305</v>
      </c>
      <c r="Q891" s="87" t="s">
        <v>3208</v>
      </c>
      <c r="R891" s="87">
        <v>10</v>
      </c>
      <c r="S891" s="88">
        <v>28.124000000000002</v>
      </c>
      <c r="T891" s="88">
        <v>21.427809523809522</v>
      </c>
      <c r="U891" s="88">
        <v>17.142247619047616</v>
      </c>
      <c r="V891" s="87" t="s">
        <v>3061</v>
      </c>
      <c r="W891" s="87" t="s">
        <v>3100</v>
      </c>
      <c r="X891" s="90" t="s">
        <v>3477</v>
      </c>
      <c r="Y891" s="89"/>
      <c r="Z891" s="89">
        <v>3</v>
      </c>
      <c r="AA891" s="89"/>
      <c r="AB891" s="89"/>
    </row>
    <row r="892" spans="1:28" s="31" customFormat="1" ht="60" customHeight="1" x14ac:dyDescent="0.2">
      <c r="A892" s="76">
        <v>891</v>
      </c>
      <c r="B892" s="77">
        <v>50003309</v>
      </c>
      <c r="C892" s="78" t="s">
        <v>2300</v>
      </c>
      <c r="D892" s="79">
        <v>0.05</v>
      </c>
      <c r="E892" s="80">
        <v>30049099</v>
      </c>
      <c r="F892" s="81" t="s">
        <v>1210</v>
      </c>
      <c r="G892" s="82" t="s">
        <v>2301</v>
      </c>
      <c r="H892" s="82" t="s">
        <v>26</v>
      </c>
      <c r="I892" s="79" t="s">
        <v>2666</v>
      </c>
      <c r="J892" s="83">
        <v>87.16</v>
      </c>
      <c r="K892" s="83">
        <v>66.40761904761905</v>
      </c>
      <c r="L892" s="83">
        <v>66.40761904761905</v>
      </c>
      <c r="M892" s="84">
        <v>53.126095238095253</v>
      </c>
      <c r="N892" s="59">
        <f t="shared" si="13"/>
        <v>0.39047619047619025</v>
      </c>
      <c r="O892" s="85" t="s">
        <v>2244</v>
      </c>
      <c r="P892" s="86" t="s">
        <v>2742</v>
      </c>
      <c r="Q892" s="87" t="s">
        <v>3208</v>
      </c>
      <c r="R892" s="87">
        <v>10</v>
      </c>
      <c r="S892" s="88">
        <v>8.7159999999999993</v>
      </c>
      <c r="T892" s="88">
        <v>6.6407619047619049</v>
      </c>
      <c r="U892" s="88">
        <v>5.3126095238095257</v>
      </c>
      <c r="V892" s="87" t="s">
        <v>3061</v>
      </c>
      <c r="W892" s="87" t="s">
        <v>3100</v>
      </c>
      <c r="X892" s="90" t="s">
        <v>3477</v>
      </c>
      <c r="Y892" s="89" t="s">
        <v>3455</v>
      </c>
      <c r="Z892" s="89">
        <v>3</v>
      </c>
      <c r="AA892" s="89"/>
      <c r="AB892" s="89"/>
    </row>
    <row r="893" spans="1:28" s="31" customFormat="1" ht="60" customHeight="1" x14ac:dyDescent="0.2">
      <c r="A893" s="76">
        <v>892</v>
      </c>
      <c r="B893" s="77">
        <v>50004122</v>
      </c>
      <c r="C893" s="78" t="s">
        <v>2302</v>
      </c>
      <c r="D893" s="79">
        <v>0.05</v>
      </c>
      <c r="E893" s="80">
        <v>30049099</v>
      </c>
      <c r="F893" s="81" t="s">
        <v>2303</v>
      </c>
      <c r="G893" s="82" t="s">
        <v>2304</v>
      </c>
      <c r="H893" s="82" t="s">
        <v>30</v>
      </c>
      <c r="I893" s="79" t="s">
        <v>2663</v>
      </c>
      <c r="J893" s="83">
        <v>251.24</v>
      </c>
      <c r="K893" s="83">
        <v>191.42095238095237</v>
      </c>
      <c r="L893" s="83">
        <v>191.42095238095237</v>
      </c>
      <c r="M893" s="84">
        <v>153.1367619047619</v>
      </c>
      <c r="N893" s="59">
        <f t="shared" si="13"/>
        <v>0.39047619047619053</v>
      </c>
      <c r="O893" s="85" t="s">
        <v>2244</v>
      </c>
      <c r="P893" s="86" t="s">
        <v>37</v>
      </c>
      <c r="Q893" s="87" t="s">
        <v>3208</v>
      </c>
      <c r="R893" s="87">
        <v>15</v>
      </c>
      <c r="S893" s="88">
        <v>16.749333333333333</v>
      </c>
      <c r="T893" s="88">
        <v>12.761396825396824</v>
      </c>
      <c r="U893" s="88">
        <v>10.20911746031746</v>
      </c>
      <c r="V893" s="87" t="s">
        <v>3061</v>
      </c>
      <c r="W893" s="87" t="s">
        <v>3100</v>
      </c>
      <c r="X893" s="90" t="s">
        <v>3477</v>
      </c>
      <c r="Y893" s="89" t="s">
        <v>3455</v>
      </c>
      <c r="Z893" s="89">
        <v>3</v>
      </c>
      <c r="AA893" s="89"/>
      <c r="AB893" s="89"/>
    </row>
    <row r="894" spans="1:28" s="31" customFormat="1" ht="60" customHeight="1" x14ac:dyDescent="0.2">
      <c r="A894" s="76">
        <v>893</v>
      </c>
      <c r="B894" s="77">
        <v>50004123</v>
      </c>
      <c r="C894" s="78" t="s">
        <v>2305</v>
      </c>
      <c r="D894" s="79">
        <v>0.05</v>
      </c>
      <c r="E894" s="80">
        <v>30049099</v>
      </c>
      <c r="F894" s="81" t="s">
        <v>1216</v>
      </c>
      <c r="G894" s="82" t="s">
        <v>2306</v>
      </c>
      <c r="H894" s="82" t="s">
        <v>294</v>
      </c>
      <c r="I894" s="79" t="s">
        <v>2663</v>
      </c>
      <c r="J894" s="83">
        <v>487.92</v>
      </c>
      <c r="K894" s="83">
        <v>371.74857142857144</v>
      </c>
      <c r="L894" s="83">
        <v>371.74857142857144</v>
      </c>
      <c r="M894" s="84">
        <v>297.3988571428572</v>
      </c>
      <c r="N894" s="59">
        <f t="shared" si="13"/>
        <v>0.39047619047619037</v>
      </c>
      <c r="O894" s="85" t="s">
        <v>2244</v>
      </c>
      <c r="P894" s="86" t="s">
        <v>2742</v>
      </c>
      <c r="Q894" s="87" t="s">
        <v>3208</v>
      </c>
      <c r="R894" s="87">
        <v>15</v>
      </c>
      <c r="S894" s="88">
        <v>32.527999999999999</v>
      </c>
      <c r="T894" s="88">
        <v>24.783238095238097</v>
      </c>
      <c r="U894" s="88">
        <v>19.826590476190479</v>
      </c>
      <c r="V894" s="87" t="s">
        <v>3061</v>
      </c>
      <c r="W894" s="87" t="s">
        <v>3100</v>
      </c>
      <c r="X894" s="90" t="s">
        <v>3477</v>
      </c>
      <c r="Y894" s="89" t="s">
        <v>3455</v>
      </c>
      <c r="Z894" s="89">
        <v>3</v>
      </c>
      <c r="AA894" s="89"/>
      <c r="AB894" s="89"/>
    </row>
    <row r="895" spans="1:28" s="31" customFormat="1" ht="60" customHeight="1" x14ac:dyDescent="0.2">
      <c r="A895" s="76">
        <v>894</v>
      </c>
      <c r="B895" s="77">
        <v>50003312</v>
      </c>
      <c r="C895" s="78" t="s">
        <v>2307</v>
      </c>
      <c r="D895" s="79">
        <v>0.05</v>
      </c>
      <c r="E895" s="80">
        <v>30049099</v>
      </c>
      <c r="F895" s="81" t="s">
        <v>2308</v>
      </c>
      <c r="G895" s="82" t="s">
        <v>2309</v>
      </c>
      <c r="H895" s="82" t="s">
        <v>115</v>
      </c>
      <c r="I895" s="79" t="s">
        <v>2666</v>
      </c>
      <c r="J895" s="83">
        <v>496.54</v>
      </c>
      <c r="K895" s="83">
        <v>378.31619047619046</v>
      </c>
      <c r="L895" s="83">
        <v>378.31619047619046</v>
      </c>
      <c r="M895" s="84">
        <v>302.6529523809524</v>
      </c>
      <c r="N895" s="59">
        <f t="shared" si="13"/>
        <v>0.39047619047619048</v>
      </c>
      <c r="O895" s="85" t="s">
        <v>2244</v>
      </c>
      <c r="P895" s="86" t="s">
        <v>2692</v>
      </c>
      <c r="Q895" s="87" t="s">
        <v>3208</v>
      </c>
      <c r="R895" s="87">
        <v>10</v>
      </c>
      <c r="S895" s="88">
        <v>49.654000000000003</v>
      </c>
      <c r="T895" s="88">
        <v>37.831619047619043</v>
      </c>
      <c r="U895" s="88">
        <v>30.265295238095241</v>
      </c>
      <c r="V895" s="87" t="s">
        <v>3061</v>
      </c>
      <c r="W895" s="87" t="s">
        <v>3100</v>
      </c>
      <c r="X895" s="90" t="s">
        <v>3477</v>
      </c>
      <c r="Y895" s="89" t="s">
        <v>3455</v>
      </c>
      <c r="Z895" s="89">
        <v>3</v>
      </c>
      <c r="AA895" s="89"/>
      <c r="AB895" s="89"/>
    </row>
    <row r="896" spans="1:28" s="31" customFormat="1" ht="60" customHeight="1" x14ac:dyDescent="0.2">
      <c r="A896" s="76">
        <v>895</v>
      </c>
      <c r="B896" s="77">
        <v>50004130</v>
      </c>
      <c r="C896" s="78" t="s">
        <v>2310</v>
      </c>
      <c r="D896" s="79">
        <v>0.05</v>
      </c>
      <c r="E896" s="80">
        <v>30049099</v>
      </c>
      <c r="F896" s="81" t="s">
        <v>1237</v>
      </c>
      <c r="G896" s="82" t="s">
        <v>2311</v>
      </c>
      <c r="H896" s="82" t="s">
        <v>3712</v>
      </c>
      <c r="I896" s="79" t="s">
        <v>2696</v>
      </c>
      <c r="J896" s="83">
        <v>246.59</v>
      </c>
      <c r="K896" s="83">
        <v>187.87809523809523</v>
      </c>
      <c r="L896" s="83">
        <v>187.87809523809523</v>
      </c>
      <c r="M896" s="84">
        <v>150.30247619047614</v>
      </c>
      <c r="N896" s="59">
        <f t="shared" si="13"/>
        <v>0.3904761904761907</v>
      </c>
      <c r="O896" s="85" t="s">
        <v>2244</v>
      </c>
      <c r="P896" s="86" t="s">
        <v>2859</v>
      </c>
      <c r="Q896" s="87" t="s">
        <v>3208</v>
      </c>
      <c r="R896" s="87">
        <v>15</v>
      </c>
      <c r="S896" s="88">
        <v>16.439333333333334</v>
      </c>
      <c r="T896" s="88">
        <v>12.525206349206348</v>
      </c>
      <c r="U896" s="88">
        <v>10.020165079365077</v>
      </c>
      <c r="V896" s="87" t="s">
        <v>3061</v>
      </c>
      <c r="W896" s="87" t="s">
        <v>3100</v>
      </c>
      <c r="X896" s="90" t="s">
        <v>3478</v>
      </c>
      <c r="Y896" s="89"/>
      <c r="Z896" s="89">
        <v>3</v>
      </c>
      <c r="AA896" s="89"/>
      <c r="AB896" s="89"/>
    </row>
    <row r="897" spans="1:28" s="31" customFormat="1" ht="60" customHeight="1" x14ac:dyDescent="0.2">
      <c r="A897" s="76">
        <v>896</v>
      </c>
      <c r="B897" s="77">
        <v>50004124</v>
      </c>
      <c r="C897" s="78" t="s">
        <v>2312</v>
      </c>
      <c r="D897" s="79">
        <v>0.05</v>
      </c>
      <c r="E897" s="80">
        <v>30049099</v>
      </c>
      <c r="F897" s="81" t="s">
        <v>1240</v>
      </c>
      <c r="G897" s="82" t="s">
        <v>2313</v>
      </c>
      <c r="H897" s="82" t="s">
        <v>3890</v>
      </c>
      <c r="I897" s="79" t="s">
        <v>2696</v>
      </c>
      <c r="J897" s="83">
        <v>371.15</v>
      </c>
      <c r="K897" s="83">
        <v>282.78095238095239</v>
      </c>
      <c r="L897" s="83">
        <v>282.78095238095239</v>
      </c>
      <c r="M897" s="84">
        <v>226.22476190476192</v>
      </c>
      <c r="N897" s="59">
        <f t="shared" si="13"/>
        <v>0.39047619047619042</v>
      </c>
      <c r="O897" s="85" t="s">
        <v>2244</v>
      </c>
      <c r="P897" s="86" t="s">
        <v>2859</v>
      </c>
      <c r="Q897" s="87" t="s">
        <v>3208</v>
      </c>
      <c r="R897" s="87">
        <v>15</v>
      </c>
      <c r="S897" s="88">
        <v>24.743333333333332</v>
      </c>
      <c r="T897" s="88">
        <v>18.852063492063493</v>
      </c>
      <c r="U897" s="88">
        <v>15.081650793650795</v>
      </c>
      <c r="V897" s="87" t="s">
        <v>3061</v>
      </c>
      <c r="W897" s="87" t="s">
        <v>3100</v>
      </c>
      <c r="X897" s="90" t="s">
        <v>3478</v>
      </c>
      <c r="Y897" s="89"/>
      <c r="Z897" s="89">
        <v>3</v>
      </c>
      <c r="AA897" s="89"/>
      <c r="AB897" s="89"/>
    </row>
    <row r="898" spans="1:28" s="31" customFormat="1" ht="60" customHeight="1" x14ac:dyDescent="0.2">
      <c r="A898" s="76">
        <v>897</v>
      </c>
      <c r="B898" s="77">
        <v>50003975</v>
      </c>
      <c r="C898" s="78" t="s">
        <v>4302</v>
      </c>
      <c r="D898" s="79">
        <v>0.05</v>
      </c>
      <c r="E898" s="80">
        <v>30049099</v>
      </c>
      <c r="F898" s="81" t="s">
        <v>4303</v>
      </c>
      <c r="G898" s="82" t="s">
        <v>4304</v>
      </c>
      <c r="H898" s="82" t="s">
        <v>4305</v>
      </c>
      <c r="I898" s="79" t="s">
        <v>2704</v>
      </c>
      <c r="J898" s="83">
        <v>2026.75</v>
      </c>
      <c r="K898" s="83">
        <v>1544.1904761904761</v>
      </c>
      <c r="L898" s="83">
        <v>1544.1904761904761</v>
      </c>
      <c r="M898" s="84">
        <v>500</v>
      </c>
      <c r="N898" s="59">
        <f t="shared" ref="N898:N959" si="14">(J898-M898)/J898</f>
        <v>0.75329961761440734</v>
      </c>
      <c r="O898" s="85" t="s">
        <v>4461</v>
      </c>
      <c r="P898" s="86" t="s">
        <v>4462</v>
      </c>
      <c r="Q898" s="87" t="s">
        <v>3208</v>
      </c>
      <c r="R898" s="87">
        <v>1</v>
      </c>
      <c r="S898" s="88">
        <v>2026.75</v>
      </c>
      <c r="T898" s="88">
        <v>1544.1904761904761</v>
      </c>
      <c r="U898" s="88">
        <v>500</v>
      </c>
      <c r="V898" s="87" t="s">
        <v>3062</v>
      </c>
      <c r="W898" s="87" t="s">
        <v>4477</v>
      </c>
      <c r="X898" s="90" t="s">
        <v>3479</v>
      </c>
      <c r="Y898" s="89"/>
      <c r="Z898" s="89">
        <v>1</v>
      </c>
      <c r="AA898" s="89"/>
      <c r="AB898" s="89"/>
    </row>
    <row r="899" spans="1:28" s="31" customFormat="1" ht="60" customHeight="1" x14ac:dyDescent="0.2">
      <c r="A899" s="76">
        <v>898</v>
      </c>
      <c r="B899" s="77">
        <v>50003953</v>
      </c>
      <c r="C899" s="78" t="s">
        <v>4306</v>
      </c>
      <c r="D899" s="79">
        <v>0.05</v>
      </c>
      <c r="E899" s="80">
        <v>30042019</v>
      </c>
      <c r="F899" s="81" t="s">
        <v>4307</v>
      </c>
      <c r="G899" s="82" t="s">
        <v>4308</v>
      </c>
      <c r="H899" s="82" t="s">
        <v>4309</v>
      </c>
      <c r="I899" s="79" t="s">
        <v>4310</v>
      </c>
      <c r="J899" s="83">
        <v>573.99</v>
      </c>
      <c r="K899" s="83">
        <v>437.3257142857143</v>
      </c>
      <c r="L899" s="83">
        <v>437.3257142857143</v>
      </c>
      <c r="M899" s="84">
        <v>104.5</v>
      </c>
      <c r="N899" s="59">
        <f t="shared" si="14"/>
        <v>0.8179410791128765</v>
      </c>
      <c r="O899" s="85" t="s">
        <v>4461</v>
      </c>
      <c r="P899" s="86" t="s">
        <v>2855</v>
      </c>
      <c r="Q899" s="87" t="s">
        <v>3208</v>
      </c>
      <c r="R899" s="87">
        <v>1</v>
      </c>
      <c r="S899" s="88">
        <v>573.99</v>
      </c>
      <c r="T899" s="88">
        <v>437.3257142857143</v>
      </c>
      <c r="U899" s="88">
        <v>104.5</v>
      </c>
      <c r="V899" s="87" t="s">
        <v>3067</v>
      </c>
      <c r="W899" s="87" t="s">
        <v>3102</v>
      </c>
      <c r="X899" s="90" t="s">
        <v>3479</v>
      </c>
      <c r="Y899" s="89"/>
      <c r="Z899" s="89">
        <v>1</v>
      </c>
      <c r="AA899" s="89"/>
      <c r="AB899" s="89"/>
    </row>
    <row r="900" spans="1:28" s="31" customFormat="1" ht="60" customHeight="1" x14ac:dyDescent="0.2">
      <c r="A900" s="76">
        <v>899</v>
      </c>
      <c r="B900" s="77">
        <v>50003954</v>
      </c>
      <c r="C900" s="78" t="s">
        <v>4311</v>
      </c>
      <c r="D900" s="79">
        <v>0.05</v>
      </c>
      <c r="E900" s="80">
        <v>30042019</v>
      </c>
      <c r="F900" s="81" t="s">
        <v>4312</v>
      </c>
      <c r="G900" s="82" t="s">
        <v>4313</v>
      </c>
      <c r="H900" s="82" t="s">
        <v>4314</v>
      </c>
      <c r="I900" s="79" t="s">
        <v>2917</v>
      </c>
      <c r="J900" s="83">
        <v>1133.33</v>
      </c>
      <c r="K900" s="83">
        <v>863.4895238095238</v>
      </c>
      <c r="L900" s="83">
        <v>863.4895238095238</v>
      </c>
      <c r="M900" s="84">
        <v>230.99999999999997</v>
      </c>
      <c r="N900" s="59">
        <f t="shared" si="14"/>
        <v>0.79617587110550325</v>
      </c>
      <c r="O900" s="85" t="s">
        <v>4461</v>
      </c>
      <c r="P900" s="86" t="s">
        <v>4463</v>
      </c>
      <c r="Q900" s="87" t="s">
        <v>3208</v>
      </c>
      <c r="R900" s="87">
        <v>1</v>
      </c>
      <c r="S900" s="88">
        <v>1133.33</v>
      </c>
      <c r="T900" s="88">
        <v>863.4895238095238</v>
      </c>
      <c r="U900" s="88">
        <v>230.99999999999997</v>
      </c>
      <c r="V900" s="87" t="s">
        <v>3067</v>
      </c>
      <c r="W900" s="87" t="s">
        <v>3102</v>
      </c>
      <c r="X900" s="90" t="s">
        <v>3610</v>
      </c>
      <c r="Y900" s="89"/>
      <c r="Z900" s="89">
        <v>1</v>
      </c>
      <c r="AA900" s="89"/>
      <c r="AB900" s="89"/>
    </row>
    <row r="901" spans="1:28" s="31" customFormat="1" ht="60" customHeight="1" x14ac:dyDescent="0.2">
      <c r="A901" s="76">
        <v>900</v>
      </c>
      <c r="B901" s="77">
        <v>50003908</v>
      </c>
      <c r="C901" s="78" t="s">
        <v>4315</v>
      </c>
      <c r="D901" s="79">
        <v>0.05</v>
      </c>
      <c r="E901" s="80">
        <v>30049099</v>
      </c>
      <c r="F901" s="81" t="s">
        <v>4316</v>
      </c>
      <c r="G901" s="82" t="s">
        <v>4317</v>
      </c>
      <c r="H901" s="82" t="s">
        <v>72</v>
      </c>
      <c r="I901" s="79" t="s">
        <v>72</v>
      </c>
      <c r="J901" s="83">
        <v>598.94000000000005</v>
      </c>
      <c r="K901" s="83">
        <v>456.33523809523814</v>
      </c>
      <c r="L901" s="83">
        <v>456.33523809523814</v>
      </c>
      <c r="M901" s="84">
        <v>115.49999999999993</v>
      </c>
      <c r="N901" s="59">
        <f t="shared" si="14"/>
        <v>0.80715931478946146</v>
      </c>
      <c r="O901" s="85" t="s">
        <v>4461</v>
      </c>
      <c r="P901" s="86" t="s">
        <v>4464</v>
      </c>
      <c r="Q901" s="87" t="s">
        <v>3208</v>
      </c>
      <c r="R901" s="87">
        <v>1</v>
      </c>
      <c r="S901" s="88">
        <v>598.94000000000005</v>
      </c>
      <c r="T901" s="88">
        <v>456.33523809523814</v>
      </c>
      <c r="U901" s="88">
        <v>115.49999999999993</v>
      </c>
      <c r="V901" s="87" t="s">
        <v>3067</v>
      </c>
      <c r="W901" s="87" t="s">
        <v>3102</v>
      </c>
      <c r="X901" s="90" t="s">
        <v>3479</v>
      </c>
      <c r="Y901" s="89"/>
      <c r="Z901" s="89">
        <v>1</v>
      </c>
      <c r="AA901" s="89" t="s">
        <v>3207</v>
      </c>
      <c r="AB901" s="89"/>
    </row>
    <row r="902" spans="1:28" s="31" customFormat="1" ht="60" customHeight="1" x14ac:dyDescent="0.2">
      <c r="A902" s="76">
        <v>901</v>
      </c>
      <c r="B902" s="77">
        <v>50003909</v>
      </c>
      <c r="C902" s="78" t="s">
        <v>4318</v>
      </c>
      <c r="D902" s="79">
        <v>0.05</v>
      </c>
      <c r="E902" s="80">
        <v>30049099</v>
      </c>
      <c r="F902" s="81" t="s">
        <v>4319</v>
      </c>
      <c r="G902" s="82" t="s">
        <v>4320</v>
      </c>
      <c r="H902" s="82" t="s">
        <v>607</v>
      </c>
      <c r="I902" s="79" t="s">
        <v>2744</v>
      </c>
      <c r="J902" s="83">
        <v>1048.1600000000001</v>
      </c>
      <c r="K902" s="83">
        <v>798.59809523809531</v>
      </c>
      <c r="L902" s="83">
        <v>798.59809523809531</v>
      </c>
      <c r="M902" s="84">
        <v>176</v>
      </c>
      <c r="N902" s="59">
        <f t="shared" si="14"/>
        <v>0.83208670431995113</v>
      </c>
      <c r="O902" s="85" t="s">
        <v>4461</v>
      </c>
      <c r="P902" s="86" t="s">
        <v>4464</v>
      </c>
      <c r="Q902" s="87" t="s">
        <v>3208</v>
      </c>
      <c r="R902" s="87">
        <v>1</v>
      </c>
      <c r="S902" s="88">
        <v>1048.1600000000001</v>
      </c>
      <c r="T902" s="88">
        <v>798.59809523809531</v>
      </c>
      <c r="U902" s="88">
        <v>176</v>
      </c>
      <c r="V902" s="87" t="s">
        <v>3067</v>
      </c>
      <c r="W902" s="87" t="s">
        <v>3102</v>
      </c>
      <c r="X902" s="90" t="s">
        <v>3479</v>
      </c>
      <c r="Y902" s="89"/>
      <c r="Z902" s="89">
        <v>1</v>
      </c>
      <c r="AA902" s="89" t="s">
        <v>3207</v>
      </c>
      <c r="AB902" s="89"/>
    </row>
    <row r="903" spans="1:28" s="31" customFormat="1" ht="60" customHeight="1" x14ac:dyDescent="0.2">
      <c r="A903" s="76">
        <v>902</v>
      </c>
      <c r="B903" s="77">
        <v>50004683</v>
      </c>
      <c r="C903" s="78" t="s">
        <v>4321</v>
      </c>
      <c r="D903" s="79">
        <v>0.05</v>
      </c>
      <c r="E903" s="80">
        <v>30049099</v>
      </c>
      <c r="F903" s="81" t="s">
        <v>4322</v>
      </c>
      <c r="G903" s="82" t="s">
        <v>4323</v>
      </c>
      <c r="H903" s="82" t="s">
        <v>4324</v>
      </c>
      <c r="I903" s="79" t="s">
        <v>4325</v>
      </c>
      <c r="J903" s="83">
        <v>1860.36</v>
      </c>
      <c r="K903" s="83">
        <v>1417.4171428571428</v>
      </c>
      <c r="L903" s="83">
        <v>1417.4171428571428</v>
      </c>
      <c r="M903" s="84">
        <v>302.49999999999994</v>
      </c>
      <c r="N903" s="59">
        <f t="shared" si="14"/>
        <v>0.8373970629340558</v>
      </c>
      <c r="O903" s="85" t="s">
        <v>4461</v>
      </c>
      <c r="P903" s="86" t="s">
        <v>4464</v>
      </c>
      <c r="Q903" s="87" t="s">
        <v>3208</v>
      </c>
      <c r="R903" s="87">
        <v>1</v>
      </c>
      <c r="S903" s="88">
        <v>1860.36</v>
      </c>
      <c r="T903" s="88">
        <v>1417.4171428571428</v>
      </c>
      <c r="U903" s="88">
        <v>302.49999999999994</v>
      </c>
      <c r="V903" s="87" t="s">
        <v>3067</v>
      </c>
      <c r="W903" s="87" t="s">
        <v>3102</v>
      </c>
      <c r="X903" s="90" t="s">
        <v>3479</v>
      </c>
      <c r="Y903" s="89"/>
      <c r="Z903" s="89">
        <v>1</v>
      </c>
      <c r="AA903" s="89" t="s">
        <v>3207</v>
      </c>
      <c r="AB903" s="89"/>
    </row>
    <row r="904" spans="1:28" s="31" customFormat="1" ht="60" customHeight="1" x14ac:dyDescent="0.2">
      <c r="A904" s="76">
        <v>903</v>
      </c>
      <c r="B904" s="77">
        <v>50005787</v>
      </c>
      <c r="C904" s="78" t="s">
        <v>4703</v>
      </c>
      <c r="D904" s="79">
        <v>0.05</v>
      </c>
      <c r="E904" s="80">
        <v>30049029</v>
      </c>
      <c r="F904" s="81" t="s">
        <v>4704</v>
      </c>
      <c r="G904" s="82" t="s">
        <v>4705</v>
      </c>
      <c r="H904" s="82" t="s">
        <v>4706</v>
      </c>
      <c r="I904" s="79" t="s">
        <v>4707</v>
      </c>
      <c r="J904" s="83">
        <v>19900</v>
      </c>
      <c r="K904" s="83">
        <v>15161.904761904763</v>
      </c>
      <c r="L904" s="83">
        <v>15161.904761904763</v>
      </c>
      <c r="M904" s="84">
        <v>3500</v>
      </c>
      <c r="N904" s="59">
        <f t="shared" si="14"/>
        <v>0.82412060301507539</v>
      </c>
      <c r="O904" s="85" t="s">
        <v>4461</v>
      </c>
      <c r="P904" s="86" t="s">
        <v>4468</v>
      </c>
      <c r="Q904" s="87" t="s">
        <v>3208</v>
      </c>
      <c r="R904" s="87">
        <v>1</v>
      </c>
      <c r="S904" s="88">
        <v>19900</v>
      </c>
      <c r="T904" s="88">
        <v>15161.904761904763</v>
      </c>
      <c r="U904" s="88">
        <v>3500</v>
      </c>
      <c r="V904" s="87" t="s">
        <v>3067</v>
      </c>
      <c r="W904" s="87" t="s">
        <v>3102</v>
      </c>
      <c r="X904" s="90" t="s">
        <v>3479</v>
      </c>
      <c r="Y904" s="89"/>
      <c r="Z904" s="89"/>
      <c r="AA904" s="89"/>
      <c r="AB904" s="89"/>
    </row>
    <row r="905" spans="1:28" s="31" customFormat="1" ht="60" customHeight="1" x14ac:dyDescent="0.2">
      <c r="A905" s="76">
        <v>904</v>
      </c>
      <c r="B905" s="77">
        <v>50000296</v>
      </c>
      <c r="C905" s="78" t="s">
        <v>4326</v>
      </c>
      <c r="D905" s="79">
        <v>0.05</v>
      </c>
      <c r="E905" s="80">
        <v>30049087</v>
      </c>
      <c r="F905" s="81" t="s">
        <v>4327</v>
      </c>
      <c r="G905" s="82" t="s">
        <v>4328</v>
      </c>
      <c r="H905" s="82" t="s">
        <v>4329</v>
      </c>
      <c r="I905" s="79" t="s">
        <v>4330</v>
      </c>
      <c r="J905" s="83">
        <v>340.38</v>
      </c>
      <c r="K905" s="83">
        <v>259.33714285714285</v>
      </c>
      <c r="L905" s="83">
        <v>145.22879999999998</v>
      </c>
      <c r="M905" s="84">
        <v>46.199999999999996</v>
      </c>
      <c r="N905" s="59">
        <f t="shared" si="14"/>
        <v>0.86426934602503092</v>
      </c>
      <c r="O905" s="85" t="s">
        <v>4461</v>
      </c>
      <c r="P905" s="86" t="s">
        <v>210</v>
      </c>
      <c r="Q905" s="87" t="s">
        <v>3208</v>
      </c>
      <c r="R905" s="87">
        <v>1</v>
      </c>
      <c r="S905" s="88">
        <v>340.38</v>
      </c>
      <c r="T905" s="88">
        <v>145.22879999999998</v>
      </c>
      <c r="U905" s="88">
        <v>46.199999999999996</v>
      </c>
      <c r="V905" s="87" t="s">
        <v>3067</v>
      </c>
      <c r="W905" s="87" t="s">
        <v>3102</v>
      </c>
      <c r="X905" s="90" t="s">
        <v>3479</v>
      </c>
      <c r="Y905" s="89"/>
      <c r="Z905" s="89">
        <v>1</v>
      </c>
      <c r="AA905" s="89"/>
      <c r="AB905" s="89" t="s">
        <v>4613</v>
      </c>
    </row>
    <row r="906" spans="1:28" s="31" customFormat="1" ht="60" customHeight="1" x14ac:dyDescent="0.2">
      <c r="A906" s="76">
        <v>905</v>
      </c>
      <c r="B906" s="77">
        <v>50004137</v>
      </c>
      <c r="C906" s="78" t="s">
        <v>4331</v>
      </c>
      <c r="D906" s="79">
        <v>0.05</v>
      </c>
      <c r="E906" s="80">
        <v>30042095</v>
      </c>
      <c r="F906" s="81" t="s">
        <v>4332</v>
      </c>
      <c r="G906" s="82" t="s">
        <v>4333</v>
      </c>
      <c r="H906" s="82" t="s">
        <v>4334</v>
      </c>
      <c r="I906" s="79" t="s">
        <v>2919</v>
      </c>
      <c r="J906" s="83">
        <v>258.93</v>
      </c>
      <c r="K906" s="83">
        <v>197.28</v>
      </c>
      <c r="L906" s="83">
        <v>197.28</v>
      </c>
      <c r="M906" s="84">
        <v>54.999999999999993</v>
      </c>
      <c r="N906" s="59">
        <f t="shared" si="14"/>
        <v>0.78758737882825469</v>
      </c>
      <c r="O906" s="85" t="s">
        <v>4461</v>
      </c>
      <c r="P906" s="86" t="s">
        <v>4465</v>
      </c>
      <c r="Q906" s="87" t="s">
        <v>3207</v>
      </c>
      <c r="R906" s="87">
        <v>1</v>
      </c>
      <c r="S906" s="88">
        <v>258.93</v>
      </c>
      <c r="T906" s="88">
        <v>197.28</v>
      </c>
      <c r="U906" s="88">
        <v>54.999999999999993</v>
      </c>
      <c r="V906" s="87" t="s">
        <v>3065</v>
      </c>
      <c r="W906" s="87" t="s">
        <v>3102</v>
      </c>
      <c r="X906" s="90" t="s">
        <v>3479</v>
      </c>
      <c r="Y906" s="89"/>
      <c r="Z906" s="89">
        <v>1</v>
      </c>
      <c r="AA906" s="89"/>
      <c r="AB906" s="89"/>
    </row>
    <row r="907" spans="1:28" s="31" customFormat="1" ht="60" customHeight="1" x14ac:dyDescent="0.2">
      <c r="A907" s="76">
        <v>906</v>
      </c>
      <c r="B907" s="77">
        <v>50003927</v>
      </c>
      <c r="C907" s="78" t="s">
        <v>4335</v>
      </c>
      <c r="D907" s="79">
        <v>0.05</v>
      </c>
      <c r="E907" s="80">
        <v>30049099</v>
      </c>
      <c r="F907" s="81" t="s">
        <v>4336</v>
      </c>
      <c r="G907" s="82" t="s">
        <v>4337</v>
      </c>
      <c r="H907" s="82" t="s">
        <v>4338</v>
      </c>
      <c r="I907" s="79" t="s">
        <v>4339</v>
      </c>
      <c r="J907" s="83">
        <v>540</v>
      </c>
      <c r="K907" s="83">
        <v>411.42857142857144</v>
      </c>
      <c r="L907" s="83">
        <v>411.42857142857144</v>
      </c>
      <c r="M907" s="84">
        <v>93.499999999999972</v>
      </c>
      <c r="N907" s="59">
        <f t="shared" si="14"/>
        <v>0.82685185185185184</v>
      </c>
      <c r="O907" s="85" t="s">
        <v>4461</v>
      </c>
      <c r="P907" s="86" t="s">
        <v>4466</v>
      </c>
      <c r="Q907" s="87" t="s">
        <v>3208</v>
      </c>
      <c r="R907" s="87">
        <v>1</v>
      </c>
      <c r="S907" s="88">
        <v>540</v>
      </c>
      <c r="T907" s="88">
        <v>411.42857142857144</v>
      </c>
      <c r="U907" s="88">
        <v>26.27470571705123</v>
      </c>
      <c r="V907" s="87" t="s">
        <v>3067</v>
      </c>
      <c r="W907" s="87" t="s">
        <v>3102</v>
      </c>
      <c r="X907" s="90" t="s">
        <v>3479</v>
      </c>
      <c r="Y907" s="89"/>
      <c r="Z907" s="89">
        <v>1</v>
      </c>
      <c r="AA907" s="89"/>
      <c r="AB907" s="89"/>
    </row>
    <row r="908" spans="1:28" s="31" customFormat="1" ht="60" customHeight="1" x14ac:dyDescent="0.2">
      <c r="A908" s="76">
        <v>907</v>
      </c>
      <c r="B908" s="77">
        <v>50003929</v>
      </c>
      <c r="C908" s="78" t="s">
        <v>4340</v>
      </c>
      <c r="D908" s="79">
        <v>0.05</v>
      </c>
      <c r="E908" s="80">
        <v>30049099</v>
      </c>
      <c r="F908" s="81" t="s">
        <v>4341</v>
      </c>
      <c r="G908" s="82" t="s">
        <v>4342</v>
      </c>
      <c r="H908" s="82" t="s">
        <v>4343</v>
      </c>
      <c r="I908" s="79" t="s">
        <v>4344</v>
      </c>
      <c r="J908" s="83">
        <v>630</v>
      </c>
      <c r="K908" s="83">
        <v>480</v>
      </c>
      <c r="L908" s="83">
        <v>480</v>
      </c>
      <c r="M908" s="84">
        <v>148.50000000000011</v>
      </c>
      <c r="N908" s="59">
        <f t="shared" si="14"/>
        <v>0.76428571428571412</v>
      </c>
      <c r="O908" s="85" t="s">
        <v>4461</v>
      </c>
      <c r="P908" s="86" t="s">
        <v>4466</v>
      </c>
      <c r="Q908" s="87" t="s">
        <v>3208</v>
      </c>
      <c r="R908" s="87">
        <v>1</v>
      </c>
      <c r="S908" s="88">
        <v>630</v>
      </c>
      <c r="T908" s="88">
        <v>480</v>
      </c>
      <c r="U908" s="88">
        <v>31.239773736618233</v>
      </c>
      <c r="V908" s="87" t="s">
        <v>3067</v>
      </c>
      <c r="W908" s="87" t="s">
        <v>3102</v>
      </c>
      <c r="X908" s="90" t="s">
        <v>3479</v>
      </c>
      <c r="Y908" s="89"/>
      <c r="Z908" s="89">
        <v>1</v>
      </c>
      <c r="AA908" s="89"/>
      <c r="AB908" s="89"/>
    </row>
    <row r="909" spans="1:28" s="31" customFormat="1" ht="60" customHeight="1" x14ac:dyDescent="0.2">
      <c r="A909" s="76">
        <v>908</v>
      </c>
      <c r="B909" s="77">
        <v>50003930</v>
      </c>
      <c r="C909" s="78" t="s">
        <v>4345</v>
      </c>
      <c r="D909" s="79">
        <v>0.05</v>
      </c>
      <c r="E909" s="80">
        <v>30049099</v>
      </c>
      <c r="F909" s="81" t="s">
        <v>4346</v>
      </c>
      <c r="G909" s="82" t="s">
        <v>4347</v>
      </c>
      <c r="H909" s="82" t="s">
        <v>4348</v>
      </c>
      <c r="I909" s="79" t="s">
        <v>4349</v>
      </c>
      <c r="J909" s="83">
        <v>710</v>
      </c>
      <c r="K909" s="83">
        <v>540.95238095238096</v>
      </c>
      <c r="L909" s="83">
        <v>540.95238095238096</v>
      </c>
      <c r="M909" s="84">
        <v>258.49999999999983</v>
      </c>
      <c r="N909" s="59">
        <f t="shared" si="14"/>
        <v>0.63591549295774674</v>
      </c>
      <c r="O909" s="85" t="s">
        <v>4461</v>
      </c>
      <c r="P909" s="86" t="s">
        <v>4467</v>
      </c>
      <c r="Q909" s="87" t="s">
        <v>3208</v>
      </c>
      <c r="R909" s="87">
        <v>1</v>
      </c>
      <c r="S909" s="88">
        <v>710</v>
      </c>
      <c r="T909" s="88">
        <v>540.95238095238096</v>
      </c>
      <c r="U909" s="88">
        <v>37.617802227533012</v>
      </c>
      <c r="V909" s="87" t="s">
        <v>3067</v>
      </c>
      <c r="W909" s="87" t="s">
        <v>3102</v>
      </c>
      <c r="X909" s="90" t="s">
        <v>3479</v>
      </c>
      <c r="Y909" s="89"/>
      <c r="Z909" s="89">
        <v>1</v>
      </c>
      <c r="AA909" s="89"/>
      <c r="AB909" s="89"/>
    </row>
    <row r="910" spans="1:28" s="31" customFormat="1" ht="60" customHeight="1" x14ac:dyDescent="0.2">
      <c r="A910" s="76">
        <v>909</v>
      </c>
      <c r="B910" s="77">
        <v>50003931</v>
      </c>
      <c r="C910" s="78" t="s">
        <v>4350</v>
      </c>
      <c r="D910" s="79">
        <v>0.05</v>
      </c>
      <c r="E910" s="80">
        <v>30049099</v>
      </c>
      <c r="F910" s="81" t="s">
        <v>4351</v>
      </c>
      <c r="G910" s="82" t="s">
        <v>4352</v>
      </c>
      <c r="H910" s="82" t="s">
        <v>4353</v>
      </c>
      <c r="I910" s="79" t="s">
        <v>4354</v>
      </c>
      <c r="J910" s="83">
        <v>1750</v>
      </c>
      <c r="K910" s="83">
        <v>1333.3333333333335</v>
      </c>
      <c r="L910" s="83">
        <v>1333.3333333333335</v>
      </c>
      <c r="M910" s="84">
        <v>313.49999999999989</v>
      </c>
      <c r="N910" s="59">
        <f t="shared" si="14"/>
        <v>0.82085714285714284</v>
      </c>
      <c r="O910" s="85" t="s">
        <v>4461</v>
      </c>
      <c r="P910" s="86" t="s">
        <v>4466</v>
      </c>
      <c r="Q910" s="87" t="s">
        <v>3208</v>
      </c>
      <c r="R910" s="87">
        <v>1</v>
      </c>
      <c r="S910" s="88">
        <v>1750</v>
      </c>
      <c r="T910" s="88">
        <v>1333.3333333333335</v>
      </c>
      <c r="U910" s="88">
        <v>82.673053971621755</v>
      </c>
      <c r="V910" s="87" t="s">
        <v>3067</v>
      </c>
      <c r="W910" s="87" t="s">
        <v>3102</v>
      </c>
      <c r="X910" s="90" t="s">
        <v>3479</v>
      </c>
      <c r="Y910" s="89"/>
      <c r="Z910" s="89">
        <v>1</v>
      </c>
      <c r="AA910" s="89"/>
      <c r="AB910" s="89"/>
    </row>
    <row r="911" spans="1:28" s="31" customFormat="1" ht="60" customHeight="1" x14ac:dyDescent="0.2">
      <c r="A911" s="76">
        <v>910</v>
      </c>
      <c r="B911" s="77">
        <v>50005270</v>
      </c>
      <c r="C911" s="78" t="s">
        <v>4355</v>
      </c>
      <c r="D911" s="79">
        <v>0.05</v>
      </c>
      <c r="E911" s="80">
        <v>30019091</v>
      </c>
      <c r="F911" s="81" t="s">
        <v>4356</v>
      </c>
      <c r="G911" s="82" t="s">
        <v>4357</v>
      </c>
      <c r="H911" s="82" t="s">
        <v>115</v>
      </c>
      <c r="I911" s="79" t="s">
        <v>115</v>
      </c>
      <c r="J911" s="83">
        <v>478</v>
      </c>
      <c r="K911" s="83">
        <v>364.1904761904762</v>
      </c>
      <c r="L911" s="83">
        <v>364.1904761904762</v>
      </c>
      <c r="M911" s="84">
        <v>110</v>
      </c>
      <c r="N911" s="59">
        <f t="shared" si="14"/>
        <v>0.76987447698744771</v>
      </c>
      <c r="O911" s="85" t="s">
        <v>4461</v>
      </c>
      <c r="P911" s="86" t="s">
        <v>4468</v>
      </c>
      <c r="Q911" s="87" t="s">
        <v>3207</v>
      </c>
      <c r="R911" s="87">
        <v>1</v>
      </c>
      <c r="S911" s="88">
        <v>478</v>
      </c>
      <c r="T911" s="88">
        <v>364.1904761904762</v>
      </c>
      <c r="U911" s="88">
        <v>110</v>
      </c>
      <c r="V911" s="87" t="s">
        <v>3558</v>
      </c>
      <c r="W911" s="87" t="s">
        <v>3102</v>
      </c>
      <c r="X911" s="90" t="s">
        <v>3479</v>
      </c>
      <c r="Y911" s="89"/>
      <c r="Z911" s="89"/>
      <c r="AA911" s="89"/>
      <c r="AB911" s="89"/>
    </row>
    <row r="912" spans="1:28" s="31" customFormat="1" ht="60" customHeight="1" x14ac:dyDescent="0.2">
      <c r="A912" s="76">
        <v>911</v>
      </c>
      <c r="B912" s="77">
        <v>50005271</v>
      </c>
      <c r="C912" s="78" t="s">
        <v>4358</v>
      </c>
      <c r="D912" s="79">
        <v>0.05</v>
      </c>
      <c r="E912" s="80">
        <v>30019091</v>
      </c>
      <c r="F912" s="81" t="s">
        <v>4359</v>
      </c>
      <c r="G912" s="82" t="s">
        <v>4360</v>
      </c>
      <c r="H912" s="82" t="s">
        <v>489</v>
      </c>
      <c r="I912" s="79" t="s">
        <v>489</v>
      </c>
      <c r="J912" s="83">
        <v>717</v>
      </c>
      <c r="K912" s="83">
        <v>546.28571428571433</v>
      </c>
      <c r="L912" s="83">
        <v>546.28571428571433</v>
      </c>
      <c r="M912" s="84">
        <v>135.00000000000003</v>
      </c>
      <c r="N912" s="59">
        <f t="shared" si="14"/>
        <v>0.81171548117154813</v>
      </c>
      <c r="O912" s="85" t="s">
        <v>4461</v>
      </c>
      <c r="P912" s="86" t="s">
        <v>4468</v>
      </c>
      <c r="Q912" s="87" t="s">
        <v>3207</v>
      </c>
      <c r="R912" s="87">
        <v>1</v>
      </c>
      <c r="S912" s="88">
        <v>717</v>
      </c>
      <c r="T912" s="88">
        <v>546.28571428571433</v>
      </c>
      <c r="U912" s="88">
        <v>135.00000000000003</v>
      </c>
      <c r="V912" s="87" t="s">
        <v>3558</v>
      </c>
      <c r="W912" s="87" t="s">
        <v>3102</v>
      </c>
      <c r="X912" s="90" t="s">
        <v>3479</v>
      </c>
      <c r="Y912" s="89"/>
      <c r="Z912" s="89"/>
      <c r="AA912" s="89"/>
      <c r="AB912" s="89"/>
    </row>
    <row r="913" spans="1:28" s="31" customFormat="1" ht="60" customHeight="1" x14ac:dyDescent="0.2">
      <c r="A913" s="76">
        <v>912</v>
      </c>
      <c r="B913" s="77">
        <v>50003928</v>
      </c>
      <c r="C913" s="78" t="s">
        <v>4361</v>
      </c>
      <c r="D913" s="79">
        <v>0.05</v>
      </c>
      <c r="E913" s="80">
        <v>30049099</v>
      </c>
      <c r="F913" s="81" t="s">
        <v>4362</v>
      </c>
      <c r="G913" s="82" t="s">
        <v>4363</v>
      </c>
      <c r="H913" s="82" t="s">
        <v>4364</v>
      </c>
      <c r="I913" s="79" t="s">
        <v>2711</v>
      </c>
      <c r="J913" s="83">
        <v>4027.02</v>
      </c>
      <c r="K913" s="83">
        <v>3068.2057142857143</v>
      </c>
      <c r="L913" s="83">
        <v>3068.2057142857143</v>
      </c>
      <c r="M913" s="84">
        <v>1100</v>
      </c>
      <c r="N913" s="59">
        <f t="shared" si="14"/>
        <v>0.72684516093786478</v>
      </c>
      <c r="O913" s="85" t="s">
        <v>4461</v>
      </c>
      <c r="P913" s="86" t="s">
        <v>4469</v>
      </c>
      <c r="Q913" s="87" t="s">
        <v>3208</v>
      </c>
      <c r="R913" s="87">
        <v>1</v>
      </c>
      <c r="S913" s="88">
        <v>4027.02</v>
      </c>
      <c r="T913" s="88">
        <v>3068.2057142857143</v>
      </c>
      <c r="U913" s="88">
        <v>1100</v>
      </c>
      <c r="V913" s="87" t="s">
        <v>3067</v>
      </c>
      <c r="W913" s="87" t="s">
        <v>3102</v>
      </c>
      <c r="X913" s="90" t="s">
        <v>3479</v>
      </c>
      <c r="Y913" s="89"/>
      <c r="Z913" s="89">
        <v>1</v>
      </c>
      <c r="AA913" s="89"/>
      <c r="AB913" s="89" t="s">
        <v>4613</v>
      </c>
    </row>
    <row r="914" spans="1:28" s="31" customFormat="1" ht="60" customHeight="1" x14ac:dyDescent="0.2">
      <c r="A914" s="76">
        <v>913</v>
      </c>
      <c r="B914" s="77">
        <v>50003934</v>
      </c>
      <c r="C914" s="78" t="s">
        <v>4367</v>
      </c>
      <c r="D914" s="79">
        <v>0.05</v>
      </c>
      <c r="E914" s="80">
        <v>30049099</v>
      </c>
      <c r="F914" s="81" t="s">
        <v>4368</v>
      </c>
      <c r="G914" s="82" t="s">
        <v>4369</v>
      </c>
      <c r="H914" s="82" t="s">
        <v>823</v>
      </c>
      <c r="I914" s="79" t="s">
        <v>823</v>
      </c>
      <c r="J914" s="83">
        <v>1707.22</v>
      </c>
      <c r="K914" s="83">
        <v>1300.7390476190476</v>
      </c>
      <c r="L914" s="83">
        <v>1300.7390476190476</v>
      </c>
      <c r="M914" s="84">
        <v>550</v>
      </c>
      <c r="N914" s="59">
        <f t="shared" si="14"/>
        <v>0.67783882569323228</v>
      </c>
      <c r="O914" s="85" t="s">
        <v>4461</v>
      </c>
      <c r="P914" s="86" t="s">
        <v>2868</v>
      </c>
      <c r="Q914" s="87" t="s">
        <v>3208</v>
      </c>
      <c r="R914" s="87">
        <v>1</v>
      </c>
      <c r="S914" s="88">
        <v>1707.22</v>
      </c>
      <c r="T914" s="88">
        <v>1300.7390476190476</v>
      </c>
      <c r="U914" s="88">
        <v>550</v>
      </c>
      <c r="V914" s="87" t="s">
        <v>3067</v>
      </c>
      <c r="W914" s="87" t="s">
        <v>3119</v>
      </c>
      <c r="X914" s="90" t="s">
        <v>3479</v>
      </c>
      <c r="Y914" s="89"/>
      <c r="Z914" s="89">
        <v>1</v>
      </c>
      <c r="AA914" s="89"/>
      <c r="AB914" s="89"/>
    </row>
    <row r="915" spans="1:28" s="31" customFormat="1" ht="60" customHeight="1" x14ac:dyDescent="0.2">
      <c r="A915" s="76">
        <v>914</v>
      </c>
      <c r="B915" s="77">
        <v>50000428</v>
      </c>
      <c r="C915" s="78" t="s">
        <v>4370</v>
      </c>
      <c r="D915" s="79">
        <v>0.05</v>
      </c>
      <c r="E915" s="80">
        <v>30049039</v>
      </c>
      <c r="F915" s="81" t="s">
        <v>4371</v>
      </c>
      <c r="G915" s="82" t="s">
        <v>4372</v>
      </c>
      <c r="H915" s="82" t="s">
        <v>493</v>
      </c>
      <c r="I915" s="79" t="s">
        <v>2711</v>
      </c>
      <c r="J915" s="83">
        <v>33.11</v>
      </c>
      <c r="K915" s="83">
        <v>25.226666666666667</v>
      </c>
      <c r="L915" s="83">
        <v>25.226666666666667</v>
      </c>
      <c r="M915" s="84">
        <v>12.100000000000001</v>
      </c>
      <c r="N915" s="59">
        <f t="shared" si="14"/>
        <v>0.63455149501661123</v>
      </c>
      <c r="O915" s="85" t="s">
        <v>4461</v>
      </c>
      <c r="P915" s="86" t="s">
        <v>2712</v>
      </c>
      <c r="Q915" s="87" t="s">
        <v>3208</v>
      </c>
      <c r="R915" s="87">
        <v>1</v>
      </c>
      <c r="S915" s="88">
        <v>33.11</v>
      </c>
      <c r="T915" s="88">
        <v>25.226666666666667</v>
      </c>
      <c r="U915" s="88">
        <v>12.100000000000001</v>
      </c>
      <c r="V915" s="87" t="s">
        <v>3065</v>
      </c>
      <c r="W915" s="87" t="s">
        <v>3105</v>
      </c>
      <c r="X915" s="90" t="s">
        <v>3479</v>
      </c>
      <c r="Y915" s="89"/>
      <c r="Z915" s="89">
        <v>12</v>
      </c>
      <c r="AA915" s="89"/>
      <c r="AB915" s="89"/>
    </row>
    <row r="916" spans="1:28" s="31" customFormat="1" ht="60" customHeight="1" x14ac:dyDescent="0.2">
      <c r="A916" s="76">
        <v>915</v>
      </c>
      <c r="B916" s="77">
        <v>50005192</v>
      </c>
      <c r="C916" s="78" t="s">
        <v>4373</v>
      </c>
      <c r="D916" s="79">
        <v>0.05</v>
      </c>
      <c r="E916" s="80">
        <v>30042019</v>
      </c>
      <c r="F916" s="81" t="s">
        <v>4374</v>
      </c>
      <c r="G916" s="82" t="s">
        <v>4375</v>
      </c>
      <c r="H916" s="82" t="s">
        <v>4376</v>
      </c>
      <c r="I916" s="79" t="s">
        <v>4377</v>
      </c>
      <c r="J916" s="83">
        <v>6468.74</v>
      </c>
      <c r="K916" s="83">
        <v>4928.5638095238091</v>
      </c>
      <c r="L916" s="83">
        <v>4928.5638095238091</v>
      </c>
      <c r="M916" s="84">
        <v>659.99999999999977</v>
      </c>
      <c r="N916" s="59">
        <f t="shared" si="14"/>
        <v>0.89797085676654187</v>
      </c>
      <c r="O916" s="85" t="s">
        <v>4461</v>
      </c>
      <c r="P916" s="86" t="s">
        <v>4470</v>
      </c>
      <c r="Q916" s="87" t="s">
        <v>3208</v>
      </c>
      <c r="R916" s="87">
        <v>1</v>
      </c>
      <c r="S916" s="88">
        <v>6468.74</v>
      </c>
      <c r="T916" s="88">
        <v>4928.5638095238091</v>
      </c>
      <c r="U916" s="88">
        <v>659.99999999999977</v>
      </c>
      <c r="V916" s="87" t="s">
        <v>3067</v>
      </c>
      <c r="W916" s="87" t="s">
        <v>3102</v>
      </c>
      <c r="X916" s="90" t="s">
        <v>3479</v>
      </c>
      <c r="Y916" s="89"/>
      <c r="Z916" s="89">
        <v>1</v>
      </c>
      <c r="AA916" s="89" t="s">
        <v>3207</v>
      </c>
      <c r="AB916" s="89"/>
    </row>
    <row r="917" spans="1:28" s="31" customFormat="1" ht="60" customHeight="1" x14ac:dyDescent="0.2">
      <c r="A917" s="76">
        <v>916</v>
      </c>
      <c r="B917" s="77">
        <v>50003924</v>
      </c>
      <c r="C917" s="78" t="s">
        <v>2314</v>
      </c>
      <c r="D917" s="79">
        <v>0.05</v>
      </c>
      <c r="E917" s="80">
        <v>30049099</v>
      </c>
      <c r="F917" s="81" t="s">
        <v>2315</v>
      </c>
      <c r="G917" s="82" t="s">
        <v>2316</v>
      </c>
      <c r="H917" s="82" t="s">
        <v>246</v>
      </c>
      <c r="I917" s="79" t="s">
        <v>2702</v>
      </c>
      <c r="J917" s="83">
        <v>578.52</v>
      </c>
      <c r="K917" s="83">
        <v>440.77714285714285</v>
      </c>
      <c r="L917" s="83">
        <v>367.31428571428569</v>
      </c>
      <c r="M917" s="84">
        <v>277.28627450980395</v>
      </c>
      <c r="N917" s="59">
        <f t="shared" si="14"/>
        <v>0.52069716775599117</v>
      </c>
      <c r="O917" s="85" t="s">
        <v>4461</v>
      </c>
      <c r="P917" s="86" t="s">
        <v>3262</v>
      </c>
      <c r="Q917" s="87" t="s">
        <v>3208</v>
      </c>
      <c r="R917" s="87">
        <v>6</v>
      </c>
      <c r="S917" s="88">
        <v>96.42</v>
      </c>
      <c r="T917" s="88">
        <v>61.219047619047615</v>
      </c>
      <c r="U917" s="88">
        <v>46.214379084967327</v>
      </c>
      <c r="V917" s="87" t="s">
        <v>3061</v>
      </c>
      <c r="W917" s="87" t="s">
        <v>3102</v>
      </c>
      <c r="X917" s="90" t="s">
        <v>3477</v>
      </c>
      <c r="Y917" s="89"/>
      <c r="Z917" s="89">
        <v>6</v>
      </c>
      <c r="AA917" s="89"/>
      <c r="AB917" s="89"/>
    </row>
    <row r="918" spans="1:28" s="31" customFormat="1" ht="60" customHeight="1" x14ac:dyDescent="0.2">
      <c r="A918" s="76">
        <v>917</v>
      </c>
      <c r="B918" s="77">
        <v>50004725</v>
      </c>
      <c r="C918" s="78" t="s">
        <v>2317</v>
      </c>
      <c r="D918" s="79">
        <v>0.05</v>
      </c>
      <c r="E918" s="80">
        <v>30049099</v>
      </c>
      <c r="F918" s="81" t="s">
        <v>2318</v>
      </c>
      <c r="G918" s="82" t="s">
        <v>2319</v>
      </c>
      <c r="H918" s="82" t="s">
        <v>1081</v>
      </c>
      <c r="I918" s="79" t="s">
        <v>2702</v>
      </c>
      <c r="J918" s="83">
        <v>773.43</v>
      </c>
      <c r="K918" s="83">
        <v>589.28</v>
      </c>
      <c r="L918" s="83">
        <v>491.06666666666661</v>
      </c>
      <c r="M918" s="84">
        <v>321.30053208137713</v>
      </c>
      <c r="N918" s="59">
        <f t="shared" si="14"/>
        <v>0.58457710189496515</v>
      </c>
      <c r="O918" s="85" t="s">
        <v>4461</v>
      </c>
      <c r="P918" s="86" t="s">
        <v>3262</v>
      </c>
      <c r="Q918" s="87" t="s">
        <v>3208</v>
      </c>
      <c r="R918" s="87">
        <v>6</v>
      </c>
      <c r="S918" s="88">
        <v>128.905</v>
      </c>
      <c r="T918" s="88">
        <v>81.844444444444434</v>
      </c>
      <c r="U918" s="88">
        <v>53.550088680229521</v>
      </c>
      <c r="V918" s="87" t="s">
        <v>3061</v>
      </c>
      <c r="W918" s="87" t="s">
        <v>3102</v>
      </c>
      <c r="X918" s="90" t="s">
        <v>3477</v>
      </c>
      <c r="Y918" s="89"/>
      <c r="Z918" s="89">
        <v>6</v>
      </c>
      <c r="AA918" s="89"/>
      <c r="AB918" s="89" t="s">
        <v>4613</v>
      </c>
    </row>
    <row r="919" spans="1:28" s="31" customFormat="1" ht="60" customHeight="1" x14ac:dyDescent="0.2">
      <c r="A919" s="76">
        <v>918</v>
      </c>
      <c r="B919" s="77">
        <v>50000320</v>
      </c>
      <c r="C919" s="78" t="s">
        <v>4378</v>
      </c>
      <c r="D919" s="79">
        <v>0.05</v>
      </c>
      <c r="E919" s="80">
        <v>30049087</v>
      </c>
      <c r="F919" s="81" t="s">
        <v>4379</v>
      </c>
      <c r="G919" s="82" t="s">
        <v>4380</v>
      </c>
      <c r="H919" s="82" t="s">
        <v>4381</v>
      </c>
      <c r="I919" s="79" t="s">
        <v>4382</v>
      </c>
      <c r="J919" s="83">
        <v>208.24</v>
      </c>
      <c r="K919" s="83">
        <v>158.65904761904761</v>
      </c>
      <c r="L919" s="83">
        <v>79.329523809523806</v>
      </c>
      <c r="M919" s="84">
        <v>44</v>
      </c>
      <c r="N919" s="59">
        <f t="shared" si="14"/>
        <v>0.78870533999231651</v>
      </c>
      <c r="O919" s="85" t="s">
        <v>4461</v>
      </c>
      <c r="P919" s="86" t="s">
        <v>2712</v>
      </c>
      <c r="Q919" s="87" t="s">
        <v>3208</v>
      </c>
      <c r="R919" s="87">
        <v>1</v>
      </c>
      <c r="S919" s="88">
        <v>208.24</v>
      </c>
      <c r="T919" s="88">
        <v>79.329523809523806</v>
      </c>
      <c r="U919" s="88">
        <v>44</v>
      </c>
      <c r="V919" s="87" t="s">
        <v>3067</v>
      </c>
      <c r="W919" s="87" t="s">
        <v>3102</v>
      </c>
      <c r="X919" s="90" t="s">
        <v>3479</v>
      </c>
      <c r="Y919" s="89"/>
      <c r="Z919" s="89">
        <v>1</v>
      </c>
      <c r="AA919" s="89" t="s">
        <v>3207</v>
      </c>
      <c r="AB919" s="89"/>
    </row>
    <row r="920" spans="1:28" s="31" customFormat="1" ht="60" customHeight="1" x14ac:dyDescent="0.2">
      <c r="A920" s="76">
        <v>919</v>
      </c>
      <c r="B920" s="77">
        <v>50003910</v>
      </c>
      <c r="C920" s="78" t="s">
        <v>4383</v>
      </c>
      <c r="D920" s="79">
        <v>0.05</v>
      </c>
      <c r="E920" s="80">
        <v>30049099</v>
      </c>
      <c r="F920" s="81" t="s">
        <v>4384</v>
      </c>
      <c r="G920" s="82" t="s">
        <v>4385</v>
      </c>
      <c r="H920" s="82" t="s">
        <v>4386</v>
      </c>
      <c r="I920" s="79" t="s">
        <v>72</v>
      </c>
      <c r="J920" s="83">
        <v>695.11</v>
      </c>
      <c r="K920" s="83">
        <v>529.60761904761898</v>
      </c>
      <c r="L920" s="83">
        <v>529.60761904761898</v>
      </c>
      <c r="M920" s="84">
        <v>107.8</v>
      </c>
      <c r="N920" s="59">
        <f t="shared" si="14"/>
        <v>0.84491663189998711</v>
      </c>
      <c r="O920" s="85" t="s">
        <v>4461</v>
      </c>
      <c r="P920" s="86" t="s">
        <v>4464</v>
      </c>
      <c r="Q920" s="87" t="s">
        <v>3207</v>
      </c>
      <c r="R920" s="87">
        <v>1</v>
      </c>
      <c r="S920" s="88">
        <v>695.11</v>
      </c>
      <c r="T920" s="88">
        <v>529.60761904761898</v>
      </c>
      <c r="U920" s="88">
        <v>107.8</v>
      </c>
      <c r="V920" s="87" t="s">
        <v>3067</v>
      </c>
      <c r="W920" s="87" t="s">
        <v>3102</v>
      </c>
      <c r="X920" s="90" t="s">
        <v>3479</v>
      </c>
      <c r="Y920" s="89"/>
      <c r="Z920" s="89">
        <v>1</v>
      </c>
      <c r="AA920" s="89" t="s">
        <v>3207</v>
      </c>
      <c r="AB920" s="89"/>
    </row>
    <row r="921" spans="1:28" s="31" customFormat="1" ht="60" customHeight="1" x14ac:dyDescent="0.2">
      <c r="A921" s="76">
        <v>920</v>
      </c>
      <c r="B921" s="77">
        <v>50003911</v>
      </c>
      <c r="C921" s="78" t="s">
        <v>4387</v>
      </c>
      <c r="D921" s="79">
        <v>0.05</v>
      </c>
      <c r="E921" s="80">
        <v>30049099</v>
      </c>
      <c r="F921" s="81" t="s">
        <v>4388</v>
      </c>
      <c r="G921" s="82" t="s">
        <v>4389</v>
      </c>
      <c r="H921" s="82" t="s">
        <v>4390</v>
      </c>
      <c r="I921" s="79" t="s">
        <v>2744</v>
      </c>
      <c r="J921" s="83">
        <v>1017.69</v>
      </c>
      <c r="K921" s="83">
        <v>775.38285714285712</v>
      </c>
      <c r="L921" s="83">
        <v>775.38285714285712</v>
      </c>
      <c r="M921" s="84">
        <v>154.00000000000003</v>
      </c>
      <c r="N921" s="59">
        <f t="shared" si="14"/>
        <v>0.84867690554098008</v>
      </c>
      <c r="O921" s="85" t="s">
        <v>4461</v>
      </c>
      <c r="P921" s="86" t="s">
        <v>2855</v>
      </c>
      <c r="Q921" s="87" t="s">
        <v>3207</v>
      </c>
      <c r="R921" s="87">
        <v>1</v>
      </c>
      <c r="S921" s="88">
        <v>1017.69</v>
      </c>
      <c r="T921" s="88">
        <v>775.38285714285712</v>
      </c>
      <c r="U921" s="88">
        <v>154.00000000000003</v>
      </c>
      <c r="V921" s="87" t="s">
        <v>3067</v>
      </c>
      <c r="W921" s="87" t="s">
        <v>3102</v>
      </c>
      <c r="X921" s="90" t="s">
        <v>3479</v>
      </c>
      <c r="Y921" s="89"/>
      <c r="Z921" s="89">
        <v>1</v>
      </c>
      <c r="AA921" s="89" t="s">
        <v>3207</v>
      </c>
      <c r="AB921" s="89"/>
    </row>
    <row r="922" spans="1:28" s="31" customFormat="1" ht="60" customHeight="1" x14ac:dyDescent="0.2">
      <c r="A922" s="76">
        <v>921</v>
      </c>
      <c r="B922" s="77">
        <v>50003915</v>
      </c>
      <c r="C922" s="78" t="s">
        <v>4391</v>
      </c>
      <c r="D922" s="79">
        <v>0.05</v>
      </c>
      <c r="E922" s="80">
        <v>30049099</v>
      </c>
      <c r="F922" s="81" t="s">
        <v>4392</v>
      </c>
      <c r="G922" s="82" t="s">
        <v>4393</v>
      </c>
      <c r="H922" s="82" t="s">
        <v>4394</v>
      </c>
      <c r="I922" s="79" t="s">
        <v>4382</v>
      </c>
      <c r="J922" s="83">
        <v>1934.09</v>
      </c>
      <c r="K922" s="83">
        <v>1473.5923809523808</v>
      </c>
      <c r="L922" s="83">
        <v>1473.5923809523808</v>
      </c>
      <c r="M922" s="84">
        <v>550</v>
      </c>
      <c r="N922" s="59">
        <f t="shared" si="14"/>
        <v>0.71562853848579955</v>
      </c>
      <c r="O922" s="85" t="s">
        <v>4461</v>
      </c>
      <c r="P922" s="86" t="s">
        <v>4464</v>
      </c>
      <c r="Q922" s="87" t="s">
        <v>3208</v>
      </c>
      <c r="R922" s="87">
        <v>1</v>
      </c>
      <c r="S922" s="88">
        <v>1934.09</v>
      </c>
      <c r="T922" s="88">
        <v>1473.5923809523808</v>
      </c>
      <c r="U922" s="88">
        <v>550</v>
      </c>
      <c r="V922" s="87" t="s">
        <v>3067</v>
      </c>
      <c r="W922" s="87" t="s">
        <v>3102</v>
      </c>
      <c r="X922" s="90" t="s">
        <v>3479</v>
      </c>
      <c r="Y922" s="89"/>
      <c r="Z922" s="89">
        <v>1</v>
      </c>
      <c r="AA922" s="89" t="s">
        <v>3207</v>
      </c>
      <c r="AB922" s="89"/>
    </row>
    <row r="923" spans="1:28" s="31" customFormat="1" ht="60" customHeight="1" x14ac:dyDescent="0.2">
      <c r="A923" s="76">
        <v>922</v>
      </c>
      <c r="B923" s="77">
        <v>50000251</v>
      </c>
      <c r="C923" s="78" t="s">
        <v>4395</v>
      </c>
      <c r="D923" s="79">
        <v>0.05</v>
      </c>
      <c r="E923" s="80">
        <v>30049087</v>
      </c>
      <c r="F923" s="81" t="s">
        <v>4396</v>
      </c>
      <c r="G923" s="82" t="s">
        <v>4397</v>
      </c>
      <c r="H923" s="82" t="s">
        <v>4398</v>
      </c>
      <c r="I923" s="79" t="s">
        <v>2717</v>
      </c>
      <c r="J923" s="83">
        <v>38.54</v>
      </c>
      <c r="K923" s="83">
        <v>29.363809523809522</v>
      </c>
      <c r="L923" s="83">
        <v>19.575873015873015</v>
      </c>
      <c r="M923" s="84">
        <v>12.100000000000001</v>
      </c>
      <c r="N923" s="59">
        <f t="shared" si="14"/>
        <v>0.68604047742605079</v>
      </c>
      <c r="O923" s="85" t="s">
        <v>4461</v>
      </c>
      <c r="P923" s="86" t="s">
        <v>4471</v>
      </c>
      <c r="Q923" s="87" t="s">
        <v>3208</v>
      </c>
      <c r="R923" s="87">
        <v>1</v>
      </c>
      <c r="S923" s="88">
        <v>38.54</v>
      </c>
      <c r="T923" s="88">
        <v>19.575873015873015</v>
      </c>
      <c r="U923" s="88">
        <v>12.100000000000001</v>
      </c>
      <c r="V923" s="87" t="s">
        <v>3067</v>
      </c>
      <c r="W923" s="87" t="s">
        <v>3102</v>
      </c>
      <c r="X923" s="90" t="s">
        <v>3479</v>
      </c>
      <c r="Y923" s="89"/>
      <c r="Z923" s="89">
        <v>48</v>
      </c>
      <c r="AA923" s="89"/>
      <c r="AB923" s="89"/>
    </row>
    <row r="924" spans="1:28" s="31" customFormat="1" ht="60" customHeight="1" x14ac:dyDescent="0.2">
      <c r="A924" s="76">
        <v>923</v>
      </c>
      <c r="B924" s="77">
        <v>50000631</v>
      </c>
      <c r="C924" s="78" t="s">
        <v>4399</v>
      </c>
      <c r="D924" s="79">
        <v>0.05</v>
      </c>
      <c r="E924" s="80">
        <v>30049087</v>
      </c>
      <c r="F924" s="81" t="s">
        <v>4400</v>
      </c>
      <c r="G924" s="82" t="s">
        <v>4401</v>
      </c>
      <c r="H924" s="82" t="s">
        <v>4402</v>
      </c>
      <c r="I924" s="79" t="s">
        <v>2717</v>
      </c>
      <c r="J924" s="83">
        <v>50.4</v>
      </c>
      <c r="K924" s="83">
        <v>38.4</v>
      </c>
      <c r="L924" s="83">
        <v>25.6</v>
      </c>
      <c r="M924" s="84">
        <v>14.3</v>
      </c>
      <c r="N924" s="59">
        <f t="shared" si="14"/>
        <v>0.71626984126984117</v>
      </c>
      <c r="O924" s="85" t="s">
        <v>4461</v>
      </c>
      <c r="P924" s="86" t="s">
        <v>4472</v>
      </c>
      <c r="Q924" s="87" t="s">
        <v>3208</v>
      </c>
      <c r="R924" s="87">
        <v>1</v>
      </c>
      <c r="S924" s="88">
        <v>50.4</v>
      </c>
      <c r="T924" s="88">
        <v>25.6</v>
      </c>
      <c r="U924" s="88">
        <v>14.3</v>
      </c>
      <c r="V924" s="87" t="s">
        <v>3067</v>
      </c>
      <c r="W924" s="87" t="s">
        <v>3102</v>
      </c>
      <c r="X924" s="90" t="s">
        <v>3479</v>
      </c>
      <c r="Y924" s="89"/>
      <c r="Z924" s="89">
        <v>40</v>
      </c>
      <c r="AA924" s="89"/>
      <c r="AB924" s="89"/>
    </row>
    <row r="925" spans="1:28" s="31" customFormat="1" ht="60" customHeight="1" x14ac:dyDescent="0.2">
      <c r="A925" s="76">
        <v>924</v>
      </c>
      <c r="B925" s="77">
        <v>50000732</v>
      </c>
      <c r="C925" s="78" t="s">
        <v>4403</v>
      </c>
      <c r="D925" s="79">
        <v>0.05</v>
      </c>
      <c r="E925" s="80">
        <v>30049087</v>
      </c>
      <c r="F925" s="81" t="s">
        <v>4404</v>
      </c>
      <c r="G925" s="82" t="s">
        <v>4405</v>
      </c>
      <c r="H925" s="82" t="s">
        <v>4406</v>
      </c>
      <c r="I925" s="79" t="s">
        <v>2717</v>
      </c>
      <c r="J925" s="83">
        <v>107.74</v>
      </c>
      <c r="K925" s="83">
        <v>82.087619047619043</v>
      </c>
      <c r="L925" s="83">
        <v>41.043809523809522</v>
      </c>
      <c r="M925" s="84">
        <v>25.3</v>
      </c>
      <c r="N925" s="59">
        <f t="shared" si="14"/>
        <v>0.76517542231297575</v>
      </c>
      <c r="O925" s="85" t="s">
        <v>4461</v>
      </c>
      <c r="P925" s="86" t="s">
        <v>4471</v>
      </c>
      <c r="Q925" s="87" t="s">
        <v>3207</v>
      </c>
      <c r="R925" s="87">
        <v>1</v>
      </c>
      <c r="S925" s="88">
        <v>107.74</v>
      </c>
      <c r="T925" s="88">
        <v>41.043809523809522</v>
      </c>
      <c r="U925" s="88">
        <v>25.3</v>
      </c>
      <c r="V925" s="87" t="s">
        <v>3067</v>
      </c>
      <c r="W925" s="87" t="s">
        <v>3102</v>
      </c>
      <c r="X925" s="90" t="s">
        <v>3479</v>
      </c>
      <c r="Y925" s="89"/>
      <c r="Z925" s="89">
        <v>40</v>
      </c>
      <c r="AA925" s="89"/>
      <c r="AB925" s="89"/>
    </row>
    <row r="926" spans="1:28" s="31" customFormat="1" ht="60" customHeight="1" x14ac:dyDescent="0.2">
      <c r="A926" s="76">
        <v>925</v>
      </c>
      <c r="B926" s="77">
        <v>50000010</v>
      </c>
      <c r="C926" s="78" t="s">
        <v>4407</v>
      </c>
      <c r="D926" s="79">
        <v>0.05</v>
      </c>
      <c r="E926" s="80">
        <v>30049087</v>
      </c>
      <c r="F926" s="81" t="s">
        <v>4408</v>
      </c>
      <c r="G926" s="82" t="s">
        <v>4409</v>
      </c>
      <c r="H926" s="82" t="s">
        <v>4410</v>
      </c>
      <c r="I926" s="79" t="s">
        <v>4411</v>
      </c>
      <c r="J926" s="83">
        <v>124.87</v>
      </c>
      <c r="K926" s="83">
        <v>95.139047619047616</v>
      </c>
      <c r="L926" s="83">
        <v>95.139047619047616</v>
      </c>
      <c r="M926" s="84">
        <v>48.400000000000013</v>
      </c>
      <c r="N926" s="59">
        <f t="shared" si="14"/>
        <v>0.6123968927684792</v>
      </c>
      <c r="O926" s="85" t="s">
        <v>4461</v>
      </c>
      <c r="P926" s="86" t="s">
        <v>4473</v>
      </c>
      <c r="Q926" s="87" t="s">
        <v>3207</v>
      </c>
      <c r="R926" s="87">
        <v>1</v>
      </c>
      <c r="S926" s="88">
        <v>124.87</v>
      </c>
      <c r="T926" s="88">
        <v>95.139047619047616</v>
      </c>
      <c r="U926" s="88">
        <v>48.400000000000013</v>
      </c>
      <c r="V926" s="87" t="s">
        <v>3067</v>
      </c>
      <c r="W926" s="87" t="s">
        <v>3102</v>
      </c>
      <c r="X926" s="90" t="s">
        <v>3479</v>
      </c>
      <c r="Y926" s="89"/>
      <c r="Z926" s="89">
        <v>1</v>
      </c>
      <c r="AA926" s="89"/>
      <c r="AB926" s="89"/>
    </row>
    <row r="927" spans="1:28" s="31" customFormat="1" ht="60" customHeight="1" x14ac:dyDescent="0.2">
      <c r="A927" s="76">
        <v>926</v>
      </c>
      <c r="B927" s="77">
        <v>50003903</v>
      </c>
      <c r="C927" s="78" t="s">
        <v>4412</v>
      </c>
      <c r="D927" s="79">
        <v>0.05</v>
      </c>
      <c r="E927" s="80">
        <v>30049099</v>
      </c>
      <c r="F927" s="81" t="s">
        <v>4413</v>
      </c>
      <c r="G927" s="82" t="s">
        <v>4414</v>
      </c>
      <c r="H927" s="82" t="s">
        <v>4394</v>
      </c>
      <c r="I927" s="79" t="s">
        <v>4382</v>
      </c>
      <c r="J927" s="83">
        <v>5558.43</v>
      </c>
      <c r="K927" s="83">
        <v>4234.994285714286</v>
      </c>
      <c r="L927" s="83">
        <v>4234.994285714286</v>
      </c>
      <c r="M927" s="84">
        <v>550</v>
      </c>
      <c r="N927" s="59">
        <f t="shared" si="14"/>
        <v>0.90105119611113216</v>
      </c>
      <c r="O927" s="85" t="s">
        <v>4461</v>
      </c>
      <c r="P927" s="86" t="s">
        <v>4464</v>
      </c>
      <c r="Q927" s="87" t="s">
        <v>3208</v>
      </c>
      <c r="R927" s="87">
        <v>1</v>
      </c>
      <c r="S927" s="88">
        <v>5558.43</v>
      </c>
      <c r="T927" s="88">
        <v>4234.994285714286</v>
      </c>
      <c r="U927" s="88">
        <v>550</v>
      </c>
      <c r="V927" s="87" t="s">
        <v>3067</v>
      </c>
      <c r="W927" s="87" t="s">
        <v>3102</v>
      </c>
      <c r="X927" s="90" t="s">
        <v>3479</v>
      </c>
      <c r="Y927" s="89"/>
      <c r="Z927" s="89">
        <v>1</v>
      </c>
      <c r="AA927" s="89"/>
      <c r="AB927" s="89"/>
    </row>
    <row r="928" spans="1:28" s="31" customFormat="1" ht="60" customHeight="1" x14ac:dyDescent="0.2">
      <c r="A928" s="76">
        <v>927</v>
      </c>
      <c r="B928" s="77">
        <v>50003913</v>
      </c>
      <c r="C928" s="78" t="s">
        <v>4415</v>
      </c>
      <c r="D928" s="79">
        <v>0.05</v>
      </c>
      <c r="E928" s="80">
        <v>30049099</v>
      </c>
      <c r="F928" s="81" t="s">
        <v>2320</v>
      </c>
      <c r="G928" s="82" t="s">
        <v>4416</v>
      </c>
      <c r="H928" s="82" t="s">
        <v>4314</v>
      </c>
      <c r="I928" s="79" t="s">
        <v>2917</v>
      </c>
      <c r="J928" s="83">
        <v>204.58</v>
      </c>
      <c r="K928" s="83">
        <v>155.87047619047618</v>
      </c>
      <c r="L928" s="83">
        <v>155.87047619047618</v>
      </c>
      <c r="M928" s="84">
        <v>55</v>
      </c>
      <c r="N928" s="59">
        <f t="shared" si="14"/>
        <v>0.73115651578844465</v>
      </c>
      <c r="O928" s="85" t="s">
        <v>4461</v>
      </c>
      <c r="P928" s="86" t="s">
        <v>4474</v>
      </c>
      <c r="Q928" s="87" t="s">
        <v>3207</v>
      </c>
      <c r="R928" s="87">
        <v>1</v>
      </c>
      <c r="S928" s="88">
        <v>204.58</v>
      </c>
      <c r="T928" s="88">
        <v>155.87047619047618</v>
      </c>
      <c r="U928" s="88">
        <v>55</v>
      </c>
      <c r="V928" s="87" t="s">
        <v>3067</v>
      </c>
      <c r="W928" s="87" t="s">
        <v>3102</v>
      </c>
      <c r="X928" s="90" t="s">
        <v>3479</v>
      </c>
      <c r="Y928" s="89"/>
      <c r="Z928" s="89">
        <v>1</v>
      </c>
      <c r="AA928" s="89"/>
      <c r="AB928" s="89"/>
    </row>
    <row r="929" spans="1:28" s="31" customFormat="1" ht="60" customHeight="1" x14ac:dyDescent="0.2">
      <c r="A929" s="76">
        <v>928</v>
      </c>
      <c r="B929" s="77">
        <v>50003914</v>
      </c>
      <c r="C929" s="78" t="s">
        <v>4417</v>
      </c>
      <c r="D929" s="79">
        <v>0.05</v>
      </c>
      <c r="E929" s="80">
        <v>30049099</v>
      </c>
      <c r="F929" s="81" t="s">
        <v>2321</v>
      </c>
      <c r="G929" s="82" t="s">
        <v>4418</v>
      </c>
      <c r="H929" s="82" t="s">
        <v>4419</v>
      </c>
      <c r="I929" s="79" t="s">
        <v>2920</v>
      </c>
      <c r="J929" s="83">
        <v>426.63</v>
      </c>
      <c r="K929" s="83">
        <v>325.05142857142857</v>
      </c>
      <c r="L929" s="83">
        <v>325.05142857142857</v>
      </c>
      <c r="M929" s="84">
        <v>71.500000000000014</v>
      </c>
      <c r="N929" s="59">
        <f t="shared" si="14"/>
        <v>0.8324074725171694</v>
      </c>
      <c r="O929" s="85" t="s">
        <v>4461</v>
      </c>
      <c r="P929" s="86" t="s">
        <v>4475</v>
      </c>
      <c r="Q929" s="87" t="s">
        <v>3207</v>
      </c>
      <c r="R929" s="87">
        <v>1</v>
      </c>
      <c r="S929" s="88">
        <v>426.63</v>
      </c>
      <c r="T929" s="88">
        <v>325.05142857142857</v>
      </c>
      <c r="U929" s="88">
        <v>71.500000000000014</v>
      </c>
      <c r="V929" s="87" t="s">
        <v>3067</v>
      </c>
      <c r="W929" s="87" t="s">
        <v>3102</v>
      </c>
      <c r="X929" s="90" t="s">
        <v>3479</v>
      </c>
      <c r="Y929" s="89"/>
      <c r="Z929" s="89">
        <v>1</v>
      </c>
      <c r="AA929" s="89"/>
      <c r="AB929" s="89"/>
    </row>
    <row r="930" spans="1:28" s="31" customFormat="1" ht="60" customHeight="1" x14ac:dyDescent="0.2">
      <c r="A930" s="76">
        <v>929</v>
      </c>
      <c r="B930" s="77">
        <v>50005141</v>
      </c>
      <c r="C930" s="78" t="s">
        <v>4420</v>
      </c>
      <c r="D930" s="79">
        <v>0.05</v>
      </c>
      <c r="E930" s="80">
        <v>30042097</v>
      </c>
      <c r="F930" s="81" t="s">
        <v>4421</v>
      </c>
      <c r="G930" s="82" t="s">
        <v>4422</v>
      </c>
      <c r="H930" s="82" t="s">
        <v>4423</v>
      </c>
      <c r="I930" s="79" t="s">
        <v>3085</v>
      </c>
      <c r="J930" s="83">
        <v>4412.7</v>
      </c>
      <c r="K930" s="83">
        <v>3362.0571428571429</v>
      </c>
      <c r="L930" s="83">
        <v>3362.0571428571429</v>
      </c>
      <c r="M930" s="84">
        <v>157.30000000000018</v>
      </c>
      <c r="N930" s="59">
        <f t="shared" si="14"/>
        <v>0.96435289052054296</v>
      </c>
      <c r="O930" s="85" t="s">
        <v>4461</v>
      </c>
      <c r="P930" s="86" t="s">
        <v>4468</v>
      </c>
      <c r="Q930" s="87" t="s">
        <v>3208</v>
      </c>
      <c r="R930" s="87">
        <v>1</v>
      </c>
      <c r="S930" s="88">
        <v>4412.7</v>
      </c>
      <c r="T930" s="88">
        <v>3362.0571428571429</v>
      </c>
      <c r="U930" s="88">
        <v>157.30000000000018</v>
      </c>
      <c r="V930" s="87" t="s">
        <v>3067</v>
      </c>
      <c r="W930" s="87" t="s">
        <v>3102</v>
      </c>
      <c r="X930" s="90" t="s">
        <v>3479</v>
      </c>
      <c r="Y930" s="89"/>
      <c r="Z930" s="89">
        <v>1</v>
      </c>
      <c r="AA930" s="89"/>
      <c r="AB930" s="89"/>
    </row>
    <row r="931" spans="1:28" s="31" customFormat="1" ht="60" customHeight="1" x14ac:dyDescent="0.2">
      <c r="A931" s="76">
        <v>930</v>
      </c>
      <c r="B931" s="77">
        <v>50005142</v>
      </c>
      <c r="C931" s="78" t="s">
        <v>4424</v>
      </c>
      <c r="D931" s="79">
        <v>0.05</v>
      </c>
      <c r="E931" s="80">
        <v>30042097</v>
      </c>
      <c r="F931" s="81" t="s">
        <v>4425</v>
      </c>
      <c r="G931" s="82" t="s">
        <v>4426</v>
      </c>
      <c r="H931" s="82" t="s">
        <v>4427</v>
      </c>
      <c r="I931" s="79" t="s">
        <v>3085</v>
      </c>
      <c r="J931" s="83">
        <v>5439.84</v>
      </c>
      <c r="K931" s="83">
        <v>4144.6400000000003</v>
      </c>
      <c r="L931" s="83">
        <v>4144.6400000000003</v>
      </c>
      <c r="M931" s="84">
        <v>264</v>
      </c>
      <c r="N931" s="59">
        <f t="shared" si="14"/>
        <v>0.9514691608576723</v>
      </c>
      <c r="O931" s="85" t="s">
        <v>4461</v>
      </c>
      <c r="P931" s="86" t="s">
        <v>4468</v>
      </c>
      <c r="Q931" s="87" t="s">
        <v>3208</v>
      </c>
      <c r="R931" s="87">
        <v>1</v>
      </c>
      <c r="S931" s="88">
        <v>5439.84</v>
      </c>
      <c r="T931" s="88">
        <v>4144.6400000000003</v>
      </c>
      <c r="U931" s="88">
        <v>264</v>
      </c>
      <c r="V931" s="87" t="s">
        <v>3067</v>
      </c>
      <c r="W931" s="87" t="s">
        <v>3102</v>
      </c>
      <c r="X931" s="90" t="s">
        <v>3479</v>
      </c>
      <c r="Y931" s="89"/>
      <c r="Z931" s="89">
        <v>1</v>
      </c>
      <c r="AA931" s="89"/>
      <c r="AB931" s="89"/>
    </row>
    <row r="932" spans="1:28" s="31" customFormat="1" ht="60" customHeight="1" x14ac:dyDescent="0.2">
      <c r="A932" s="76">
        <v>931</v>
      </c>
      <c r="B932" s="77">
        <v>50003950</v>
      </c>
      <c r="C932" s="78" t="s">
        <v>4428</v>
      </c>
      <c r="D932" s="79">
        <v>0.05</v>
      </c>
      <c r="E932" s="80">
        <v>30042019</v>
      </c>
      <c r="F932" s="81" t="s">
        <v>4429</v>
      </c>
      <c r="G932" s="82" t="s">
        <v>4430</v>
      </c>
      <c r="H932" s="82" t="s">
        <v>4431</v>
      </c>
      <c r="I932" s="79" t="s">
        <v>2744</v>
      </c>
      <c r="J932" s="83">
        <v>737.34</v>
      </c>
      <c r="K932" s="83">
        <v>561.7828571428571</v>
      </c>
      <c r="L932" s="83">
        <v>561.7828571428571</v>
      </c>
      <c r="M932" s="84">
        <v>41.799999999999976</v>
      </c>
      <c r="N932" s="59">
        <f t="shared" si="14"/>
        <v>0.94330973499335458</v>
      </c>
      <c r="O932" s="85" t="s">
        <v>4461</v>
      </c>
      <c r="P932" s="86" t="s">
        <v>2855</v>
      </c>
      <c r="Q932" s="87" t="s">
        <v>3208</v>
      </c>
      <c r="R932" s="87">
        <v>1</v>
      </c>
      <c r="S932" s="88">
        <v>737.34</v>
      </c>
      <c r="T932" s="88">
        <v>561.7828571428571</v>
      </c>
      <c r="U932" s="88">
        <v>41.799999999999976</v>
      </c>
      <c r="V932" s="87" t="s">
        <v>3067</v>
      </c>
      <c r="W932" s="87" t="s">
        <v>3102</v>
      </c>
      <c r="X932" s="90" t="s">
        <v>3479</v>
      </c>
      <c r="Y932" s="89"/>
      <c r="Z932" s="89">
        <v>1</v>
      </c>
      <c r="AA932" s="89" t="s">
        <v>3207</v>
      </c>
      <c r="AB932" s="89"/>
    </row>
    <row r="933" spans="1:28" s="31" customFormat="1" ht="60" customHeight="1" x14ac:dyDescent="0.2">
      <c r="A933" s="76">
        <v>932</v>
      </c>
      <c r="B933" s="77">
        <v>50003951</v>
      </c>
      <c r="C933" s="78" t="s">
        <v>4432</v>
      </c>
      <c r="D933" s="79">
        <v>0.05</v>
      </c>
      <c r="E933" s="80">
        <v>30042019</v>
      </c>
      <c r="F933" s="81" t="s">
        <v>4433</v>
      </c>
      <c r="G933" s="82" t="s">
        <v>4434</v>
      </c>
      <c r="H933" s="82" t="s">
        <v>4435</v>
      </c>
      <c r="I933" s="79" t="s">
        <v>4382</v>
      </c>
      <c r="J933" s="83">
        <v>910.89</v>
      </c>
      <c r="K933" s="83">
        <v>694.01142857142861</v>
      </c>
      <c r="L933" s="83">
        <v>694.01142857142861</v>
      </c>
      <c r="M933" s="84">
        <v>45.100000000000016</v>
      </c>
      <c r="N933" s="59">
        <f t="shared" si="14"/>
        <v>0.95048798427911163</v>
      </c>
      <c r="O933" s="85" t="s">
        <v>4461</v>
      </c>
      <c r="P933" s="86" t="s">
        <v>2855</v>
      </c>
      <c r="Q933" s="87" t="s">
        <v>3208</v>
      </c>
      <c r="R933" s="87">
        <v>1</v>
      </c>
      <c r="S933" s="88">
        <v>910.89</v>
      </c>
      <c r="T933" s="88">
        <v>694.01142857142861</v>
      </c>
      <c r="U933" s="88">
        <v>45.100000000000016</v>
      </c>
      <c r="V933" s="87" t="s">
        <v>3067</v>
      </c>
      <c r="W933" s="87" t="s">
        <v>3102</v>
      </c>
      <c r="X933" s="90" t="s">
        <v>3479</v>
      </c>
      <c r="Y933" s="89"/>
      <c r="Z933" s="89">
        <v>1</v>
      </c>
      <c r="AA933" s="89" t="s">
        <v>3207</v>
      </c>
      <c r="AB933" s="89"/>
    </row>
    <row r="934" spans="1:28" s="31" customFormat="1" ht="60" customHeight="1" x14ac:dyDescent="0.2">
      <c r="A934" s="76">
        <v>933</v>
      </c>
      <c r="B934" s="77">
        <v>50003952</v>
      </c>
      <c r="C934" s="78" t="s">
        <v>4436</v>
      </c>
      <c r="D934" s="79">
        <v>0.05</v>
      </c>
      <c r="E934" s="80">
        <v>30042019</v>
      </c>
      <c r="F934" s="81" t="s">
        <v>4437</v>
      </c>
      <c r="G934" s="82" t="s">
        <v>4438</v>
      </c>
      <c r="H934" s="82" t="s">
        <v>4439</v>
      </c>
      <c r="I934" s="79" t="s">
        <v>2918</v>
      </c>
      <c r="J934" s="83">
        <v>1304.53</v>
      </c>
      <c r="K934" s="83">
        <v>993.92761904761903</v>
      </c>
      <c r="L934" s="83">
        <v>993.92761904761903</v>
      </c>
      <c r="M934" s="84">
        <v>77</v>
      </c>
      <c r="N934" s="59">
        <f t="shared" si="14"/>
        <v>0.94097491050416626</v>
      </c>
      <c r="O934" s="85" t="s">
        <v>4461</v>
      </c>
      <c r="P934" s="86" t="s">
        <v>2855</v>
      </c>
      <c r="Q934" s="87" t="s">
        <v>3208</v>
      </c>
      <c r="R934" s="87">
        <v>1</v>
      </c>
      <c r="S934" s="88">
        <v>1304.53</v>
      </c>
      <c r="T934" s="88">
        <v>993.92761904761903</v>
      </c>
      <c r="U934" s="88">
        <v>77</v>
      </c>
      <c r="V934" s="87" t="s">
        <v>3067</v>
      </c>
      <c r="W934" s="87" t="s">
        <v>3102</v>
      </c>
      <c r="X934" s="90" t="s">
        <v>3479</v>
      </c>
      <c r="Y934" s="89"/>
      <c r="Z934" s="89">
        <v>1</v>
      </c>
      <c r="AA934" s="89" t="s">
        <v>3207</v>
      </c>
      <c r="AB934" s="89"/>
    </row>
    <row r="935" spans="1:28" s="31" customFormat="1" ht="60" customHeight="1" x14ac:dyDescent="0.2">
      <c r="A935" s="76">
        <v>934</v>
      </c>
      <c r="B935" s="77">
        <v>50003976</v>
      </c>
      <c r="C935" s="78" t="s">
        <v>4440</v>
      </c>
      <c r="D935" s="79">
        <v>0.05</v>
      </c>
      <c r="E935" s="80">
        <v>30042019</v>
      </c>
      <c r="F935" s="81" t="s">
        <v>4441</v>
      </c>
      <c r="G935" s="82" t="s">
        <v>4442</v>
      </c>
      <c r="H935" s="82" t="s">
        <v>4443</v>
      </c>
      <c r="I935" s="79" t="s">
        <v>2921</v>
      </c>
      <c r="J935" s="83">
        <v>1553.51</v>
      </c>
      <c r="K935" s="83">
        <v>1183.6266666666666</v>
      </c>
      <c r="L935" s="83">
        <v>1183.6266666666666</v>
      </c>
      <c r="M935" s="84">
        <v>104.50000000000001</v>
      </c>
      <c r="N935" s="59">
        <f t="shared" si="14"/>
        <v>0.93273297243017428</v>
      </c>
      <c r="O935" s="85" t="s">
        <v>4461</v>
      </c>
      <c r="P935" s="86" t="s">
        <v>2855</v>
      </c>
      <c r="Q935" s="87" t="s">
        <v>3208</v>
      </c>
      <c r="R935" s="87">
        <v>1</v>
      </c>
      <c r="S935" s="88">
        <v>1553.51</v>
      </c>
      <c r="T935" s="88">
        <v>1183.6266666666666</v>
      </c>
      <c r="U935" s="88">
        <v>104.50000000000001</v>
      </c>
      <c r="V935" s="87" t="s">
        <v>3067</v>
      </c>
      <c r="W935" s="87" t="s">
        <v>3102</v>
      </c>
      <c r="X935" s="90" t="s">
        <v>3479</v>
      </c>
      <c r="Y935" s="89"/>
      <c r="Z935" s="89">
        <v>1</v>
      </c>
      <c r="AA935" s="89" t="s">
        <v>3207</v>
      </c>
      <c r="AB935" s="89"/>
    </row>
    <row r="936" spans="1:28" s="31" customFormat="1" ht="60" customHeight="1" x14ac:dyDescent="0.2">
      <c r="A936" s="76">
        <v>935</v>
      </c>
      <c r="B936" s="77">
        <v>50003946</v>
      </c>
      <c r="C936" s="78" t="s">
        <v>4444</v>
      </c>
      <c r="D936" s="79">
        <v>0.05</v>
      </c>
      <c r="E936" s="80">
        <v>30049069</v>
      </c>
      <c r="F936" s="81" t="s">
        <v>4445</v>
      </c>
      <c r="G936" s="82" t="s">
        <v>4446</v>
      </c>
      <c r="H936" s="82" t="s">
        <v>607</v>
      </c>
      <c r="I936" s="79" t="s">
        <v>2682</v>
      </c>
      <c r="J936" s="83">
        <v>311.94</v>
      </c>
      <c r="K936" s="83">
        <v>237.66857142857143</v>
      </c>
      <c r="L936" s="83">
        <v>237.66857142857143</v>
      </c>
      <c r="M936" s="84">
        <v>25.300000000000015</v>
      </c>
      <c r="N936" s="59">
        <f t="shared" si="14"/>
        <v>0.91889465922933888</v>
      </c>
      <c r="O936" s="85" t="s">
        <v>4461</v>
      </c>
      <c r="P936" s="86" t="s">
        <v>48</v>
      </c>
      <c r="Q936" s="87" t="s">
        <v>3208</v>
      </c>
      <c r="R936" s="87">
        <v>1</v>
      </c>
      <c r="S936" s="88">
        <v>311.94</v>
      </c>
      <c r="T936" s="88">
        <v>237.66857142857143</v>
      </c>
      <c r="U936" s="88">
        <v>25.300000000000015</v>
      </c>
      <c r="V936" s="87" t="s">
        <v>3067</v>
      </c>
      <c r="W936" s="87" t="s">
        <v>3106</v>
      </c>
      <c r="X936" s="90" t="s">
        <v>3479</v>
      </c>
      <c r="Y936" s="89"/>
      <c r="Z936" s="89">
        <v>1</v>
      </c>
      <c r="AA936" s="89"/>
      <c r="AB936" s="89"/>
    </row>
    <row r="937" spans="1:28" s="31" customFormat="1" ht="60" customHeight="1" x14ac:dyDescent="0.2">
      <c r="A937" s="76">
        <v>936</v>
      </c>
      <c r="B937" s="77">
        <v>50003932</v>
      </c>
      <c r="C937" s="78" t="s">
        <v>4447</v>
      </c>
      <c r="D937" s="79">
        <v>0.05</v>
      </c>
      <c r="E937" s="80">
        <v>30042049</v>
      </c>
      <c r="F937" s="81" t="s">
        <v>4448</v>
      </c>
      <c r="G937" s="82" t="s">
        <v>4449</v>
      </c>
      <c r="H937" s="82" t="s">
        <v>158</v>
      </c>
      <c r="I937" s="79" t="s">
        <v>158</v>
      </c>
      <c r="J937" s="83">
        <v>5501.71</v>
      </c>
      <c r="K937" s="83">
        <v>4191.7790476190476</v>
      </c>
      <c r="L937" s="83">
        <v>4191.7790476190476</v>
      </c>
      <c r="M937" s="84">
        <v>264</v>
      </c>
      <c r="N937" s="59">
        <f t="shared" si="14"/>
        <v>0.95201491899791157</v>
      </c>
      <c r="O937" s="85" t="s">
        <v>4461</v>
      </c>
      <c r="P937" s="86" t="s">
        <v>4670</v>
      </c>
      <c r="Q937" s="87" t="s">
        <v>3208</v>
      </c>
      <c r="R937" s="87">
        <v>1</v>
      </c>
      <c r="S937" s="88">
        <v>5501.71</v>
      </c>
      <c r="T937" s="88">
        <v>4191.7790476190476</v>
      </c>
      <c r="U937" s="88">
        <v>264</v>
      </c>
      <c r="V937" s="87" t="s">
        <v>3067</v>
      </c>
      <c r="W937" s="87" t="s">
        <v>3102</v>
      </c>
      <c r="X937" s="90" t="s">
        <v>3479</v>
      </c>
      <c r="Y937" s="89"/>
      <c r="Z937" s="89">
        <v>1</v>
      </c>
      <c r="AA937" s="89"/>
      <c r="AB937" s="89"/>
    </row>
    <row r="938" spans="1:28" s="31" customFormat="1" ht="60" customHeight="1" x14ac:dyDescent="0.2">
      <c r="A938" s="76">
        <v>937</v>
      </c>
      <c r="B938" s="77">
        <v>50005277</v>
      </c>
      <c r="C938" s="78" t="s">
        <v>4450</v>
      </c>
      <c r="D938" s="79">
        <v>0.05</v>
      </c>
      <c r="E938" s="80">
        <v>30042049</v>
      </c>
      <c r="F938" s="81" t="s">
        <v>4451</v>
      </c>
      <c r="G938" s="82" t="s">
        <v>4452</v>
      </c>
      <c r="H938" s="82" t="s">
        <v>2548</v>
      </c>
      <c r="I938" s="79" t="s">
        <v>3085</v>
      </c>
      <c r="J938" s="83">
        <v>4298.43</v>
      </c>
      <c r="K938" s="83">
        <v>3274.994285714286</v>
      </c>
      <c r="L938" s="83">
        <v>3274.994285714286</v>
      </c>
      <c r="M938" s="84">
        <v>412.49999999999989</v>
      </c>
      <c r="N938" s="59">
        <f t="shared" si="14"/>
        <v>0.90403472895917814</v>
      </c>
      <c r="O938" s="85" t="s">
        <v>4461</v>
      </c>
      <c r="P938" s="86" t="s">
        <v>4467</v>
      </c>
      <c r="Q938" s="87" t="s">
        <v>3208</v>
      </c>
      <c r="R938" s="87">
        <v>1</v>
      </c>
      <c r="S938" s="88">
        <v>4298.43</v>
      </c>
      <c r="T938" s="88">
        <v>3274.994285714286</v>
      </c>
      <c r="U938" s="88">
        <v>412.49999999999989</v>
      </c>
      <c r="V938" s="87" t="s">
        <v>3067</v>
      </c>
      <c r="W938" s="87" t="s">
        <v>3102</v>
      </c>
      <c r="X938" s="90" t="s">
        <v>3610</v>
      </c>
      <c r="Y938" s="89"/>
      <c r="Z938" s="89"/>
      <c r="AA938" s="89"/>
      <c r="AB938" s="89"/>
    </row>
    <row r="939" spans="1:28" s="31" customFormat="1" ht="60" customHeight="1" x14ac:dyDescent="0.2">
      <c r="A939" s="76">
        <v>938</v>
      </c>
      <c r="B939" s="77">
        <v>50003933</v>
      </c>
      <c r="C939" s="78" t="s">
        <v>4453</v>
      </c>
      <c r="D939" s="79">
        <v>0.05</v>
      </c>
      <c r="E939" s="80">
        <v>30042096</v>
      </c>
      <c r="F939" s="81" t="s">
        <v>4454</v>
      </c>
      <c r="G939" s="82" t="s">
        <v>4455</v>
      </c>
      <c r="H939" s="82" t="s">
        <v>72</v>
      </c>
      <c r="I939" s="79" t="s">
        <v>72</v>
      </c>
      <c r="J939" s="83">
        <v>339.28</v>
      </c>
      <c r="K939" s="83">
        <v>258.49904761904764</v>
      </c>
      <c r="L939" s="83">
        <v>258.49904761904764</v>
      </c>
      <c r="M939" s="84">
        <v>72.600000000000023</v>
      </c>
      <c r="N939" s="59">
        <f t="shared" si="14"/>
        <v>0.78601744871492563</v>
      </c>
      <c r="O939" s="85" t="s">
        <v>4461</v>
      </c>
      <c r="P939" s="86" t="s">
        <v>2855</v>
      </c>
      <c r="Q939" s="87" t="s">
        <v>3207</v>
      </c>
      <c r="R939" s="87">
        <v>1</v>
      </c>
      <c r="S939" s="88">
        <v>339.28</v>
      </c>
      <c r="T939" s="88">
        <v>258.49904761904764</v>
      </c>
      <c r="U939" s="88">
        <v>72.600000000000023</v>
      </c>
      <c r="V939" s="87" t="s">
        <v>3067</v>
      </c>
      <c r="W939" s="87" t="s">
        <v>3102</v>
      </c>
      <c r="X939" s="90" t="s">
        <v>3479</v>
      </c>
      <c r="Y939" s="89"/>
      <c r="Z939" s="89">
        <v>1</v>
      </c>
      <c r="AA939" s="89"/>
      <c r="AB939" s="89"/>
    </row>
    <row r="940" spans="1:28" s="31" customFormat="1" ht="60" customHeight="1" x14ac:dyDescent="0.2">
      <c r="A940" s="76">
        <v>939</v>
      </c>
      <c r="B940" s="77">
        <v>50003926</v>
      </c>
      <c r="C940" s="78" t="s">
        <v>4456</v>
      </c>
      <c r="D940" s="79">
        <v>0.05</v>
      </c>
      <c r="E940" s="80">
        <v>30049099</v>
      </c>
      <c r="F940" s="81" t="s">
        <v>4457</v>
      </c>
      <c r="G940" s="82" t="s">
        <v>4458</v>
      </c>
      <c r="H940" s="82" t="s">
        <v>4459</v>
      </c>
      <c r="I940" s="79" t="s">
        <v>4460</v>
      </c>
      <c r="J940" s="83">
        <v>12476.98</v>
      </c>
      <c r="K940" s="83">
        <v>9506.270476190477</v>
      </c>
      <c r="L940" s="83">
        <v>9506.270476190477</v>
      </c>
      <c r="M940" s="84">
        <v>742.49999999999966</v>
      </c>
      <c r="N940" s="59">
        <f t="shared" si="14"/>
        <v>0.94049040713377752</v>
      </c>
      <c r="O940" s="85" t="s">
        <v>4461</v>
      </c>
      <c r="P940" s="86" t="s">
        <v>4476</v>
      </c>
      <c r="Q940" s="87" t="s">
        <v>3208</v>
      </c>
      <c r="R940" s="87">
        <v>1</v>
      </c>
      <c r="S940" s="88">
        <v>12476.98</v>
      </c>
      <c r="T940" s="88">
        <v>9506.270476190477</v>
      </c>
      <c r="U940" s="88">
        <v>742.49999999999966</v>
      </c>
      <c r="V940" s="87" t="s">
        <v>3067</v>
      </c>
      <c r="W940" s="87" t="s">
        <v>3100</v>
      </c>
      <c r="X940" s="90" t="s">
        <v>3479</v>
      </c>
      <c r="Y940" s="89"/>
      <c r="Z940" s="89">
        <v>1</v>
      </c>
      <c r="AA940" s="89"/>
      <c r="AB940" s="89"/>
    </row>
    <row r="941" spans="1:28" s="31" customFormat="1" ht="60" customHeight="1" x14ac:dyDescent="0.2">
      <c r="A941" s="76">
        <v>940</v>
      </c>
      <c r="B941" s="77">
        <v>50004002</v>
      </c>
      <c r="C941" s="78" t="s">
        <v>2324</v>
      </c>
      <c r="D941" s="79">
        <v>0.05</v>
      </c>
      <c r="E941" s="80">
        <v>30045036</v>
      </c>
      <c r="F941" s="81" t="s">
        <v>2325</v>
      </c>
      <c r="G941" s="82" t="s">
        <v>2326</v>
      </c>
      <c r="H941" s="82" t="s">
        <v>3676</v>
      </c>
      <c r="I941" s="79" t="s">
        <v>2693</v>
      </c>
      <c r="J941" s="83">
        <v>112.4</v>
      </c>
      <c r="K941" s="83">
        <v>85.638095238095246</v>
      </c>
      <c r="L941" s="83">
        <v>85.638095238095246</v>
      </c>
      <c r="M941" s="84">
        <v>85.638095238095246</v>
      </c>
      <c r="N941" s="59">
        <f t="shared" si="14"/>
        <v>0.23809523809523805</v>
      </c>
      <c r="O941" s="85" t="s">
        <v>2327</v>
      </c>
      <c r="P941" s="86" t="s">
        <v>81</v>
      </c>
      <c r="Q941" s="87" t="s">
        <v>3208</v>
      </c>
      <c r="R941" s="87">
        <v>10</v>
      </c>
      <c r="S941" s="88">
        <v>11.24</v>
      </c>
      <c r="T941" s="88">
        <v>8.5638095238095246</v>
      </c>
      <c r="U941" s="88">
        <v>8.5638095238095246</v>
      </c>
      <c r="V941" s="87" t="s">
        <v>3061</v>
      </c>
      <c r="W941" s="87" t="s">
        <v>3106</v>
      </c>
      <c r="X941" s="90" t="s">
        <v>3478</v>
      </c>
      <c r="Y941" s="89"/>
      <c r="Z941" s="89">
        <v>10</v>
      </c>
      <c r="AA941" s="89"/>
      <c r="AB941" s="89"/>
    </row>
    <row r="942" spans="1:28" s="31" customFormat="1" ht="60" customHeight="1" x14ac:dyDescent="0.2">
      <c r="A942" s="76">
        <v>941</v>
      </c>
      <c r="B942" s="77">
        <v>50004003</v>
      </c>
      <c r="C942" s="78" t="s">
        <v>2328</v>
      </c>
      <c r="D942" s="79">
        <v>0.05</v>
      </c>
      <c r="E942" s="80">
        <v>30045036</v>
      </c>
      <c r="F942" s="81" t="s">
        <v>2329</v>
      </c>
      <c r="G942" s="82" t="s">
        <v>2330</v>
      </c>
      <c r="H942" s="82" t="s">
        <v>3677</v>
      </c>
      <c r="I942" s="79" t="s">
        <v>2693</v>
      </c>
      <c r="J942" s="83">
        <v>118.53</v>
      </c>
      <c r="K942" s="83">
        <v>90.308571428571426</v>
      </c>
      <c r="L942" s="83">
        <v>90.308571428571426</v>
      </c>
      <c r="M942" s="84">
        <v>90.308571428571426</v>
      </c>
      <c r="N942" s="59">
        <f t="shared" si="14"/>
        <v>0.23809523809523814</v>
      </c>
      <c r="O942" s="85" t="s">
        <v>2327</v>
      </c>
      <c r="P942" s="86" t="s">
        <v>2681</v>
      </c>
      <c r="Q942" s="87" t="s">
        <v>3208</v>
      </c>
      <c r="R942" s="87">
        <v>10</v>
      </c>
      <c r="S942" s="88">
        <v>11.853</v>
      </c>
      <c r="T942" s="88">
        <v>9.0308571428571423</v>
      </c>
      <c r="U942" s="88">
        <v>9.0308571428571423</v>
      </c>
      <c r="V942" s="87" t="s">
        <v>3061</v>
      </c>
      <c r="W942" s="87" t="s">
        <v>3106</v>
      </c>
      <c r="X942" s="90" t="s">
        <v>3478</v>
      </c>
      <c r="Y942" s="89"/>
      <c r="Z942" s="89">
        <v>10</v>
      </c>
      <c r="AA942" s="89"/>
      <c r="AB942" s="89"/>
    </row>
    <row r="943" spans="1:28" s="31" customFormat="1" ht="60" customHeight="1" x14ac:dyDescent="0.2">
      <c r="A943" s="76">
        <v>942</v>
      </c>
      <c r="B943" s="77">
        <v>50004004</v>
      </c>
      <c r="C943" s="78" t="s">
        <v>2331</v>
      </c>
      <c r="D943" s="79">
        <v>0.05</v>
      </c>
      <c r="E943" s="80">
        <v>30045036</v>
      </c>
      <c r="F943" s="81" t="s">
        <v>2332</v>
      </c>
      <c r="G943" s="82" t="s">
        <v>2333</v>
      </c>
      <c r="H943" s="82" t="s">
        <v>3678</v>
      </c>
      <c r="I943" s="79" t="s">
        <v>2693</v>
      </c>
      <c r="J943" s="83">
        <v>326.89</v>
      </c>
      <c r="K943" s="83">
        <v>249.05904761904762</v>
      </c>
      <c r="L943" s="83">
        <v>249.05904761904762</v>
      </c>
      <c r="M943" s="84">
        <v>249.05904761904767</v>
      </c>
      <c r="N943" s="59">
        <f t="shared" si="14"/>
        <v>0.23809523809523789</v>
      </c>
      <c r="O943" s="85" t="s">
        <v>2327</v>
      </c>
      <c r="P943" s="86" t="s">
        <v>2681</v>
      </c>
      <c r="Q943" s="87" t="s">
        <v>3208</v>
      </c>
      <c r="R943" s="87">
        <v>10</v>
      </c>
      <c r="S943" s="88">
        <v>32.689</v>
      </c>
      <c r="T943" s="88">
        <v>24.905904761904761</v>
      </c>
      <c r="U943" s="88">
        <v>24.905904761904768</v>
      </c>
      <c r="V943" s="87" t="s">
        <v>3061</v>
      </c>
      <c r="W943" s="87" t="s">
        <v>3106</v>
      </c>
      <c r="X943" s="90" t="s">
        <v>3478</v>
      </c>
      <c r="Y943" s="89"/>
      <c r="Z943" s="89">
        <v>3</v>
      </c>
      <c r="AA943" s="89"/>
      <c r="AB943" s="89"/>
    </row>
    <row r="944" spans="1:28" s="31" customFormat="1" ht="60" customHeight="1" x14ac:dyDescent="0.2">
      <c r="A944" s="76">
        <v>943</v>
      </c>
      <c r="B944" s="77">
        <v>50006052</v>
      </c>
      <c r="C944" s="78" t="s">
        <v>4683</v>
      </c>
      <c r="D944" s="79">
        <v>0.05</v>
      </c>
      <c r="E944" s="80">
        <v>30045039</v>
      </c>
      <c r="F944" s="81" t="s">
        <v>4684</v>
      </c>
      <c r="G944" s="82" t="s">
        <v>4708</v>
      </c>
      <c r="H944" s="82" t="s">
        <v>4709</v>
      </c>
      <c r="I944" s="79" t="s">
        <v>2693</v>
      </c>
      <c r="J944" s="83">
        <v>150</v>
      </c>
      <c r="K944" s="83">
        <v>114.28571428571429</v>
      </c>
      <c r="L944" s="83">
        <v>114.28571428571429</v>
      </c>
      <c r="M944" s="84">
        <v>114.28571428571429</v>
      </c>
      <c r="N944" s="59">
        <f t="shared" si="14"/>
        <v>0.23809523809523805</v>
      </c>
      <c r="O944" s="85" t="s">
        <v>2327</v>
      </c>
      <c r="P944" s="86" t="s">
        <v>48</v>
      </c>
      <c r="Q944" s="87" t="s">
        <v>3208</v>
      </c>
      <c r="R944" s="87">
        <v>10</v>
      </c>
      <c r="S944" s="88">
        <v>15</v>
      </c>
      <c r="T944" s="88">
        <v>11.428571428571429</v>
      </c>
      <c r="U944" s="88">
        <v>11.428571428571429</v>
      </c>
      <c r="V944" s="87" t="s">
        <v>3061</v>
      </c>
      <c r="W944" s="87" t="s">
        <v>3106</v>
      </c>
      <c r="X944" s="90" t="s">
        <v>3478</v>
      </c>
      <c r="Y944" s="89"/>
      <c r="Z944" s="89"/>
      <c r="AA944" s="89"/>
      <c r="AB944" s="89"/>
    </row>
    <row r="945" spans="1:28" s="31" customFormat="1" ht="60" customHeight="1" x14ac:dyDescent="0.2">
      <c r="A945" s="76">
        <v>944</v>
      </c>
      <c r="B945" s="77">
        <v>50004017</v>
      </c>
      <c r="C945" s="78" t="s">
        <v>2334</v>
      </c>
      <c r="D945" s="79">
        <v>0.05</v>
      </c>
      <c r="E945" s="80">
        <v>30049099</v>
      </c>
      <c r="F945" s="81" t="s">
        <v>2335</v>
      </c>
      <c r="G945" s="82" t="s">
        <v>2336</v>
      </c>
      <c r="H945" s="82" t="s">
        <v>3679</v>
      </c>
      <c r="I945" s="79" t="s">
        <v>2666</v>
      </c>
      <c r="J945" s="83">
        <v>700.59</v>
      </c>
      <c r="K945" s="83">
        <v>533.7828571428571</v>
      </c>
      <c r="L945" s="83">
        <v>533.7828571428571</v>
      </c>
      <c r="M945" s="84">
        <v>533.7828571428571</v>
      </c>
      <c r="N945" s="59">
        <f t="shared" si="14"/>
        <v>0.23809523809523819</v>
      </c>
      <c r="O945" s="85" t="s">
        <v>2327</v>
      </c>
      <c r="P945" s="86" t="s">
        <v>2922</v>
      </c>
      <c r="Q945" s="87" t="s">
        <v>3208</v>
      </c>
      <c r="R945" s="87">
        <v>10</v>
      </c>
      <c r="S945" s="88">
        <v>70.058999999999997</v>
      </c>
      <c r="T945" s="88">
        <v>53.37828571428571</v>
      </c>
      <c r="U945" s="88">
        <v>53.37828571428571</v>
      </c>
      <c r="V945" s="87" t="s">
        <v>3061</v>
      </c>
      <c r="W945" s="87" t="s">
        <v>3121</v>
      </c>
      <c r="X945" s="90" t="s">
        <v>3477</v>
      </c>
      <c r="Y945" s="89"/>
      <c r="Z945" s="89">
        <v>3</v>
      </c>
      <c r="AA945" s="89"/>
      <c r="AB945" s="89"/>
    </row>
    <row r="946" spans="1:28" s="31" customFormat="1" ht="60" customHeight="1" x14ac:dyDescent="0.2">
      <c r="A946" s="76">
        <v>945</v>
      </c>
      <c r="B946" s="77">
        <v>50004018</v>
      </c>
      <c r="C946" s="78" t="s">
        <v>2337</v>
      </c>
      <c r="D946" s="79">
        <v>0.05</v>
      </c>
      <c r="E946" s="80">
        <v>30049099</v>
      </c>
      <c r="F946" s="81" t="s">
        <v>2338</v>
      </c>
      <c r="G946" s="82" t="s">
        <v>2339</v>
      </c>
      <c r="H946" s="82" t="s">
        <v>3680</v>
      </c>
      <c r="I946" s="79" t="s">
        <v>2666</v>
      </c>
      <c r="J946" s="83">
        <v>1570.96</v>
      </c>
      <c r="K946" s="83">
        <v>1196.9219047619049</v>
      </c>
      <c r="L946" s="83">
        <v>1196.9219047619049</v>
      </c>
      <c r="M946" s="84">
        <v>1196.9219047619049</v>
      </c>
      <c r="N946" s="59">
        <f t="shared" si="14"/>
        <v>0.23809523809523803</v>
      </c>
      <c r="O946" s="85" t="s">
        <v>2327</v>
      </c>
      <c r="P946" s="86" t="s">
        <v>81</v>
      </c>
      <c r="Q946" s="87" t="s">
        <v>3208</v>
      </c>
      <c r="R946" s="87">
        <v>10</v>
      </c>
      <c r="S946" s="88">
        <v>157.096</v>
      </c>
      <c r="T946" s="88">
        <v>119.69219047619049</v>
      </c>
      <c r="U946" s="88">
        <v>119.69219047619049</v>
      </c>
      <c r="V946" s="87" t="s">
        <v>3061</v>
      </c>
      <c r="W946" s="87" t="s">
        <v>3121</v>
      </c>
      <c r="X946" s="90" t="s">
        <v>3477</v>
      </c>
      <c r="Y946" s="89"/>
      <c r="Z946" s="89">
        <v>3</v>
      </c>
      <c r="AA946" s="89"/>
      <c r="AB946" s="89"/>
    </row>
    <row r="947" spans="1:28" s="31" customFormat="1" ht="60" customHeight="1" x14ac:dyDescent="0.2">
      <c r="A947" s="76">
        <v>946</v>
      </c>
      <c r="B947" s="77">
        <v>50003998</v>
      </c>
      <c r="C947" s="78" t="s">
        <v>2342</v>
      </c>
      <c r="D947" s="79">
        <v>0.05</v>
      </c>
      <c r="E947" s="80">
        <v>30049099</v>
      </c>
      <c r="F947" s="81" t="s">
        <v>2343</v>
      </c>
      <c r="G947" s="82" t="s">
        <v>2344</v>
      </c>
      <c r="H947" s="82" t="s">
        <v>2744</v>
      </c>
      <c r="I947" s="79" t="s">
        <v>2923</v>
      </c>
      <c r="J947" s="83">
        <v>6050</v>
      </c>
      <c r="K947" s="83">
        <v>4609.5238095238092</v>
      </c>
      <c r="L947" s="83">
        <v>4609.5238095238092</v>
      </c>
      <c r="M947" s="84">
        <v>4609.5238095238092</v>
      </c>
      <c r="N947" s="59">
        <f t="shared" si="14"/>
        <v>0.23809523809523817</v>
      </c>
      <c r="O947" s="85" t="s">
        <v>2327</v>
      </c>
      <c r="P947" s="86" t="s">
        <v>95</v>
      </c>
      <c r="Q947" s="87" t="s">
        <v>3208</v>
      </c>
      <c r="R947" s="87">
        <v>1</v>
      </c>
      <c r="S947" s="88">
        <v>6050</v>
      </c>
      <c r="T947" s="88">
        <v>4609.5238095238092</v>
      </c>
      <c r="U947" s="88">
        <v>4609.5238095238092</v>
      </c>
      <c r="V947" s="87" t="s">
        <v>3062</v>
      </c>
      <c r="W947" s="87" t="s">
        <v>3121</v>
      </c>
      <c r="X947" s="90" t="s">
        <v>3484</v>
      </c>
      <c r="Y947" s="89"/>
      <c r="Z947" s="89">
        <v>1</v>
      </c>
      <c r="AA947" s="89" t="s">
        <v>3207</v>
      </c>
      <c r="AB947" s="89"/>
    </row>
    <row r="948" spans="1:28" s="31" customFormat="1" ht="60" customHeight="1" x14ac:dyDescent="0.2">
      <c r="A948" s="76">
        <v>947</v>
      </c>
      <c r="B948" s="77">
        <v>50003999</v>
      </c>
      <c r="C948" s="78" t="s">
        <v>2345</v>
      </c>
      <c r="D948" s="79">
        <v>0.05</v>
      </c>
      <c r="E948" s="80">
        <v>30049099</v>
      </c>
      <c r="F948" s="81" t="s">
        <v>2346</v>
      </c>
      <c r="G948" s="82" t="s">
        <v>2347</v>
      </c>
      <c r="H948" s="82" t="s">
        <v>3681</v>
      </c>
      <c r="I948" s="79" t="s">
        <v>2693</v>
      </c>
      <c r="J948" s="83">
        <v>344.03</v>
      </c>
      <c r="K948" s="83">
        <v>262.11809523809524</v>
      </c>
      <c r="L948" s="83">
        <v>262.11809523809524</v>
      </c>
      <c r="M948" s="84">
        <v>262.11809523809518</v>
      </c>
      <c r="N948" s="59">
        <f t="shared" si="14"/>
        <v>0.23809523809523819</v>
      </c>
      <c r="O948" s="85" t="s">
        <v>2327</v>
      </c>
      <c r="P948" s="86" t="s">
        <v>2922</v>
      </c>
      <c r="Q948" s="87" t="s">
        <v>3207</v>
      </c>
      <c r="R948" s="87">
        <v>10</v>
      </c>
      <c r="S948" s="88">
        <v>34.402999999999999</v>
      </c>
      <c r="T948" s="88">
        <v>26.211809523809524</v>
      </c>
      <c r="U948" s="88">
        <v>26.211809523809517</v>
      </c>
      <c r="V948" s="87" t="s">
        <v>3061</v>
      </c>
      <c r="W948" s="87" t="s">
        <v>3121</v>
      </c>
      <c r="X948" s="90" t="s">
        <v>3478</v>
      </c>
      <c r="Y948" s="89"/>
      <c r="Z948" s="89">
        <v>6</v>
      </c>
      <c r="AA948" s="89" t="s">
        <v>3207</v>
      </c>
      <c r="AB948" s="89"/>
    </row>
    <row r="949" spans="1:28" s="31" customFormat="1" ht="60" customHeight="1" x14ac:dyDescent="0.2">
      <c r="A949" s="76">
        <v>948</v>
      </c>
      <c r="B949" s="77">
        <v>50004000</v>
      </c>
      <c r="C949" s="78" t="s">
        <v>2348</v>
      </c>
      <c r="D949" s="79">
        <v>0.05</v>
      </c>
      <c r="E949" s="80">
        <v>30049099</v>
      </c>
      <c r="F949" s="81" t="s">
        <v>2349</v>
      </c>
      <c r="G949" s="82" t="s">
        <v>2350</v>
      </c>
      <c r="H949" s="82" t="s">
        <v>3682</v>
      </c>
      <c r="I949" s="79" t="s">
        <v>2666</v>
      </c>
      <c r="J949" s="83">
        <v>688.06</v>
      </c>
      <c r="K949" s="83">
        <v>524.23619047619047</v>
      </c>
      <c r="L949" s="83">
        <v>524.23619047619047</v>
      </c>
      <c r="M949" s="84">
        <v>524.23619047619036</v>
      </c>
      <c r="N949" s="59">
        <f t="shared" si="14"/>
        <v>0.23809523809523819</v>
      </c>
      <c r="O949" s="85" t="s">
        <v>2327</v>
      </c>
      <c r="P949" s="86" t="s">
        <v>2922</v>
      </c>
      <c r="Q949" s="87" t="s">
        <v>3207</v>
      </c>
      <c r="R949" s="87">
        <v>10</v>
      </c>
      <c r="S949" s="88">
        <v>68.805999999999997</v>
      </c>
      <c r="T949" s="88">
        <v>52.423619047619049</v>
      </c>
      <c r="U949" s="88">
        <v>52.423619047619034</v>
      </c>
      <c r="V949" s="87" t="s">
        <v>3061</v>
      </c>
      <c r="W949" s="87" t="s">
        <v>3121</v>
      </c>
      <c r="X949" s="90" t="s">
        <v>3477</v>
      </c>
      <c r="Y949" s="89"/>
      <c r="Z949" s="89">
        <v>6</v>
      </c>
      <c r="AA949" s="89" t="s">
        <v>3207</v>
      </c>
      <c r="AB949" s="89"/>
    </row>
    <row r="950" spans="1:28" s="31" customFormat="1" ht="60" customHeight="1" x14ac:dyDescent="0.2">
      <c r="A950" s="76">
        <v>949</v>
      </c>
      <c r="B950" s="77">
        <v>50004035</v>
      </c>
      <c r="C950" s="78" t="s">
        <v>2351</v>
      </c>
      <c r="D950" s="79">
        <v>0.05</v>
      </c>
      <c r="E950" s="80">
        <v>30049099</v>
      </c>
      <c r="F950" s="81" t="s">
        <v>2352</v>
      </c>
      <c r="G950" s="82" t="s">
        <v>2353</v>
      </c>
      <c r="H950" s="82" t="s">
        <v>3683</v>
      </c>
      <c r="I950" s="79" t="s">
        <v>2666</v>
      </c>
      <c r="J950" s="83">
        <v>1207.5</v>
      </c>
      <c r="K950" s="83">
        <v>920</v>
      </c>
      <c r="L950" s="83">
        <v>920</v>
      </c>
      <c r="M950" s="84">
        <v>920</v>
      </c>
      <c r="N950" s="59">
        <f t="shared" si="14"/>
        <v>0.23809523809523808</v>
      </c>
      <c r="O950" s="85" t="s">
        <v>2327</v>
      </c>
      <c r="P950" s="86" t="s">
        <v>2922</v>
      </c>
      <c r="Q950" s="87" t="s">
        <v>3208</v>
      </c>
      <c r="R950" s="87">
        <v>10</v>
      </c>
      <c r="S950" s="88">
        <v>120.75</v>
      </c>
      <c r="T950" s="88">
        <v>92</v>
      </c>
      <c r="U950" s="88">
        <v>92</v>
      </c>
      <c r="V950" s="87" t="s">
        <v>3061</v>
      </c>
      <c r="W950" s="87" t="s">
        <v>3121</v>
      </c>
      <c r="X950" s="90" t="s">
        <v>3477</v>
      </c>
      <c r="Y950" s="89"/>
      <c r="Z950" s="89">
        <v>6</v>
      </c>
      <c r="AA950" s="89" t="s">
        <v>3207</v>
      </c>
      <c r="AB950" s="89"/>
    </row>
    <row r="951" spans="1:28" s="31" customFormat="1" ht="60" customHeight="1" x14ac:dyDescent="0.2">
      <c r="A951" s="76">
        <v>950</v>
      </c>
      <c r="B951" s="77">
        <v>50004038</v>
      </c>
      <c r="C951" s="78" t="s">
        <v>2354</v>
      </c>
      <c r="D951" s="79">
        <v>0.05</v>
      </c>
      <c r="E951" s="80">
        <v>30049099</v>
      </c>
      <c r="F951" s="81" t="s">
        <v>2355</v>
      </c>
      <c r="G951" s="82" t="s">
        <v>2356</v>
      </c>
      <c r="H951" s="82" t="s">
        <v>2357</v>
      </c>
      <c r="I951" s="79" t="s">
        <v>2666</v>
      </c>
      <c r="J951" s="83">
        <v>315</v>
      </c>
      <c r="K951" s="83">
        <v>240</v>
      </c>
      <c r="L951" s="83">
        <v>240</v>
      </c>
      <c r="M951" s="84">
        <v>240</v>
      </c>
      <c r="N951" s="59">
        <f t="shared" si="14"/>
        <v>0.23809523809523808</v>
      </c>
      <c r="O951" s="85" t="s">
        <v>2327</v>
      </c>
      <c r="P951" s="86" t="s">
        <v>2922</v>
      </c>
      <c r="Q951" s="87" t="s">
        <v>3208</v>
      </c>
      <c r="R951" s="87">
        <v>10</v>
      </c>
      <c r="S951" s="88">
        <v>31.5</v>
      </c>
      <c r="T951" s="88">
        <v>24</v>
      </c>
      <c r="U951" s="88">
        <v>24</v>
      </c>
      <c r="V951" s="87" t="s">
        <v>3061</v>
      </c>
      <c r="W951" s="87" t="s">
        <v>3121</v>
      </c>
      <c r="X951" s="90" t="s">
        <v>3477</v>
      </c>
      <c r="Y951" s="89"/>
      <c r="Z951" s="89">
        <v>6</v>
      </c>
      <c r="AA951" s="89" t="s">
        <v>3207</v>
      </c>
      <c r="AB951" s="89"/>
    </row>
    <row r="952" spans="1:28" s="31" customFormat="1" ht="60" customHeight="1" x14ac:dyDescent="0.2">
      <c r="A952" s="76">
        <v>951</v>
      </c>
      <c r="B952" s="77">
        <v>50004039</v>
      </c>
      <c r="C952" s="78" t="s">
        <v>2358</v>
      </c>
      <c r="D952" s="79">
        <v>0.05</v>
      </c>
      <c r="E952" s="80">
        <v>30049099</v>
      </c>
      <c r="F952" s="81" t="s">
        <v>2359</v>
      </c>
      <c r="G952" s="82" t="s">
        <v>2360</v>
      </c>
      <c r="H952" s="82" t="s">
        <v>2361</v>
      </c>
      <c r="I952" s="79" t="s">
        <v>2666</v>
      </c>
      <c r="J952" s="83">
        <v>630</v>
      </c>
      <c r="K952" s="83">
        <v>480</v>
      </c>
      <c r="L952" s="83">
        <v>480</v>
      </c>
      <c r="M952" s="84">
        <v>480</v>
      </c>
      <c r="N952" s="59">
        <f t="shared" si="14"/>
        <v>0.23809523809523808</v>
      </c>
      <c r="O952" s="85" t="s">
        <v>2327</v>
      </c>
      <c r="P952" s="86" t="s">
        <v>2922</v>
      </c>
      <c r="Q952" s="87" t="s">
        <v>3208</v>
      </c>
      <c r="R952" s="87">
        <v>10</v>
      </c>
      <c r="S952" s="88">
        <v>63</v>
      </c>
      <c r="T952" s="88">
        <v>48</v>
      </c>
      <c r="U952" s="88">
        <v>48</v>
      </c>
      <c r="V952" s="87" t="s">
        <v>3061</v>
      </c>
      <c r="W952" s="87" t="s">
        <v>3121</v>
      </c>
      <c r="X952" s="90" t="s">
        <v>3477</v>
      </c>
      <c r="Y952" s="89"/>
      <c r="Z952" s="89">
        <v>6</v>
      </c>
      <c r="AA952" s="89" t="s">
        <v>3207</v>
      </c>
      <c r="AB952" s="89"/>
    </row>
    <row r="953" spans="1:28" s="31" customFormat="1" ht="60" customHeight="1" x14ac:dyDescent="0.2">
      <c r="A953" s="76">
        <v>952</v>
      </c>
      <c r="B953" s="77">
        <v>50004040</v>
      </c>
      <c r="C953" s="78" t="s">
        <v>2362</v>
      </c>
      <c r="D953" s="79">
        <v>0.05</v>
      </c>
      <c r="E953" s="80">
        <v>30049099</v>
      </c>
      <c r="F953" s="81" t="s">
        <v>2363</v>
      </c>
      <c r="G953" s="82" t="s">
        <v>2364</v>
      </c>
      <c r="H953" s="82" t="s">
        <v>2365</v>
      </c>
      <c r="I953" s="79" t="s">
        <v>2666</v>
      </c>
      <c r="J953" s="83">
        <v>1150</v>
      </c>
      <c r="K953" s="83">
        <v>876.19047619047615</v>
      </c>
      <c r="L953" s="83">
        <v>876.19047619047615</v>
      </c>
      <c r="M953" s="84">
        <v>876.19047619047615</v>
      </c>
      <c r="N953" s="59">
        <f t="shared" si="14"/>
        <v>0.23809523809523814</v>
      </c>
      <c r="O953" s="85" t="s">
        <v>2327</v>
      </c>
      <c r="P953" s="86" t="s">
        <v>2922</v>
      </c>
      <c r="Q953" s="87" t="s">
        <v>3208</v>
      </c>
      <c r="R953" s="87">
        <v>10</v>
      </c>
      <c r="S953" s="88">
        <v>115</v>
      </c>
      <c r="T953" s="88">
        <v>87.61904761904762</v>
      </c>
      <c r="U953" s="88">
        <v>87.61904761904762</v>
      </c>
      <c r="V953" s="87" t="s">
        <v>3061</v>
      </c>
      <c r="W953" s="87" t="s">
        <v>3121</v>
      </c>
      <c r="X953" s="90" t="s">
        <v>3477</v>
      </c>
      <c r="Y953" s="89"/>
      <c r="Z953" s="89">
        <v>6</v>
      </c>
      <c r="AA953" s="89" t="s">
        <v>3207</v>
      </c>
      <c r="AB953" s="89"/>
    </row>
    <row r="954" spans="1:28" s="31" customFormat="1" ht="60" customHeight="1" x14ac:dyDescent="0.2">
      <c r="A954" s="76">
        <v>953</v>
      </c>
      <c r="B954" s="77">
        <v>50004043</v>
      </c>
      <c r="C954" s="78" t="s">
        <v>2366</v>
      </c>
      <c r="D954" s="79">
        <v>0.05</v>
      </c>
      <c r="E954" s="80">
        <v>30049099</v>
      </c>
      <c r="F954" s="81" t="s">
        <v>2367</v>
      </c>
      <c r="G954" s="82" t="s">
        <v>2368</v>
      </c>
      <c r="H954" s="82" t="s">
        <v>3684</v>
      </c>
      <c r="I954" s="79" t="s">
        <v>2693</v>
      </c>
      <c r="J954" s="83">
        <v>144.72</v>
      </c>
      <c r="K954" s="83">
        <v>110.26285714285714</v>
      </c>
      <c r="L954" s="83">
        <v>110.26285714285714</v>
      </c>
      <c r="M954" s="84">
        <v>110.26285714285714</v>
      </c>
      <c r="N954" s="59">
        <f t="shared" si="14"/>
        <v>0.23809523809523808</v>
      </c>
      <c r="O954" s="85" t="s">
        <v>2327</v>
      </c>
      <c r="P954" s="86" t="s">
        <v>37</v>
      </c>
      <c r="Q954" s="87" t="s">
        <v>3208</v>
      </c>
      <c r="R954" s="87">
        <v>10</v>
      </c>
      <c r="S954" s="88">
        <v>14.472</v>
      </c>
      <c r="T954" s="88">
        <v>11.026285714285715</v>
      </c>
      <c r="U954" s="88">
        <v>11.026285714285715</v>
      </c>
      <c r="V954" s="87" t="s">
        <v>3061</v>
      </c>
      <c r="W954" s="87" t="s">
        <v>3121</v>
      </c>
      <c r="X954" s="90" t="s">
        <v>3478</v>
      </c>
      <c r="Y954" s="89"/>
      <c r="Z954" s="89">
        <v>6</v>
      </c>
      <c r="AA954" s="89" t="s">
        <v>3207</v>
      </c>
      <c r="AB954" s="89"/>
    </row>
    <row r="955" spans="1:28" s="31" customFormat="1" ht="60" customHeight="1" x14ac:dyDescent="0.2">
      <c r="A955" s="76">
        <v>954</v>
      </c>
      <c r="B955" s="77">
        <v>50004027</v>
      </c>
      <c r="C955" s="78" t="s">
        <v>2369</v>
      </c>
      <c r="D955" s="79">
        <v>0.05</v>
      </c>
      <c r="E955" s="80">
        <v>30049099</v>
      </c>
      <c r="F955" s="81" t="s">
        <v>2370</v>
      </c>
      <c r="G955" s="82" t="s">
        <v>2371</v>
      </c>
      <c r="H955" s="82" t="s">
        <v>3685</v>
      </c>
      <c r="I955" s="79" t="s">
        <v>2693</v>
      </c>
      <c r="J955" s="83">
        <v>220.68</v>
      </c>
      <c r="K955" s="83">
        <v>168.13714285714286</v>
      </c>
      <c r="L955" s="83">
        <v>168.13714285714286</v>
      </c>
      <c r="M955" s="84">
        <v>168.13714285714283</v>
      </c>
      <c r="N955" s="59">
        <f t="shared" si="14"/>
        <v>0.23809523809523822</v>
      </c>
      <c r="O955" s="85" t="s">
        <v>2327</v>
      </c>
      <c r="P955" s="86" t="s">
        <v>2924</v>
      </c>
      <c r="Q955" s="87" t="s">
        <v>3207</v>
      </c>
      <c r="R955" s="87">
        <v>10</v>
      </c>
      <c r="S955" s="88">
        <v>22.068000000000001</v>
      </c>
      <c r="T955" s="88">
        <v>16.813714285714287</v>
      </c>
      <c r="U955" s="88">
        <v>16.813714285714283</v>
      </c>
      <c r="V955" s="87" t="s">
        <v>3061</v>
      </c>
      <c r="W955" s="87" t="s">
        <v>3121</v>
      </c>
      <c r="X955" s="90" t="s">
        <v>3478</v>
      </c>
      <c r="Y955" s="89"/>
      <c r="Z955" s="89">
        <v>6</v>
      </c>
      <c r="AA955" s="89" t="s">
        <v>3207</v>
      </c>
      <c r="AB955" s="89"/>
    </row>
    <row r="956" spans="1:28" s="31" customFormat="1" ht="60" customHeight="1" x14ac:dyDescent="0.2">
      <c r="A956" s="76">
        <v>955</v>
      </c>
      <c r="B956" s="77">
        <v>50004028</v>
      </c>
      <c r="C956" s="78" t="s">
        <v>2372</v>
      </c>
      <c r="D956" s="79">
        <v>0.05</v>
      </c>
      <c r="E956" s="80">
        <v>30049099</v>
      </c>
      <c r="F956" s="81" t="s">
        <v>2373</v>
      </c>
      <c r="G956" s="82" t="s">
        <v>2374</v>
      </c>
      <c r="H956" s="82" t="s">
        <v>3686</v>
      </c>
      <c r="I956" s="79" t="s">
        <v>2693</v>
      </c>
      <c r="J956" s="83">
        <v>433.91</v>
      </c>
      <c r="K956" s="83">
        <v>330.5980952380952</v>
      </c>
      <c r="L956" s="83">
        <v>330.5980952380952</v>
      </c>
      <c r="M956" s="84">
        <v>330.59809523809525</v>
      </c>
      <c r="N956" s="59">
        <f t="shared" si="14"/>
        <v>0.23809523809523811</v>
      </c>
      <c r="O956" s="85" t="s">
        <v>2327</v>
      </c>
      <c r="P956" s="86" t="s">
        <v>2924</v>
      </c>
      <c r="Q956" s="87" t="s">
        <v>3207</v>
      </c>
      <c r="R956" s="87">
        <v>10</v>
      </c>
      <c r="S956" s="88">
        <v>43.391000000000005</v>
      </c>
      <c r="T956" s="88">
        <v>33.05980952380952</v>
      </c>
      <c r="U956" s="88">
        <v>33.059809523809527</v>
      </c>
      <c r="V956" s="87" t="s">
        <v>3061</v>
      </c>
      <c r="W956" s="87" t="s">
        <v>3122</v>
      </c>
      <c r="X956" s="90" t="s">
        <v>3478</v>
      </c>
      <c r="Y956" s="89"/>
      <c r="Z956" s="89">
        <v>6</v>
      </c>
      <c r="AA956" s="89" t="s">
        <v>3207</v>
      </c>
      <c r="AB956" s="89"/>
    </row>
    <row r="957" spans="1:28" s="31" customFormat="1" ht="60" customHeight="1" x14ac:dyDescent="0.2">
      <c r="A957" s="76">
        <v>956</v>
      </c>
      <c r="B957" s="77">
        <v>50004029</v>
      </c>
      <c r="C957" s="78" t="s">
        <v>2375</v>
      </c>
      <c r="D957" s="79">
        <v>0.05</v>
      </c>
      <c r="E957" s="80">
        <v>30049099</v>
      </c>
      <c r="F957" s="81" t="s">
        <v>2376</v>
      </c>
      <c r="G957" s="82" t="s">
        <v>2377</v>
      </c>
      <c r="H957" s="82" t="s">
        <v>3687</v>
      </c>
      <c r="I957" s="79" t="s">
        <v>2693</v>
      </c>
      <c r="J957" s="83">
        <v>851.77</v>
      </c>
      <c r="K957" s="83">
        <v>648.96761904761911</v>
      </c>
      <c r="L957" s="83">
        <v>648.96761904761911</v>
      </c>
      <c r="M957" s="84">
        <v>648.96761904761922</v>
      </c>
      <c r="N957" s="59">
        <f t="shared" si="14"/>
        <v>0.23809523809523786</v>
      </c>
      <c r="O957" s="85" t="s">
        <v>2327</v>
      </c>
      <c r="P957" s="86" t="s">
        <v>37</v>
      </c>
      <c r="Q957" s="87" t="s">
        <v>3207</v>
      </c>
      <c r="R957" s="87">
        <v>10</v>
      </c>
      <c r="S957" s="88">
        <v>85.176999999999992</v>
      </c>
      <c r="T957" s="88">
        <v>64.896761904761917</v>
      </c>
      <c r="U957" s="88">
        <v>64.896761904761917</v>
      </c>
      <c r="V957" s="87" t="s">
        <v>3061</v>
      </c>
      <c r="W957" s="87" t="s">
        <v>3121</v>
      </c>
      <c r="X957" s="90" t="s">
        <v>3478</v>
      </c>
      <c r="Y957" s="89"/>
      <c r="Z957" s="89">
        <v>3</v>
      </c>
      <c r="AA957" s="89" t="s">
        <v>3207</v>
      </c>
      <c r="AB957" s="89"/>
    </row>
    <row r="958" spans="1:28" s="31" customFormat="1" ht="60" customHeight="1" x14ac:dyDescent="0.2">
      <c r="A958" s="76">
        <v>957</v>
      </c>
      <c r="B958" s="77">
        <v>50004044</v>
      </c>
      <c r="C958" s="78" t="s">
        <v>2378</v>
      </c>
      <c r="D958" s="79">
        <v>0.05</v>
      </c>
      <c r="E958" s="80">
        <v>30049099</v>
      </c>
      <c r="F958" s="81" t="s">
        <v>2379</v>
      </c>
      <c r="G958" s="82" t="s">
        <v>2380</v>
      </c>
      <c r="H958" s="82" t="s">
        <v>1718</v>
      </c>
      <c r="I958" s="79" t="s">
        <v>2693</v>
      </c>
      <c r="J958" s="83">
        <v>2709.7</v>
      </c>
      <c r="K958" s="83">
        <v>2064.5333333333333</v>
      </c>
      <c r="L958" s="83">
        <v>2064.5333333333333</v>
      </c>
      <c r="M958" s="84">
        <v>2064.5333333333333</v>
      </c>
      <c r="N958" s="59">
        <f t="shared" si="14"/>
        <v>0.23809523809523805</v>
      </c>
      <c r="O958" s="85" t="s">
        <v>2327</v>
      </c>
      <c r="P958" s="86" t="s">
        <v>2924</v>
      </c>
      <c r="Q958" s="87" t="s">
        <v>3208</v>
      </c>
      <c r="R958" s="87">
        <v>10</v>
      </c>
      <c r="S958" s="88">
        <v>270.96999999999997</v>
      </c>
      <c r="T958" s="88">
        <v>206.45333333333332</v>
      </c>
      <c r="U958" s="88">
        <v>206.45333333333332</v>
      </c>
      <c r="V958" s="87" t="s">
        <v>3061</v>
      </c>
      <c r="W958" s="87" t="s">
        <v>3121</v>
      </c>
      <c r="X958" s="90" t="s">
        <v>3478</v>
      </c>
      <c r="Y958" s="89"/>
      <c r="Z958" s="89">
        <v>1</v>
      </c>
      <c r="AA958" s="89" t="s">
        <v>3207</v>
      </c>
      <c r="AB958" s="89"/>
    </row>
    <row r="959" spans="1:28" s="31" customFormat="1" ht="60" customHeight="1" x14ac:dyDescent="0.2">
      <c r="A959" s="76">
        <v>958</v>
      </c>
      <c r="B959" s="77">
        <v>50004045</v>
      </c>
      <c r="C959" s="78" t="s">
        <v>2381</v>
      </c>
      <c r="D959" s="79">
        <v>0.05</v>
      </c>
      <c r="E959" s="80">
        <v>30042099</v>
      </c>
      <c r="F959" s="81" t="s">
        <v>2382</v>
      </c>
      <c r="G959" s="82" t="s">
        <v>2383</v>
      </c>
      <c r="H959" s="82" t="s">
        <v>2548</v>
      </c>
      <c r="I959" s="79" t="s">
        <v>2704</v>
      </c>
      <c r="J959" s="83">
        <v>4303.9399999999996</v>
      </c>
      <c r="K959" s="83">
        <v>3279.1923809523805</v>
      </c>
      <c r="L959" s="83">
        <v>3279.1923809523805</v>
      </c>
      <c r="M959" s="84">
        <v>3279.1923809523805</v>
      </c>
      <c r="N959" s="59">
        <f t="shared" si="14"/>
        <v>0.23809523809523814</v>
      </c>
      <c r="O959" s="85" t="s">
        <v>2327</v>
      </c>
      <c r="P959" s="86" t="s">
        <v>2925</v>
      </c>
      <c r="Q959" s="87" t="s">
        <v>3207</v>
      </c>
      <c r="R959" s="87">
        <v>1</v>
      </c>
      <c r="S959" s="88">
        <v>4303.9399999999996</v>
      </c>
      <c r="T959" s="88">
        <v>3279.1923809523805</v>
      </c>
      <c r="U959" s="88">
        <v>3279.1923809523805</v>
      </c>
      <c r="V959" s="87" t="s">
        <v>3062</v>
      </c>
      <c r="W959" s="87" t="s">
        <v>3121</v>
      </c>
      <c r="X959" s="90" t="s">
        <v>3480</v>
      </c>
      <c r="Y959" s="89"/>
      <c r="Z959" s="89">
        <v>1</v>
      </c>
      <c r="AA959" s="89" t="s">
        <v>3207</v>
      </c>
      <c r="AB959" s="89"/>
    </row>
    <row r="960" spans="1:28" s="31" customFormat="1" ht="60" customHeight="1" x14ac:dyDescent="0.2">
      <c r="A960" s="76">
        <v>959</v>
      </c>
      <c r="B960" s="77">
        <v>50004046</v>
      </c>
      <c r="C960" s="78" t="s">
        <v>2384</v>
      </c>
      <c r="D960" s="79">
        <v>0.05</v>
      </c>
      <c r="E960" s="80">
        <v>30042099</v>
      </c>
      <c r="F960" s="81" t="s">
        <v>2385</v>
      </c>
      <c r="G960" s="82" t="s">
        <v>2383</v>
      </c>
      <c r="H960" s="82" t="s">
        <v>2548</v>
      </c>
      <c r="I960" s="79" t="s">
        <v>2926</v>
      </c>
      <c r="J960" s="83">
        <v>660.81</v>
      </c>
      <c r="K960" s="83">
        <v>503.47428571428571</v>
      </c>
      <c r="L960" s="83">
        <v>503.47428571428571</v>
      </c>
      <c r="M960" s="84">
        <v>503.47428571428566</v>
      </c>
      <c r="N960" s="59">
        <f t="shared" ref="N960:N1023" si="15">(J960-M960)/J960</f>
        <v>0.23809523809523811</v>
      </c>
      <c r="O960" s="85" t="s">
        <v>2327</v>
      </c>
      <c r="P960" s="86" t="s">
        <v>2927</v>
      </c>
      <c r="Q960" s="87" t="s">
        <v>3207</v>
      </c>
      <c r="R960" s="87">
        <v>6</v>
      </c>
      <c r="S960" s="88">
        <v>110.13499999999999</v>
      </c>
      <c r="T960" s="88">
        <v>83.912380952380957</v>
      </c>
      <c r="U960" s="88">
        <v>83.912380952380943</v>
      </c>
      <c r="V960" s="87" t="s">
        <v>3061</v>
      </c>
      <c r="W960" s="87" t="s">
        <v>3121</v>
      </c>
      <c r="X960" s="90" t="s">
        <v>3478</v>
      </c>
      <c r="Y960" s="89"/>
      <c r="Z960" s="89">
        <v>5</v>
      </c>
      <c r="AA960" s="89" t="s">
        <v>3207</v>
      </c>
      <c r="AB960" s="89"/>
    </row>
    <row r="961" spans="1:28" s="31" customFormat="1" ht="60" customHeight="1" x14ac:dyDescent="0.2">
      <c r="A961" s="76">
        <v>960</v>
      </c>
      <c r="B961" s="77">
        <v>50004047</v>
      </c>
      <c r="C961" s="78" t="s">
        <v>2386</v>
      </c>
      <c r="D961" s="79">
        <v>0.05</v>
      </c>
      <c r="E961" s="80">
        <v>30042099</v>
      </c>
      <c r="F961" s="81" t="s">
        <v>2387</v>
      </c>
      <c r="G961" s="82" t="s">
        <v>2388</v>
      </c>
      <c r="H961" s="82" t="s">
        <v>3688</v>
      </c>
      <c r="I961" s="79" t="s">
        <v>2926</v>
      </c>
      <c r="J961" s="83">
        <v>179.72</v>
      </c>
      <c r="K961" s="83">
        <v>136.9295238095238</v>
      </c>
      <c r="L961" s="83">
        <v>136.9295238095238</v>
      </c>
      <c r="M961" s="84">
        <v>136.9295238095238</v>
      </c>
      <c r="N961" s="59">
        <f t="shared" si="15"/>
        <v>0.23809523809523814</v>
      </c>
      <c r="O961" s="85" t="s">
        <v>2327</v>
      </c>
      <c r="P961" s="86" t="s">
        <v>2927</v>
      </c>
      <c r="Q961" s="87" t="s">
        <v>3207</v>
      </c>
      <c r="R961" s="87">
        <v>6</v>
      </c>
      <c r="S961" s="88">
        <v>29.953333333333333</v>
      </c>
      <c r="T961" s="88">
        <v>22.8215873015873</v>
      </c>
      <c r="U961" s="88">
        <v>22.8215873015873</v>
      </c>
      <c r="V961" s="87" t="s">
        <v>3061</v>
      </c>
      <c r="W961" s="87" t="s">
        <v>3121</v>
      </c>
      <c r="X961" s="90" t="s">
        <v>3478</v>
      </c>
      <c r="Y961" s="89"/>
      <c r="Z961" s="89">
        <v>5</v>
      </c>
      <c r="AA961" s="89" t="s">
        <v>3207</v>
      </c>
      <c r="AB961" s="89"/>
    </row>
    <row r="962" spans="1:28" s="31" customFormat="1" ht="60" customHeight="1" x14ac:dyDescent="0.2">
      <c r="A962" s="76">
        <v>961</v>
      </c>
      <c r="B962" s="77">
        <v>50004048</v>
      </c>
      <c r="C962" s="78" t="s">
        <v>2389</v>
      </c>
      <c r="D962" s="79">
        <v>0.05</v>
      </c>
      <c r="E962" s="80">
        <v>30042099</v>
      </c>
      <c r="F962" s="81" t="s">
        <v>2390</v>
      </c>
      <c r="G962" s="82" t="s">
        <v>2391</v>
      </c>
      <c r="H962" s="82" t="s">
        <v>3689</v>
      </c>
      <c r="I962" s="79" t="s">
        <v>2926</v>
      </c>
      <c r="J962" s="83">
        <v>351.5</v>
      </c>
      <c r="K962" s="83">
        <v>267.8095238095238</v>
      </c>
      <c r="L962" s="83">
        <v>267.8095238095238</v>
      </c>
      <c r="M962" s="84">
        <v>267.80952380952385</v>
      </c>
      <c r="N962" s="59">
        <f t="shared" si="15"/>
        <v>0.23809523809523797</v>
      </c>
      <c r="O962" s="85" t="s">
        <v>2327</v>
      </c>
      <c r="P962" s="86" t="s">
        <v>81</v>
      </c>
      <c r="Q962" s="87" t="s">
        <v>3207</v>
      </c>
      <c r="R962" s="87">
        <v>6</v>
      </c>
      <c r="S962" s="88">
        <v>58.583333333333336</v>
      </c>
      <c r="T962" s="88">
        <v>44.634920634920633</v>
      </c>
      <c r="U962" s="88">
        <v>44.63492063492064</v>
      </c>
      <c r="V962" s="87" t="s">
        <v>3061</v>
      </c>
      <c r="W962" s="87" t="s">
        <v>3121</v>
      </c>
      <c r="X962" s="90" t="s">
        <v>3478</v>
      </c>
      <c r="Y962" s="89"/>
      <c r="Z962" s="89">
        <v>5</v>
      </c>
      <c r="AA962" s="89" t="s">
        <v>3207</v>
      </c>
      <c r="AB962" s="89"/>
    </row>
    <row r="963" spans="1:28" s="31" customFormat="1" ht="60" customHeight="1" x14ac:dyDescent="0.2">
      <c r="A963" s="76">
        <v>962</v>
      </c>
      <c r="B963" s="77">
        <v>50004094</v>
      </c>
      <c r="C963" s="78" t="s">
        <v>2409</v>
      </c>
      <c r="D963" s="79">
        <v>0.05</v>
      </c>
      <c r="E963" s="80">
        <v>30049099</v>
      </c>
      <c r="F963" s="81" t="s">
        <v>4632</v>
      </c>
      <c r="G963" s="82" t="str">
        <f>F963</f>
        <v>Each film coated tablet contains:Calcium-3-methyl-2-oxo-valerate67mg(a-Ketoanalogue to Isoleucine, Calcium Salt)
Calcium-4-methyl-2-oxo-valerate101 mg(a-Ketoanalogue to Leucine, Calcium Salt)Calcium-2-oxo-3-
phenylpropionate.68 mg(a-Ketoanalogue to Phenylalanine, Calcium Salt)Calcium-3-methyl-2-oxo-butyrate.86 mg
(a-Ketoanalogue to naline, Calcium Salt)Calcium-DL-2-hydroxy-4-(methylthio) butyrate 59 mg(a-Hydroxyanalogue to methionine,
Calcium Salt)L-Lysine Acetate USP105 mg(Eq to Lysine 75 mg)L-Threonine USP 53 mgL-
TryptophanUSP...23 mgL-Histidine USP38 mgL-Tyrosine USP30 mgTotal
Nitrogencontent per tablet36 mgCalcium content per tablet..1.25 mmol=0.05
gExcipients...q.s.Colours: Quinoline Yellow FCF &amp; Titanium Dioxide IP</v>
      </c>
      <c r="H963" s="82"/>
      <c r="I963" s="79" t="s">
        <v>2666</v>
      </c>
      <c r="J963" s="83">
        <v>425</v>
      </c>
      <c r="K963" s="83">
        <v>323.8095238095238</v>
      </c>
      <c r="L963" s="83">
        <v>323.8095238095238</v>
      </c>
      <c r="M963" s="84">
        <v>323.8095238095238</v>
      </c>
      <c r="N963" s="59">
        <f t="shared" si="15"/>
        <v>0.23809523809523814</v>
      </c>
      <c r="O963" s="85" t="s">
        <v>2327</v>
      </c>
      <c r="P963" s="86" t="s">
        <v>3256</v>
      </c>
      <c r="Q963" s="87" t="s">
        <v>3208</v>
      </c>
      <c r="R963" s="87">
        <v>10</v>
      </c>
      <c r="S963" s="88">
        <v>42.5</v>
      </c>
      <c r="T963" s="88">
        <v>32.38095238095238</v>
      </c>
      <c r="U963" s="88">
        <v>32.38095238095238</v>
      </c>
      <c r="V963" s="87" t="s">
        <v>3061</v>
      </c>
      <c r="W963" s="87" t="s">
        <v>3121</v>
      </c>
      <c r="X963" s="90" t="s">
        <v>3477</v>
      </c>
      <c r="Y963" s="89"/>
      <c r="Z963" s="89"/>
      <c r="AA963" s="89"/>
      <c r="AB963" s="89"/>
    </row>
    <row r="964" spans="1:28" s="31" customFormat="1" ht="60" customHeight="1" x14ac:dyDescent="0.2">
      <c r="A964" s="76">
        <v>963</v>
      </c>
      <c r="B964" s="77">
        <v>50006050</v>
      </c>
      <c r="C964" s="78" t="s">
        <v>4685</v>
      </c>
      <c r="D964" s="79">
        <v>0.05</v>
      </c>
      <c r="E964" s="80">
        <v>30049099</v>
      </c>
      <c r="F964" s="81" t="s">
        <v>4686</v>
      </c>
      <c r="G964" s="82" t="str">
        <f>F964</f>
        <v>Each film coated tablet contains:
L-Threonine IP..........106 mg
L-Tyrosine USP ........60 mg
L-Histidine USP .........76 mg
L-Tryptophan IP............. 46 mg
L-Lysine Acetate USP ........ 210 mg
Calcium-3-methyl-2-oxovalerate ...... 134 mg
(α-ketoanalogue to Isoleucine, Calcium salt)
Calcium-4-methyl-2-oxovalerate .... 202 mg
(α-ketoanalogue to leucine, Calcium salt)
Calcium -3-methyl-2-oxobutyrate ..... 172 mg
(α-ketoanalogue to valine, Calcium salt)
Calcium –DL-2-hydroxy -4-(methylthio) butyrate ..........118 mg
(α-hydroxyanalogue to methionine, Calcium salt)
Calcium-2-oxo-3-phenyl propionate....... 136 mg
(α-ketoanalogue to phenylalanine, Calcium salt)
Excipients ..........  q.s.</v>
      </c>
      <c r="H964" s="82"/>
      <c r="I964" s="79" t="s">
        <v>2666</v>
      </c>
      <c r="J964" s="83">
        <v>700</v>
      </c>
      <c r="K964" s="83">
        <v>533.33333333333326</v>
      </c>
      <c r="L964" s="83">
        <v>533.33333333333326</v>
      </c>
      <c r="M964" s="84">
        <v>533.33333333333326</v>
      </c>
      <c r="N964" s="59">
        <f t="shared" si="15"/>
        <v>0.23809523809523819</v>
      </c>
      <c r="O964" s="85" t="s">
        <v>2327</v>
      </c>
      <c r="P964" s="86" t="s">
        <v>3256</v>
      </c>
      <c r="Q964" s="87" t="s">
        <v>3208</v>
      </c>
      <c r="R964" s="87">
        <v>10</v>
      </c>
      <c r="S964" s="88">
        <v>70</v>
      </c>
      <c r="T964" s="88">
        <v>53.333333333333329</v>
      </c>
      <c r="U964" s="88">
        <v>53.333333333333329</v>
      </c>
      <c r="V964" s="87" t="s">
        <v>3061</v>
      </c>
      <c r="W964" s="87" t="s">
        <v>3121</v>
      </c>
      <c r="X964" s="90" t="s">
        <v>3477</v>
      </c>
      <c r="Y964" s="89"/>
      <c r="Z964" s="89"/>
      <c r="AA964" s="89"/>
      <c r="AB964" s="89"/>
    </row>
    <row r="965" spans="1:28" s="31" customFormat="1" ht="60" customHeight="1" x14ac:dyDescent="0.2">
      <c r="A965" s="76">
        <v>964</v>
      </c>
      <c r="B965" s="77">
        <v>50004049</v>
      </c>
      <c r="C965" s="78" t="s">
        <v>2392</v>
      </c>
      <c r="D965" s="79">
        <v>0.05</v>
      </c>
      <c r="E965" s="80">
        <v>30021500</v>
      </c>
      <c r="F965" s="81" t="s">
        <v>2393</v>
      </c>
      <c r="G965" s="82" t="s">
        <v>2394</v>
      </c>
      <c r="H965" s="82" t="s">
        <v>4054</v>
      </c>
      <c r="I965" s="79" t="s">
        <v>2672</v>
      </c>
      <c r="J965" s="83">
        <v>7998.4</v>
      </c>
      <c r="K965" s="83">
        <v>6094.0190476190473</v>
      </c>
      <c r="L965" s="83">
        <v>6094.0190476190473</v>
      </c>
      <c r="M965" s="84">
        <v>6094.0190476190473</v>
      </c>
      <c r="N965" s="59">
        <f t="shared" si="15"/>
        <v>0.23809523809523808</v>
      </c>
      <c r="O965" s="85" t="s">
        <v>2327</v>
      </c>
      <c r="P965" s="86" t="s">
        <v>2928</v>
      </c>
      <c r="Q965" s="87" t="s">
        <v>3207</v>
      </c>
      <c r="R965" s="87">
        <v>1</v>
      </c>
      <c r="S965" s="88">
        <v>7998.4</v>
      </c>
      <c r="T965" s="88">
        <v>6094.0190476190473</v>
      </c>
      <c r="U965" s="88">
        <v>6094.0190476190473</v>
      </c>
      <c r="V965" s="87" t="s">
        <v>3067</v>
      </c>
      <c r="W965" s="87" t="s">
        <v>3121</v>
      </c>
      <c r="X965" s="90" t="s">
        <v>3479</v>
      </c>
      <c r="Y965" s="89"/>
      <c r="Z965" s="89">
        <v>1</v>
      </c>
      <c r="AA965" s="89"/>
      <c r="AB965" s="89"/>
    </row>
    <row r="966" spans="1:28" s="31" customFormat="1" ht="60" customHeight="1" x14ac:dyDescent="0.2">
      <c r="A966" s="76">
        <v>965</v>
      </c>
      <c r="B966" s="77">
        <v>50004050</v>
      </c>
      <c r="C966" s="78" t="s">
        <v>2395</v>
      </c>
      <c r="D966" s="79">
        <v>0.05</v>
      </c>
      <c r="E966" s="80">
        <v>30021500</v>
      </c>
      <c r="F966" s="81" t="s">
        <v>2396</v>
      </c>
      <c r="G966" s="82" t="s">
        <v>2397</v>
      </c>
      <c r="H966" s="82" t="s">
        <v>4055</v>
      </c>
      <c r="I966" s="79" t="s">
        <v>2704</v>
      </c>
      <c r="J966" s="83">
        <v>39992.1</v>
      </c>
      <c r="K966" s="83">
        <v>30470.171428571426</v>
      </c>
      <c r="L966" s="83">
        <v>30470.171428571426</v>
      </c>
      <c r="M966" s="84">
        <v>30470.171428571426</v>
      </c>
      <c r="N966" s="59">
        <f t="shared" si="15"/>
        <v>0.23809523809523814</v>
      </c>
      <c r="O966" s="85" t="s">
        <v>2327</v>
      </c>
      <c r="P966" s="86" t="s">
        <v>2928</v>
      </c>
      <c r="Q966" s="87" t="s">
        <v>3207</v>
      </c>
      <c r="R966" s="87">
        <v>1</v>
      </c>
      <c r="S966" s="88">
        <v>39992.1</v>
      </c>
      <c r="T966" s="88">
        <v>30470.171428571426</v>
      </c>
      <c r="U966" s="88">
        <v>30470.171428571426</v>
      </c>
      <c r="V966" s="87" t="s">
        <v>3067</v>
      </c>
      <c r="W966" s="87" t="s">
        <v>3121</v>
      </c>
      <c r="X966" s="90" t="s">
        <v>3479</v>
      </c>
      <c r="Y966" s="89"/>
      <c r="Z966" s="89">
        <v>1</v>
      </c>
      <c r="AA966" s="89"/>
      <c r="AB966" s="89"/>
    </row>
    <row r="967" spans="1:28" s="31" customFormat="1" ht="60" customHeight="1" x14ac:dyDescent="0.2">
      <c r="A967" s="76">
        <v>966</v>
      </c>
      <c r="B967" s="77">
        <v>50004226</v>
      </c>
      <c r="C967" s="78" t="s">
        <v>4687</v>
      </c>
      <c r="D967" s="79">
        <v>0.05</v>
      </c>
      <c r="E967" s="80">
        <v>30049099</v>
      </c>
      <c r="F967" s="81" t="s">
        <v>4688</v>
      </c>
      <c r="G967" s="82" t="s">
        <v>4689</v>
      </c>
      <c r="H967" s="82" t="s">
        <v>47</v>
      </c>
      <c r="I967" s="79" t="s">
        <v>2666</v>
      </c>
      <c r="J967" s="83">
        <v>226.5</v>
      </c>
      <c r="K967" s="83">
        <v>172.57142857142858</v>
      </c>
      <c r="L967" s="83">
        <v>172.57142857142858</v>
      </c>
      <c r="M967" s="84">
        <v>172.57142857142858</v>
      </c>
      <c r="N967" s="59">
        <f t="shared" si="15"/>
        <v>0.23809523809523805</v>
      </c>
      <c r="O967" s="85" t="s">
        <v>2327</v>
      </c>
      <c r="P967" s="86" t="s">
        <v>4246</v>
      </c>
      <c r="Q967" s="87" t="s">
        <v>3208</v>
      </c>
      <c r="R967" s="87">
        <v>10</v>
      </c>
      <c r="S967" s="88">
        <v>22.65</v>
      </c>
      <c r="T967" s="88">
        <v>17.25714285714286</v>
      </c>
      <c r="U967" s="88">
        <v>17.25714285714286</v>
      </c>
      <c r="V967" s="87" t="s">
        <v>3061</v>
      </c>
      <c r="W967" s="87" t="s">
        <v>3121</v>
      </c>
      <c r="X967" s="90" t="s">
        <v>3477</v>
      </c>
      <c r="Y967" s="89"/>
      <c r="Z967" s="89"/>
      <c r="AA967" s="89"/>
      <c r="AB967" s="89"/>
    </row>
    <row r="968" spans="1:28" s="31" customFormat="1" ht="60" customHeight="1" x14ac:dyDescent="0.2">
      <c r="A968" s="76">
        <v>967</v>
      </c>
      <c r="B968" s="77">
        <v>50004227</v>
      </c>
      <c r="C968" s="78" t="s">
        <v>4690</v>
      </c>
      <c r="D968" s="79">
        <v>0.05</v>
      </c>
      <c r="E968" s="80">
        <v>30049099</v>
      </c>
      <c r="F968" s="81" t="s">
        <v>4691</v>
      </c>
      <c r="G968" s="82" t="s">
        <v>4692</v>
      </c>
      <c r="H968" s="82" t="s">
        <v>1486</v>
      </c>
      <c r="I968" s="79" t="s">
        <v>2666</v>
      </c>
      <c r="J968" s="83">
        <v>396.5</v>
      </c>
      <c r="K968" s="83">
        <v>302.09523809523807</v>
      </c>
      <c r="L968" s="83">
        <v>302.09523809523807</v>
      </c>
      <c r="M968" s="84">
        <v>302.09523809523807</v>
      </c>
      <c r="N968" s="59">
        <f t="shared" si="15"/>
        <v>0.23809523809523814</v>
      </c>
      <c r="O968" s="85" t="s">
        <v>2327</v>
      </c>
      <c r="P968" s="86" t="s">
        <v>4246</v>
      </c>
      <c r="Q968" s="87" t="s">
        <v>3208</v>
      </c>
      <c r="R968" s="87">
        <v>10</v>
      </c>
      <c r="S968" s="88">
        <v>39.65</v>
      </c>
      <c r="T968" s="88">
        <v>30.209523809523809</v>
      </c>
      <c r="U968" s="88">
        <v>30.209523809523809</v>
      </c>
      <c r="V968" s="87" t="s">
        <v>3061</v>
      </c>
      <c r="W968" s="87" t="s">
        <v>3121</v>
      </c>
      <c r="X968" s="90" t="s">
        <v>3477</v>
      </c>
      <c r="Y968" s="89"/>
      <c r="Z968" s="89"/>
      <c r="AA968" s="89"/>
      <c r="AB968" s="89"/>
    </row>
    <row r="969" spans="1:28" s="31" customFormat="1" ht="60" customHeight="1" x14ac:dyDescent="0.2">
      <c r="A969" s="76">
        <v>968</v>
      </c>
      <c r="B969" s="77">
        <v>50004055</v>
      </c>
      <c r="C969" s="78" t="s">
        <v>2398</v>
      </c>
      <c r="D969" s="79">
        <v>0.05</v>
      </c>
      <c r="E969" s="80">
        <v>30049099</v>
      </c>
      <c r="F969" s="81" t="s">
        <v>2399</v>
      </c>
      <c r="G969" s="82" t="s">
        <v>2400</v>
      </c>
      <c r="H969" s="82" t="s">
        <v>2401</v>
      </c>
      <c r="I969" s="79" t="s">
        <v>2666</v>
      </c>
      <c r="J969" s="83">
        <v>2159.94</v>
      </c>
      <c r="K969" s="83">
        <v>1645.6685714285716</v>
      </c>
      <c r="L969" s="83">
        <v>1645.6685714285716</v>
      </c>
      <c r="M969" s="84">
        <v>1645.6685714285716</v>
      </c>
      <c r="N969" s="59">
        <f t="shared" si="15"/>
        <v>0.23809523809523805</v>
      </c>
      <c r="O969" s="85" t="s">
        <v>2327</v>
      </c>
      <c r="P969" s="86" t="s">
        <v>2925</v>
      </c>
      <c r="Q969" s="87" t="s">
        <v>3208</v>
      </c>
      <c r="R969" s="87">
        <v>10</v>
      </c>
      <c r="S969" s="88">
        <v>215.994</v>
      </c>
      <c r="T969" s="88">
        <v>164.56685714285715</v>
      </c>
      <c r="U969" s="88">
        <v>164.56685714285715</v>
      </c>
      <c r="V969" s="87" t="s">
        <v>3061</v>
      </c>
      <c r="W969" s="87" t="s">
        <v>3121</v>
      </c>
      <c r="X969" s="90" t="s">
        <v>3477</v>
      </c>
      <c r="Y969" s="89"/>
      <c r="Z969" s="89">
        <v>1</v>
      </c>
      <c r="AA969" s="89"/>
      <c r="AB969" s="89"/>
    </row>
    <row r="970" spans="1:28" s="31" customFormat="1" ht="60" customHeight="1" x14ac:dyDescent="0.2">
      <c r="A970" s="76">
        <v>969</v>
      </c>
      <c r="B970" s="77">
        <v>50004079</v>
      </c>
      <c r="C970" s="78" t="s">
        <v>2402</v>
      </c>
      <c r="D970" s="79">
        <v>0.05</v>
      </c>
      <c r="E970" s="80">
        <v>30049099</v>
      </c>
      <c r="F970" s="81" t="s">
        <v>2403</v>
      </c>
      <c r="G970" s="82" t="s">
        <v>2404</v>
      </c>
      <c r="H970" s="82" t="s">
        <v>2049</v>
      </c>
      <c r="I970" s="79" t="s">
        <v>2720</v>
      </c>
      <c r="J970" s="83">
        <v>778.52</v>
      </c>
      <c r="K970" s="83">
        <v>593.15809523809526</v>
      </c>
      <c r="L970" s="83">
        <v>593.15809523809526</v>
      </c>
      <c r="M970" s="84">
        <v>593.15809523809514</v>
      </c>
      <c r="N970" s="59">
        <f t="shared" si="15"/>
        <v>0.23809523809523819</v>
      </c>
      <c r="O970" s="85" t="s">
        <v>2327</v>
      </c>
      <c r="P970" s="86" t="s">
        <v>2929</v>
      </c>
      <c r="Q970" s="87" t="s">
        <v>3207</v>
      </c>
      <c r="R970" s="87">
        <v>2</v>
      </c>
      <c r="S970" s="88">
        <v>389.26</v>
      </c>
      <c r="T970" s="88">
        <v>296.57904761904763</v>
      </c>
      <c r="U970" s="88">
        <v>296.57904761904757</v>
      </c>
      <c r="V970" s="87" t="s">
        <v>3061</v>
      </c>
      <c r="W970" s="87" t="s">
        <v>3120</v>
      </c>
      <c r="X970" s="90" t="s">
        <v>3477</v>
      </c>
      <c r="Y970" s="89"/>
      <c r="Z970" s="89">
        <v>5</v>
      </c>
      <c r="AA970" s="89"/>
      <c r="AB970" s="89"/>
    </row>
    <row r="971" spans="1:28" s="31" customFormat="1" ht="60" customHeight="1" x14ac:dyDescent="0.2">
      <c r="A971" s="76">
        <v>970</v>
      </c>
      <c r="B971" s="77">
        <v>50005530</v>
      </c>
      <c r="C971" s="78" t="s">
        <v>4480</v>
      </c>
      <c r="D971" s="79">
        <v>0.05</v>
      </c>
      <c r="E971" s="80">
        <v>30049099</v>
      </c>
      <c r="F971" s="81" t="s">
        <v>4539</v>
      </c>
      <c r="G971" s="82" t="s">
        <v>4540</v>
      </c>
      <c r="H971" s="82" t="s">
        <v>4541</v>
      </c>
      <c r="I971" s="79" t="s">
        <v>2666</v>
      </c>
      <c r="J971" s="83">
        <v>140</v>
      </c>
      <c r="K971" s="83">
        <v>106.66666666666667</v>
      </c>
      <c r="L971" s="83">
        <v>106.66666666666667</v>
      </c>
      <c r="M971" s="84">
        <v>85.333333333333343</v>
      </c>
      <c r="N971" s="59">
        <f t="shared" si="15"/>
        <v>0.39047619047619042</v>
      </c>
      <c r="O971" s="85" t="s">
        <v>2414</v>
      </c>
      <c r="P971" s="86" t="s">
        <v>304</v>
      </c>
      <c r="Q971" s="87" t="s">
        <v>3208</v>
      </c>
      <c r="R971" s="87">
        <v>10</v>
      </c>
      <c r="S971" s="88">
        <v>14</v>
      </c>
      <c r="T971" s="88">
        <v>10.666666666666668</v>
      </c>
      <c r="U971" s="88">
        <v>8.533333333333335</v>
      </c>
      <c r="V971" s="87" t="s">
        <v>3061</v>
      </c>
      <c r="W971" s="87" t="s">
        <v>3114</v>
      </c>
      <c r="X971" s="90" t="s">
        <v>3477</v>
      </c>
      <c r="Y971" s="89"/>
      <c r="Z971" s="89"/>
      <c r="AA971" s="89"/>
      <c r="AB971" s="89"/>
    </row>
    <row r="972" spans="1:28" s="31" customFormat="1" ht="60" customHeight="1" x14ac:dyDescent="0.2">
      <c r="A972" s="76">
        <v>971</v>
      </c>
      <c r="B972" s="77">
        <v>50003985</v>
      </c>
      <c r="C972" s="78" t="s">
        <v>2411</v>
      </c>
      <c r="D972" s="79">
        <v>0.05</v>
      </c>
      <c r="E972" s="80">
        <v>30049099</v>
      </c>
      <c r="F972" s="81" t="s">
        <v>2412</v>
      </c>
      <c r="G972" s="82" t="s">
        <v>2413</v>
      </c>
      <c r="H972" s="82" t="s">
        <v>4056</v>
      </c>
      <c r="I972" s="79" t="s">
        <v>2666</v>
      </c>
      <c r="J972" s="83">
        <v>178.12</v>
      </c>
      <c r="K972" s="83">
        <v>135.71047619047619</v>
      </c>
      <c r="L972" s="83">
        <v>135.71047619047619</v>
      </c>
      <c r="M972" s="84">
        <v>108.56838095238095</v>
      </c>
      <c r="N972" s="59">
        <f t="shared" si="15"/>
        <v>0.39047619047619053</v>
      </c>
      <c r="O972" s="85" t="s">
        <v>2414</v>
      </c>
      <c r="P972" s="86" t="s">
        <v>2931</v>
      </c>
      <c r="Q972" s="87" t="s">
        <v>3208</v>
      </c>
      <c r="R972" s="87">
        <v>10</v>
      </c>
      <c r="S972" s="88">
        <v>17.812000000000001</v>
      </c>
      <c r="T972" s="88">
        <v>13.571047619047619</v>
      </c>
      <c r="U972" s="88">
        <v>10.856838095238095</v>
      </c>
      <c r="V972" s="87" t="s">
        <v>3061</v>
      </c>
      <c r="W972" s="87" t="s">
        <v>3114</v>
      </c>
      <c r="X972" s="90" t="s">
        <v>3477</v>
      </c>
      <c r="Y972" s="89"/>
      <c r="Z972" s="89">
        <v>10</v>
      </c>
      <c r="AA972" s="89"/>
      <c r="AB972" s="89"/>
    </row>
    <row r="973" spans="1:28" s="31" customFormat="1" ht="60" customHeight="1" x14ac:dyDescent="0.2">
      <c r="A973" s="76">
        <v>972</v>
      </c>
      <c r="B973" s="77">
        <v>50005586</v>
      </c>
      <c r="C973" s="78" t="s">
        <v>2411</v>
      </c>
      <c r="D973" s="79">
        <v>0.05</v>
      </c>
      <c r="E973" s="80">
        <v>30049099</v>
      </c>
      <c r="F973" s="81" t="s">
        <v>4813</v>
      </c>
      <c r="G973" s="82" t="s">
        <v>4851</v>
      </c>
      <c r="H973" s="82" t="s">
        <v>4852</v>
      </c>
      <c r="I973" s="79" t="s">
        <v>2663</v>
      </c>
      <c r="J973" s="83">
        <v>267.18</v>
      </c>
      <c r="K973" s="83">
        <v>203.56571428571428</v>
      </c>
      <c r="L973" s="83">
        <v>203.56571428571428</v>
      </c>
      <c r="M973" s="84">
        <v>162.85257142857142</v>
      </c>
      <c r="N973" s="59">
        <f t="shared" si="15"/>
        <v>0.39047619047619053</v>
      </c>
      <c r="O973" s="85" t="s">
        <v>2414</v>
      </c>
      <c r="P973" s="86" t="s">
        <v>2931</v>
      </c>
      <c r="Q973" s="87" t="s">
        <v>3208</v>
      </c>
      <c r="R973" s="87">
        <v>15</v>
      </c>
      <c r="S973" s="88">
        <v>17.812000000000001</v>
      </c>
      <c r="T973" s="88">
        <v>13.571047619047619</v>
      </c>
      <c r="U973" s="88">
        <v>10.856838095238095</v>
      </c>
      <c r="V973" s="87" t="s">
        <v>3061</v>
      </c>
      <c r="W973" s="87" t="s">
        <v>3114</v>
      </c>
      <c r="X973" s="90" t="s">
        <v>3477</v>
      </c>
      <c r="Y973" s="89"/>
      <c r="Z973" s="89"/>
      <c r="AA973" s="89"/>
      <c r="AB973" s="89" t="s">
        <v>3299</v>
      </c>
    </row>
    <row r="974" spans="1:28" s="31" customFormat="1" ht="60" customHeight="1" x14ac:dyDescent="0.2">
      <c r="A974" s="76">
        <v>973</v>
      </c>
      <c r="B974" s="77">
        <v>50003990</v>
      </c>
      <c r="C974" s="78" t="s">
        <v>2415</v>
      </c>
      <c r="D974" s="79">
        <v>0.05</v>
      </c>
      <c r="E974" s="80">
        <v>30049099</v>
      </c>
      <c r="F974" s="81" t="s">
        <v>2416</v>
      </c>
      <c r="G974" s="82" t="s">
        <v>2417</v>
      </c>
      <c r="H974" s="82" t="s">
        <v>3690</v>
      </c>
      <c r="I974" s="79" t="s">
        <v>2666</v>
      </c>
      <c r="J974" s="83">
        <v>71.3</v>
      </c>
      <c r="K974" s="83">
        <v>54.323809523809516</v>
      </c>
      <c r="L974" s="83">
        <v>54.323809523809516</v>
      </c>
      <c r="M974" s="84">
        <v>43.459047619047602</v>
      </c>
      <c r="N974" s="59">
        <f t="shared" si="15"/>
        <v>0.3904761904761907</v>
      </c>
      <c r="O974" s="85" t="s">
        <v>2414</v>
      </c>
      <c r="P974" s="86" t="s">
        <v>37</v>
      </c>
      <c r="Q974" s="87" t="s">
        <v>3208</v>
      </c>
      <c r="R974" s="87">
        <v>10</v>
      </c>
      <c r="S974" s="88">
        <v>7.13</v>
      </c>
      <c r="T974" s="88">
        <v>5.4323809523809512</v>
      </c>
      <c r="U974" s="88">
        <v>4.3459047619047606</v>
      </c>
      <c r="V974" s="87" t="s">
        <v>3061</v>
      </c>
      <c r="W974" s="87" t="s">
        <v>3114</v>
      </c>
      <c r="X974" s="90" t="s">
        <v>3477</v>
      </c>
      <c r="Y974" s="89"/>
      <c r="Z974" s="89">
        <v>10</v>
      </c>
      <c r="AA974" s="89"/>
      <c r="AB974" s="89"/>
    </row>
    <row r="975" spans="1:28" s="31" customFormat="1" ht="60" customHeight="1" x14ac:dyDescent="0.2">
      <c r="A975" s="76">
        <v>974</v>
      </c>
      <c r="B975" s="77">
        <v>50003991</v>
      </c>
      <c r="C975" s="78" t="s">
        <v>2418</v>
      </c>
      <c r="D975" s="79">
        <v>0.05</v>
      </c>
      <c r="E975" s="80">
        <v>30049099</v>
      </c>
      <c r="F975" s="81" t="s">
        <v>2419</v>
      </c>
      <c r="G975" s="82" t="s">
        <v>2420</v>
      </c>
      <c r="H975" s="82" t="s">
        <v>3691</v>
      </c>
      <c r="I975" s="79" t="s">
        <v>2666</v>
      </c>
      <c r="J975" s="83">
        <v>122.39</v>
      </c>
      <c r="K975" s="83">
        <v>93.249523809523808</v>
      </c>
      <c r="L975" s="83">
        <v>93.249523809523808</v>
      </c>
      <c r="M975" s="84">
        <v>74.599619047619029</v>
      </c>
      <c r="N975" s="59">
        <f t="shared" si="15"/>
        <v>0.39047619047619064</v>
      </c>
      <c r="O975" s="85" t="s">
        <v>2414</v>
      </c>
      <c r="P975" s="86" t="s">
        <v>37</v>
      </c>
      <c r="Q975" s="87" t="s">
        <v>3208</v>
      </c>
      <c r="R975" s="87">
        <v>10</v>
      </c>
      <c r="S975" s="88">
        <v>12.239000000000001</v>
      </c>
      <c r="T975" s="88">
        <v>9.3249523809523804</v>
      </c>
      <c r="U975" s="88">
        <v>7.4599619047619026</v>
      </c>
      <c r="V975" s="87" t="s">
        <v>3061</v>
      </c>
      <c r="W975" s="87" t="s">
        <v>3114</v>
      </c>
      <c r="X975" s="90" t="s">
        <v>3477</v>
      </c>
      <c r="Y975" s="89"/>
      <c r="Z975" s="89">
        <v>10</v>
      </c>
      <c r="AA975" s="89"/>
      <c r="AB975" s="89"/>
    </row>
    <row r="976" spans="1:28" s="31" customFormat="1" ht="60" customHeight="1" x14ac:dyDescent="0.2">
      <c r="A976" s="76">
        <v>975</v>
      </c>
      <c r="B976" s="77">
        <v>50003992</v>
      </c>
      <c r="C976" s="78" t="s">
        <v>2421</v>
      </c>
      <c r="D976" s="79">
        <v>0.05</v>
      </c>
      <c r="E976" s="80">
        <v>30049099</v>
      </c>
      <c r="F976" s="81" t="s">
        <v>2422</v>
      </c>
      <c r="G976" s="82" t="s">
        <v>2423</v>
      </c>
      <c r="H976" s="82" t="s">
        <v>4057</v>
      </c>
      <c r="I976" s="79" t="s">
        <v>2666</v>
      </c>
      <c r="J976" s="83">
        <v>131.24</v>
      </c>
      <c r="K976" s="83">
        <v>99.992380952380955</v>
      </c>
      <c r="L976" s="83">
        <v>99.992380952380955</v>
      </c>
      <c r="M976" s="84">
        <v>79.993904761904759</v>
      </c>
      <c r="N976" s="59">
        <f t="shared" si="15"/>
        <v>0.39047619047619053</v>
      </c>
      <c r="O976" s="85" t="s">
        <v>2414</v>
      </c>
      <c r="P976" s="86" t="s">
        <v>2932</v>
      </c>
      <c r="Q976" s="87" t="s">
        <v>3208</v>
      </c>
      <c r="R976" s="87">
        <v>10</v>
      </c>
      <c r="S976" s="88">
        <v>13.124000000000001</v>
      </c>
      <c r="T976" s="88">
        <v>9.9992380952380948</v>
      </c>
      <c r="U976" s="88">
        <v>7.9993904761904755</v>
      </c>
      <c r="V976" s="87" t="s">
        <v>3061</v>
      </c>
      <c r="W976" s="87" t="s">
        <v>3114</v>
      </c>
      <c r="X976" s="90" t="s">
        <v>3477</v>
      </c>
      <c r="Y976" s="89"/>
      <c r="Z976" s="89">
        <v>10</v>
      </c>
      <c r="AA976" s="89"/>
      <c r="AB976" s="89"/>
    </row>
    <row r="977" spans="1:28" s="31" customFormat="1" ht="60" customHeight="1" x14ac:dyDescent="0.2">
      <c r="A977" s="76">
        <v>976</v>
      </c>
      <c r="B977" s="77">
        <v>50005836</v>
      </c>
      <c r="C977" s="78" t="s">
        <v>2421</v>
      </c>
      <c r="D977" s="79">
        <v>0.05</v>
      </c>
      <c r="E977" s="80">
        <v>30049099</v>
      </c>
      <c r="F977" s="81" t="s">
        <v>4710</v>
      </c>
      <c r="G977" s="82" t="s">
        <v>2423</v>
      </c>
      <c r="H977" s="82" t="s">
        <v>4057</v>
      </c>
      <c r="I977" s="79" t="s">
        <v>2663</v>
      </c>
      <c r="J977" s="83">
        <v>196.85</v>
      </c>
      <c r="K977" s="83">
        <v>149.98095238095237</v>
      </c>
      <c r="L977" s="83">
        <v>149.98095238095237</v>
      </c>
      <c r="M977" s="84">
        <v>119.98476190476191</v>
      </c>
      <c r="N977" s="59">
        <f t="shared" si="15"/>
        <v>0.39047619047619042</v>
      </c>
      <c r="O977" s="85" t="s">
        <v>2414</v>
      </c>
      <c r="P977" s="86" t="s">
        <v>2932</v>
      </c>
      <c r="Q977" s="87" t="s">
        <v>3208</v>
      </c>
      <c r="R977" s="87">
        <v>15</v>
      </c>
      <c r="S977" s="88">
        <v>13.123333333333333</v>
      </c>
      <c r="T977" s="88">
        <v>9.998730158730158</v>
      </c>
      <c r="U977" s="88">
        <v>7.9989841269841273</v>
      </c>
      <c r="V977" s="87" t="s">
        <v>3061</v>
      </c>
      <c r="W977" s="87" t="s">
        <v>3114</v>
      </c>
      <c r="X977" s="90" t="s">
        <v>3477</v>
      </c>
      <c r="Y977" s="89"/>
      <c r="Z977" s="89"/>
      <c r="AA977" s="89"/>
      <c r="AB977" s="89"/>
    </row>
    <row r="978" spans="1:28" s="31" customFormat="1" ht="60" customHeight="1" x14ac:dyDescent="0.2">
      <c r="A978" s="76">
        <v>977</v>
      </c>
      <c r="B978" s="77">
        <v>50005584</v>
      </c>
      <c r="C978" s="78" t="s">
        <v>2424</v>
      </c>
      <c r="D978" s="79">
        <v>0.05</v>
      </c>
      <c r="E978" s="80">
        <v>30049099</v>
      </c>
      <c r="F978" s="81" t="s">
        <v>4147</v>
      </c>
      <c r="G978" s="82" t="s">
        <v>4169</v>
      </c>
      <c r="H978" s="82" t="s">
        <v>4170</v>
      </c>
      <c r="I978" s="79" t="s">
        <v>2663</v>
      </c>
      <c r="J978" s="83">
        <v>105.46</v>
      </c>
      <c r="K978" s="83">
        <v>80.350476190476201</v>
      </c>
      <c r="L978" s="83">
        <v>80.350476190476201</v>
      </c>
      <c r="M978" s="84">
        <v>64.280380952380952</v>
      </c>
      <c r="N978" s="59">
        <f t="shared" si="15"/>
        <v>0.39047619047619042</v>
      </c>
      <c r="O978" s="85" t="s">
        <v>2414</v>
      </c>
      <c r="P978" s="86" t="s">
        <v>37</v>
      </c>
      <c r="Q978" s="87" t="s">
        <v>3208</v>
      </c>
      <c r="R978" s="87">
        <v>15</v>
      </c>
      <c r="S978" s="88">
        <v>7.030666666666666</v>
      </c>
      <c r="T978" s="88">
        <v>5.356698412698413</v>
      </c>
      <c r="U978" s="88">
        <v>4.2853587301587304</v>
      </c>
      <c r="V978" s="87" t="s">
        <v>3061</v>
      </c>
      <c r="W978" s="87" t="s">
        <v>3114</v>
      </c>
      <c r="X978" s="90" t="s">
        <v>3477</v>
      </c>
      <c r="Y978" s="89"/>
      <c r="Z978" s="89"/>
      <c r="AA978" s="89"/>
      <c r="AB978" s="89"/>
    </row>
    <row r="979" spans="1:28" s="31" customFormat="1" ht="60" customHeight="1" x14ac:dyDescent="0.2">
      <c r="A979" s="76">
        <v>978</v>
      </c>
      <c r="B979" s="77">
        <v>50005583</v>
      </c>
      <c r="C979" s="78" t="s">
        <v>2426</v>
      </c>
      <c r="D979" s="79">
        <v>0.05</v>
      </c>
      <c r="E979" s="80">
        <v>30049099</v>
      </c>
      <c r="F979" s="81" t="s">
        <v>4148</v>
      </c>
      <c r="G979" s="82" t="s">
        <v>4171</v>
      </c>
      <c r="H979" s="82" t="s">
        <v>4172</v>
      </c>
      <c r="I979" s="79" t="s">
        <v>2663</v>
      </c>
      <c r="J979" s="83">
        <v>179.99</v>
      </c>
      <c r="K979" s="83">
        <v>137.13523809523809</v>
      </c>
      <c r="L979" s="83">
        <v>137.13523809523809</v>
      </c>
      <c r="M979" s="84">
        <v>109.70819047619048</v>
      </c>
      <c r="N979" s="59">
        <f t="shared" si="15"/>
        <v>0.39047619047619048</v>
      </c>
      <c r="O979" s="85" t="s">
        <v>2414</v>
      </c>
      <c r="P979" s="86" t="s">
        <v>37</v>
      </c>
      <c r="Q979" s="87" t="s">
        <v>3208</v>
      </c>
      <c r="R979" s="87">
        <v>15</v>
      </c>
      <c r="S979" s="88">
        <v>11.999333333333334</v>
      </c>
      <c r="T979" s="88">
        <v>9.1423492063492056</v>
      </c>
      <c r="U979" s="88">
        <v>7.313879365079365</v>
      </c>
      <c r="V979" s="87" t="s">
        <v>3061</v>
      </c>
      <c r="W979" s="87" t="s">
        <v>3114</v>
      </c>
      <c r="X979" s="90" t="s">
        <v>3477</v>
      </c>
      <c r="Y979" s="89"/>
      <c r="Z979" s="89"/>
      <c r="AA979" s="89"/>
      <c r="AB979" s="89"/>
    </row>
    <row r="980" spans="1:28" s="31" customFormat="1" ht="60" customHeight="1" x14ac:dyDescent="0.2">
      <c r="A980" s="76">
        <v>979</v>
      </c>
      <c r="B980" s="77">
        <v>50003986</v>
      </c>
      <c r="C980" s="78" t="s">
        <v>2428</v>
      </c>
      <c r="D980" s="79">
        <v>0.05</v>
      </c>
      <c r="E980" s="80">
        <v>30049099</v>
      </c>
      <c r="F980" s="81" t="s">
        <v>2429</v>
      </c>
      <c r="G980" s="82" t="s">
        <v>2430</v>
      </c>
      <c r="H980" s="82" t="s">
        <v>115</v>
      </c>
      <c r="I980" s="79" t="s">
        <v>2666</v>
      </c>
      <c r="J980" s="83">
        <v>37.49</v>
      </c>
      <c r="K980" s="83">
        <v>28.563809523809521</v>
      </c>
      <c r="L980" s="83">
        <v>28.563809523809521</v>
      </c>
      <c r="M980" s="84">
        <v>22.85104761904762</v>
      </c>
      <c r="N980" s="59">
        <f t="shared" si="15"/>
        <v>0.39047619047619048</v>
      </c>
      <c r="O980" s="85" t="s">
        <v>2414</v>
      </c>
      <c r="P980" s="86" t="s">
        <v>37</v>
      </c>
      <c r="Q980" s="87" t="s">
        <v>3208</v>
      </c>
      <c r="R980" s="87">
        <v>10</v>
      </c>
      <c r="S980" s="88">
        <v>3.7490000000000001</v>
      </c>
      <c r="T980" s="88">
        <v>2.856380952380952</v>
      </c>
      <c r="U980" s="88">
        <v>2.285104761904762</v>
      </c>
      <c r="V980" s="87" t="s">
        <v>3061</v>
      </c>
      <c r="W980" s="87" t="s">
        <v>3114</v>
      </c>
      <c r="X980" s="90" t="s">
        <v>3477</v>
      </c>
      <c r="Y980" s="89"/>
      <c r="Z980" s="89">
        <v>25</v>
      </c>
      <c r="AA980" s="89"/>
      <c r="AB980" s="89"/>
    </row>
    <row r="981" spans="1:28" s="31" customFormat="1" ht="60" customHeight="1" x14ac:dyDescent="0.2">
      <c r="A981" s="76">
        <v>980</v>
      </c>
      <c r="B981" s="77">
        <v>50003987</v>
      </c>
      <c r="C981" s="78" t="s">
        <v>2431</v>
      </c>
      <c r="D981" s="79">
        <v>0.05</v>
      </c>
      <c r="E981" s="80">
        <v>30049099</v>
      </c>
      <c r="F981" s="81" t="s">
        <v>2432</v>
      </c>
      <c r="G981" s="82" t="s">
        <v>2433</v>
      </c>
      <c r="H981" s="82" t="s">
        <v>119</v>
      </c>
      <c r="I981" s="79" t="s">
        <v>2663</v>
      </c>
      <c r="J981" s="83">
        <v>87.18</v>
      </c>
      <c r="K981" s="83">
        <v>66.42285714285714</v>
      </c>
      <c r="L981" s="83">
        <v>66.42285714285714</v>
      </c>
      <c r="M981" s="84">
        <v>53.138285714285729</v>
      </c>
      <c r="N981" s="59">
        <f t="shared" si="15"/>
        <v>0.39047619047619037</v>
      </c>
      <c r="O981" s="85" t="s">
        <v>2414</v>
      </c>
      <c r="P981" s="86" t="s">
        <v>3152</v>
      </c>
      <c r="Q981" s="87" t="s">
        <v>3208</v>
      </c>
      <c r="R981" s="87">
        <v>15</v>
      </c>
      <c r="S981" s="88">
        <v>5.8120000000000003</v>
      </c>
      <c r="T981" s="88">
        <v>4.4281904761904762</v>
      </c>
      <c r="U981" s="88">
        <v>3.5425523809523818</v>
      </c>
      <c r="V981" s="87" t="s">
        <v>3061</v>
      </c>
      <c r="W981" s="87" t="s">
        <v>3114</v>
      </c>
      <c r="X981" s="90" t="s">
        <v>3477</v>
      </c>
      <c r="Y981" s="89"/>
      <c r="Z981" s="89">
        <v>18</v>
      </c>
      <c r="AA981" s="89"/>
      <c r="AB981" s="89"/>
    </row>
    <row r="982" spans="1:28" s="31" customFormat="1" ht="60" customHeight="1" x14ac:dyDescent="0.2">
      <c r="A982" s="76">
        <v>981</v>
      </c>
      <c r="B982" s="77">
        <v>50003988</v>
      </c>
      <c r="C982" s="78" t="s">
        <v>2434</v>
      </c>
      <c r="D982" s="79">
        <v>0.05</v>
      </c>
      <c r="E982" s="80">
        <v>30049099</v>
      </c>
      <c r="F982" s="81" t="s">
        <v>2435</v>
      </c>
      <c r="G982" s="82" t="s">
        <v>2436</v>
      </c>
      <c r="H982" s="82" t="s">
        <v>3692</v>
      </c>
      <c r="I982" s="79" t="s">
        <v>2663</v>
      </c>
      <c r="J982" s="83">
        <v>217.95</v>
      </c>
      <c r="K982" s="83">
        <v>166.05714285714288</v>
      </c>
      <c r="L982" s="83">
        <v>166.05714285714288</v>
      </c>
      <c r="M982" s="84">
        <v>132.84571428571431</v>
      </c>
      <c r="N982" s="59">
        <f t="shared" si="15"/>
        <v>0.39047619047619037</v>
      </c>
      <c r="O982" s="85" t="s">
        <v>2414</v>
      </c>
      <c r="P982" s="86" t="s">
        <v>3152</v>
      </c>
      <c r="Q982" s="87" t="s">
        <v>3208</v>
      </c>
      <c r="R982" s="87">
        <v>15</v>
      </c>
      <c r="S982" s="88">
        <v>14.53</v>
      </c>
      <c r="T982" s="88">
        <v>11.070476190476192</v>
      </c>
      <c r="U982" s="88">
        <v>8.8563809523809542</v>
      </c>
      <c r="V982" s="87" t="s">
        <v>3061</v>
      </c>
      <c r="W982" s="87" t="s">
        <v>3114</v>
      </c>
      <c r="X982" s="90" t="s">
        <v>3477</v>
      </c>
      <c r="Y982" s="89"/>
      <c r="Z982" s="89">
        <v>20</v>
      </c>
      <c r="AA982" s="89"/>
      <c r="AB982" s="89"/>
    </row>
    <row r="983" spans="1:28" s="31" customFormat="1" ht="60" customHeight="1" x14ac:dyDescent="0.2">
      <c r="A983" s="76">
        <v>982</v>
      </c>
      <c r="B983" s="77">
        <v>50005125</v>
      </c>
      <c r="C983" s="78" t="s">
        <v>3234</v>
      </c>
      <c r="D983" s="79">
        <v>0.05</v>
      </c>
      <c r="E983" s="80">
        <v>30049099</v>
      </c>
      <c r="F983" s="81" t="s">
        <v>3235</v>
      </c>
      <c r="G983" s="82" t="s">
        <v>3273</v>
      </c>
      <c r="H983" s="82" t="s">
        <v>3284</v>
      </c>
      <c r="I983" s="79" t="s">
        <v>2666</v>
      </c>
      <c r="J983" s="83">
        <v>72.180000000000007</v>
      </c>
      <c r="K983" s="83">
        <v>54.994285714285716</v>
      </c>
      <c r="L983" s="83">
        <v>54.994285714285716</v>
      </c>
      <c r="M983" s="84">
        <v>43.995428571428576</v>
      </c>
      <c r="N983" s="59">
        <f t="shared" si="15"/>
        <v>0.39047619047619048</v>
      </c>
      <c r="O983" s="85" t="s">
        <v>2414</v>
      </c>
      <c r="P983" s="86" t="s">
        <v>22</v>
      </c>
      <c r="Q983" s="87" t="s">
        <v>3208</v>
      </c>
      <c r="R983" s="87">
        <v>10</v>
      </c>
      <c r="S983" s="88">
        <v>7.2180000000000009</v>
      </c>
      <c r="T983" s="88">
        <v>5.499428571428572</v>
      </c>
      <c r="U983" s="88">
        <v>4.3995428571428574</v>
      </c>
      <c r="V983" s="87" t="s">
        <v>3061</v>
      </c>
      <c r="W983" s="87" t="s">
        <v>3114</v>
      </c>
      <c r="X983" s="90" t="s">
        <v>3477</v>
      </c>
      <c r="Y983" s="89"/>
      <c r="Z983" s="89">
        <v>3</v>
      </c>
      <c r="AA983" s="89"/>
      <c r="AB983" s="89"/>
    </row>
    <row r="984" spans="1:28" s="31" customFormat="1" ht="60" customHeight="1" x14ac:dyDescent="0.2">
      <c r="A984" s="76">
        <v>983</v>
      </c>
      <c r="B984" s="77">
        <v>50003996</v>
      </c>
      <c r="C984" s="78" t="s">
        <v>2439</v>
      </c>
      <c r="D984" s="79">
        <v>0.05</v>
      </c>
      <c r="E984" s="80">
        <v>30049099</v>
      </c>
      <c r="F984" s="81" t="s">
        <v>2440</v>
      </c>
      <c r="G984" s="82" t="s">
        <v>2441</v>
      </c>
      <c r="H984" s="82" t="s">
        <v>4058</v>
      </c>
      <c r="I984" s="79" t="s">
        <v>2666</v>
      </c>
      <c r="J984" s="83">
        <v>91.87</v>
      </c>
      <c r="K984" s="83">
        <v>69.996190476190478</v>
      </c>
      <c r="L984" s="83">
        <v>69.996190476190478</v>
      </c>
      <c r="M984" s="84">
        <v>55.996952380952386</v>
      </c>
      <c r="N984" s="59">
        <f t="shared" si="15"/>
        <v>0.39047619047619042</v>
      </c>
      <c r="O984" s="85" t="s">
        <v>2414</v>
      </c>
      <c r="P984" s="86" t="s">
        <v>123</v>
      </c>
      <c r="Q984" s="87" t="s">
        <v>3208</v>
      </c>
      <c r="R984" s="87">
        <v>10</v>
      </c>
      <c r="S984" s="88">
        <v>9.1870000000000012</v>
      </c>
      <c r="T984" s="88">
        <v>6.9996190476190474</v>
      </c>
      <c r="U984" s="88">
        <v>5.5996952380952383</v>
      </c>
      <c r="V984" s="87" t="s">
        <v>3061</v>
      </c>
      <c r="W984" s="87" t="s">
        <v>3114</v>
      </c>
      <c r="X984" s="90" t="s">
        <v>3477</v>
      </c>
      <c r="Y984" s="89"/>
      <c r="Z984" s="89">
        <v>3</v>
      </c>
      <c r="AA984" s="89"/>
      <c r="AB984" s="89"/>
    </row>
    <row r="985" spans="1:28" s="31" customFormat="1" ht="60" customHeight="1" x14ac:dyDescent="0.2">
      <c r="A985" s="76">
        <v>984</v>
      </c>
      <c r="B985" s="77">
        <v>50005585</v>
      </c>
      <c r="C985" s="78" t="s">
        <v>2439</v>
      </c>
      <c r="D985" s="79">
        <v>0.05</v>
      </c>
      <c r="E985" s="80">
        <v>30049099</v>
      </c>
      <c r="F985" s="81" t="s">
        <v>4814</v>
      </c>
      <c r="G985" s="82" t="s">
        <v>4853</v>
      </c>
      <c r="H985" s="82" t="s">
        <v>4043</v>
      </c>
      <c r="I985" s="79" t="s">
        <v>2663</v>
      </c>
      <c r="J985" s="83">
        <v>137.80000000000001</v>
      </c>
      <c r="K985" s="83">
        <v>104.99047619047622</v>
      </c>
      <c r="L985" s="83">
        <v>104.99047619047622</v>
      </c>
      <c r="M985" s="84">
        <v>83.992380952380984</v>
      </c>
      <c r="N985" s="59">
        <f t="shared" si="15"/>
        <v>0.39047619047619031</v>
      </c>
      <c r="O985" s="85" t="s">
        <v>2414</v>
      </c>
      <c r="P985" s="86" t="s">
        <v>123</v>
      </c>
      <c r="Q985" s="87" t="s">
        <v>3208</v>
      </c>
      <c r="R985" s="87">
        <v>15</v>
      </c>
      <c r="S985" s="88">
        <v>9.1866666666666674</v>
      </c>
      <c r="T985" s="88">
        <v>6.9993650793650808</v>
      </c>
      <c r="U985" s="88">
        <v>5.5994920634920655</v>
      </c>
      <c r="V985" s="87" t="s">
        <v>3061</v>
      </c>
      <c r="W985" s="87" t="s">
        <v>3114</v>
      </c>
      <c r="X985" s="90" t="s">
        <v>3477</v>
      </c>
      <c r="Y985" s="89"/>
      <c r="Z985" s="89"/>
      <c r="AA985" s="89"/>
      <c r="AB985" s="89" t="s">
        <v>3299</v>
      </c>
    </row>
    <row r="986" spans="1:28" s="31" customFormat="1" ht="60" customHeight="1" x14ac:dyDescent="0.2">
      <c r="A986" s="76">
        <v>985</v>
      </c>
      <c r="B986" s="77">
        <v>50003995</v>
      </c>
      <c r="C986" s="78" t="s">
        <v>2442</v>
      </c>
      <c r="D986" s="79">
        <v>0.05</v>
      </c>
      <c r="E986" s="80">
        <v>30049099</v>
      </c>
      <c r="F986" s="81" t="s">
        <v>2443</v>
      </c>
      <c r="G986" s="82" t="s">
        <v>2444</v>
      </c>
      <c r="H986" s="82" t="s">
        <v>4059</v>
      </c>
      <c r="I986" s="79" t="s">
        <v>2666</v>
      </c>
      <c r="J986" s="83">
        <v>150</v>
      </c>
      <c r="K986" s="83">
        <v>114.28571428571429</v>
      </c>
      <c r="L986" s="83">
        <v>114.28571428571429</v>
      </c>
      <c r="M986" s="84">
        <v>91.428571428571445</v>
      </c>
      <c r="N986" s="59">
        <f t="shared" si="15"/>
        <v>0.39047619047619037</v>
      </c>
      <c r="O986" s="85" t="s">
        <v>2414</v>
      </c>
      <c r="P986" s="86" t="s">
        <v>123</v>
      </c>
      <c r="Q986" s="87" t="s">
        <v>3208</v>
      </c>
      <c r="R986" s="87">
        <v>10</v>
      </c>
      <c r="S986" s="88">
        <v>15</v>
      </c>
      <c r="T986" s="88">
        <v>11.428571428571429</v>
      </c>
      <c r="U986" s="88">
        <v>9.1428571428571441</v>
      </c>
      <c r="V986" s="87" t="s">
        <v>3061</v>
      </c>
      <c r="W986" s="87" t="s">
        <v>3114</v>
      </c>
      <c r="X986" s="90" t="s">
        <v>3477</v>
      </c>
      <c r="Y986" s="89"/>
      <c r="Z986" s="89">
        <v>3</v>
      </c>
      <c r="AA986" s="89"/>
      <c r="AB986" s="89"/>
    </row>
    <row r="987" spans="1:28" s="31" customFormat="1" ht="60" customHeight="1" x14ac:dyDescent="0.2">
      <c r="A987" s="76">
        <v>986</v>
      </c>
      <c r="B987" s="77">
        <v>50005714</v>
      </c>
      <c r="C987" s="78" t="s">
        <v>2442</v>
      </c>
      <c r="D987" s="79">
        <v>0.05</v>
      </c>
      <c r="E987" s="80">
        <v>30049099</v>
      </c>
      <c r="F987" s="81" t="s">
        <v>4815</v>
      </c>
      <c r="G987" s="82" t="s">
        <v>4854</v>
      </c>
      <c r="H987" s="82" t="s">
        <v>3771</v>
      </c>
      <c r="I987" s="79" t="s">
        <v>2663</v>
      </c>
      <c r="J987" s="83">
        <v>225</v>
      </c>
      <c r="K987" s="83">
        <v>171.42857142857142</v>
      </c>
      <c r="L987" s="83">
        <v>171.42857142857142</v>
      </c>
      <c r="M987" s="84">
        <v>137.14285714285714</v>
      </c>
      <c r="N987" s="59">
        <f t="shared" si="15"/>
        <v>0.39047619047619048</v>
      </c>
      <c r="O987" s="85" t="s">
        <v>2414</v>
      </c>
      <c r="P987" s="86" t="s">
        <v>123</v>
      </c>
      <c r="Q987" s="87" t="s">
        <v>3208</v>
      </c>
      <c r="R987" s="87">
        <v>15</v>
      </c>
      <c r="S987" s="88">
        <v>15</v>
      </c>
      <c r="T987" s="88">
        <v>11.428571428571427</v>
      </c>
      <c r="U987" s="88">
        <v>9.1428571428571423</v>
      </c>
      <c r="V987" s="87" t="s">
        <v>3061</v>
      </c>
      <c r="W987" s="87" t="s">
        <v>3114</v>
      </c>
      <c r="X987" s="90" t="s">
        <v>3477</v>
      </c>
      <c r="Y987" s="89"/>
      <c r="Z987" s="89"/>
      <c r="AA987" s="89"/>
      <c r="AB987" s="89" t="s">
        <v>3299</v>
      </c>
    </row>
    <row r="988" spans="1:28" s="31" customFormat="1" ht="60" customHeight="1" x14ac:dyDescent="0.2">
      <c r="A988" s="76">
        <v>987</v>
      </c>
      <c r="B988" s="77">
        <v>50004682</v>
      </c>
      <c r="C988" s="78" t="s">
        <v>2445</v>
      </c>
      <c r="D988" s="79">
        <v>0.05</v>
      </c>
      <c r="E988" s="80">
        <v>30049099</v>
      </c>
      <c r="F988" s="81" t="s">
        <v>2446</v>
      </c>
      <c r="G988" s="82" t="s">
        <v>2447</v>
      </c>
      <c r="H988" s="82" t="s">
        <v>4060</v>
      </c>
      <c r="I988" s="79" t="s">
        <v>2663</v>
      </c>
      <c r="J988" s="83">
        <v>189.39</v>
      </c>
      <c r="K988" s="83">
        <v>144.29714285714286</v>
      </c>
      <c r="L988" s="83">
        <v>144.29714285714286</v>
      </c>
      <c r="M988" s="84">
        <v>115.43771428571429</v>
      </c>
      <c r="N988" s="59">
        <f t="shared" si="15"/>
        <v>0.39047619047619042</v>
      </c>
      <c r="O988" s="85" t="s">
        <v>2414</v>
      </c>
      <c r="P988" s="86" t="s">
        <v>2933</v>
      </c>
      <c r="Q988" s="87" t="s">
        <v>3208</v>
      </c>
      <c r="R988" s="87">
        <v>15</v>
      </c>
      <c r="S988" s="88">
        <v>12.625999999999999</v>
      </c>
      <c r="T988" s="88">
        <v>9.6198095238095238</v>
      </c>
      <c r="U988" s="88">
        <v>7.6958476190476199</v>
      </c>
      <c r="V988" s="87" t="s">
        <v>3061</v>
      </c>
      <c r="W988" s="87" t="s">
        <v>3114</v>
      </c>
      <c r="X988" s="90" t="s">
        <v>3477</v>
      </c>
      <c r="Y988" s="89"/>
      <c r="Z988" s="89">
        <v>10</v>
      </c>
      <c r="AA988" s="89"/>
      <c r="AB988" s="89"/>
    </row>
    <row r="989" spans="1:28" s="31" customFormat="1" ht="60" customHeight="1" x14ac:dyDescent="0.2">
      <c r="A989" s="76">
        <v>988</v>
      </c>
      <c r="B989" s="77">
        <v>50004667</v>
      </c>
      <c r="C989" s="78" t="s">
        <v>2448</v>
      </c>
      <c r="D989" s="79">
        <v>0.05</v>
      </c>
      <c r="E989" s="80">
        <v>30049099</v>
      </c>
      <c r="F989" s="81" t="s">
        <v>2449</v>
      </c>
      <c r="G989" s="82" t="s">
        <v>2450</v>
      </c>
      <c r="H989" s="82" t="s">
        <v>72</v>
      </c>
      <c r="I989" s="79" t="s">
        <v>2666</v>
      </c>
      <c r="J989" s="83">
        <v>149.05000000000001</v>
      </c>
      <c r="K989" s="83">
        <v>113.56190476190477</v>
      </c>
      <c r="L989" s="83">
        <v>113.56190476190477</v>
      </c>
      <c r="M989" s="84">
        <v>90.849523809523802</v>
      </c>
      <c r="N989" s="59">
        <f t="shared" si="15"/>
        <v>0.39047619047619059</v>
      </c>
      <c r="O989" s="85" t="s">
        <v>2414</v>
      </c>
      <c r="P989" s="86" t="s">
        <v>2813</v>
      </c>
      <c r="Q989" s="87" t="s">
        <v>3208</v>
      </c>
      <c r="R989" s="87">
        <v>10</v>
      </c>
      <c r="S989" s="88">
        <v>14.905000000000001</v>
      </c>
      <c r="T989" s="88">
        <v>11.356190476190477</v>
      </c>
      <c r="U989" s="88">
        <v>9.0849523809523802</v>
      </c>
      <c r="V989" s="87" t="s">
        <v>3061</v>
      </c>
      <c r="W989" s="87" t="s">
        <v>3114</v>
      </c>
      <c r="X989" s="90" t="s">
        <v>3477</v>
      </c>
      <c r="Y989" s="89"/>
      <c r="Z989" s="89">
        <v>10</v>
      </c>
      <c r="AA989" s="89"/>
      <c r="AB989" s="89"/>
    </row>
    <row r="990" spans="1:28" s="31" customFormat="1" ht="60" customHeight="1" x14ac:dyDescent="0.2">
      <c r="A990" s="76">
        <v>989</v>
      </c>
      <c r="B990" s="77">
        <v>50004666</v>
      </c>
      <c r="C990" s="78" t="s">
        <v>2451</v>
      </c>
      <c r="D990" s="79">
        <v>0.05</v>
      </c>
      <c r="E990" s="80">
        <v>30049099</v>
      </c>
      <c r="F990" s="81" t="s">
        <v>2452</v>
      </c>
      <c r="G990" s="82" t="s">
        <v>2453</v>
      </c>
      <c r="H990" s="82" t="s">
        <v>607</v>
      </c>
      <c r="I990" s="79" t="s">
        <v>2666</v>
      </c>
      <c r="J990" s="83">
        <v>233.43</v>
      </c>
      <c r="K990" s="83">
        <v>177.85142857142858</v>
      </c>
      <c r="L990" s="83">
        <v>177.85142857142858</v>
      </c>
      <c r="M990" s="84">
        <v>142.28114285714287</v>
      </c>
      <c r="N990" s="59">
        <f t="shared" si="15"/>
        <v>0.39047619047619042</v>
      </c>
      <c r="O990" s="85" t="s">
        <v>2414</v>
      </c>
      <c r="P990" s="86" t="s">
        <v>2813</v>
      </c>
      <c r="Q990" s="87" t="s">
        <v>3208</v>
      </c>
      <c r="R990" s="87">
        <v>10</v>
      </c>
      <c r="S990" s="88">
        <v>23.343</v>
      </c>
      <c r="T990" s="88">
        <v>17.785142857142858</v>
      </c>
      <c r="U990" s="88">
        <v>14.228114285714287</v>
      </c>
      <c r="V990" s="87" t="s">
        <v>3061</v>
      </c>
      <c r="W990" s="87" t="s">
        <v>3114</v>
      </c>
      <c r="X990" s="90" t="s">
        <v>3477</v>
      </c>
      <c r="Y990" s="89"/>
      <c r="Z990" s="89">
        <v>10</v>
      </c>
      <c r="AA990" s="89"/>
      <c r="AB990" s="89"/>
    </row>
    <row r="991" spans="1:28" s="31" customFormat="1" ht="60" customHeight="1" x14ac:dyDescent="0.2">
      <c r="A991" s="76">
        <v>990</v>
      </c>
      <c r="B991" s="77">
        <v>50004843</v>
      </c>
      <c r="C991" s="78" t="s">
        <v>2454</v>
      </c>
      <c r="D991" s="79">
        <v>0.05</v>
      </c>
      <c r="E991" s="80">
        <v>30049099</v>
      </c>
      <c r="F991" s="81" t="s">
        <v>451</v>
      </c>
      <c r="G991" s="82" t="s">
        <v>2455</v>
      </c>
      <c r="H991" s="82" t="s">
        <v>26</v>
      </c>
      <c r="I991" s="79" t="s">
        <v>2666</v>
      </c>
      <c r="J991" s="83">
        <v>84.29</v>
      </c>
      <c r="K991" s="83">
        <v>64.220952380952383</v>
      </c>
      <c r="L991" s="83">
        <v>64.220952380952383</v>
      </c>
      <c r="M991" s="84">
        <v>51.376761904761892</v>
      </c>
      <c r="N991" s="59">
        <f t="shared" si="15"/>
        <v>0.39047619047619064</v>
      </c>
      <c r="O991" s="85" t="s">
        <v>2414</v>
      </c>
      <c r="P991" s="86" t="s">
        <v>2734</v>
      </c>
      <c r="Q991" s="87" t="s">
        <v>3208</v>
      </c>
      <c r="R991" s="87">
        <v>10</v>
      </c>
      <c r="S991" s="88">
        <v>8.4290000000000003</v>
      </c>
      <c r="T991" s="88">
        <v>6.4220952380952383</v>
      </c>
      <c r="U991" s="88">
        <v>5.1376761904761894</v>
      </c>
      <c r="V991" s="87" t="s">
        <v>3061</v>
      </c>
      <c r="W991" s="87" t="s">
        <v>3114</v>
      </c>
      <c r="X991" s="90" t="s">
        <v>3477</v>
      </c>
      <c r="Y991" s="89" t="s">
        <v>3455</v>
      </c>
      <c r="Z991" s="89">
        <v>3</v>
      </c>
      <c r="AA991" s="89"/>
      <c r="AB991" s="89"/>
    </row>
    <row r="992" spans="1:28" s="31" customFormat="1" ht="60" customHeight="1" x14ac:dyDescent="0.2">
      <c r="A992" s="76">
        <v>991</v>
      </c>
      <c r="B992" s="77">
        <v>50004846</v>
      </c>
      <c r="C992" s="78" t="s">
        <v>2456</v>
      </c>
      <c r="D992" s="79">
        <v>0.05</v>
      </c>
      <c r="E992" s="80">
        <v>30049099</v>
      </c>
      <c r="F992" s="81" t="s">
        <v>2457</v>
      </c>
      <c r="G992" s="82" t="s">
        <v>2458</v>
      </c>
      <c r="H992" s="82" t="s">
        <v>3932</v>
      </c>
      <c r="I992" s="79" t="s">
        <v>2666</v>
      </c>
      <c r="J992" s="83">
        <v>140.61000000000001</v>
      </c>
      <c r="K992" s="83">
        <v>107.13142857142859</v>
      </c>
      <c r="L992" s="83">
        <v>107.13142857142859</v>
      </c>
      <c r="M992" s="84">
        <v>85.705142857142874</v>
      </c>
      <c r="N992" s="59">
        <f t="shared" si="15"/>
        <v>0.39047619047619042</v>
      </c>
      <c r="O992" s="85" t="s">
        <v>2414</v>
      </c>
      <c r="P992" s="86" t="s">
        <v>2813</v>
      </c>
      <c r="Q992" s="87" t="s">
        <v>3208</v>
      </c>
      <c r="R992" s="87">
        <v>10</v>
      </c>
      <c r="S992" s="88">
        <v>14.061000000000002</v>
      </c>
      <c r="T992" s="88">
        <v>10.713142857142859</v>
      </c>
      <c r="U992" s="88">
        <v>8.5705142857142871</v>
      </c>
      <c r="V992" s="87" t="s">
        <v>3061</v>
      </c>
      <c r="W992" s="87" t="s">
        <v>3114</v>
      </c>
      <c r="X992" s="90" t="s">
        <v>3477</v>
      </c>
      <c r="Y992" s="89" t="s">
        <v>3455</v>
      </c>
      <c r="Z992" s="89">
        <v>3</v>
      </c>
      <c r="AA992" s="89"/>
      <c r="AB992" s="89"/>
    </row>
    <row r="993" spans="1:28" s="31" customFormat="1" ht="60" customHeight="1" x14ac:dyDescent="0.2">
      <c r="A993" s="76">
        <v>992</v>
      </c>
      <c r="B993" s="77">
        <v>50005221</v>
      </c>
      <c r="C993" s="78" t="s">
        <v>3236</v>
      </c>
      <c r="D993" s="79">
        <v>0.05</v>
      </c>
      <c r="E993" s="80">
        <v>30049099</v>
      </c>
      <c r="F993" s="81" t="s">
        <v>3237</v>
      </c>
      <c r="G993" s="82" t="s">
        <v>3274</v>
      </c>
      <c r="H993" s="82" t="s">
        <v>3285</v>
      </c>
      <c r="I993" s="79" t="s">
        <v>2666</v>
      </c>
      <c r="J993" s="83">
        <v>131.25</v>
      </c>
      <c r="K993" s="83">
        <v>100</v>
      </c>
      <c r="L993" s="83">
        <v>100</v>
      </c>
      <c r="M993" s="84">
        <v>80.000000000000014</v>
      </c>
      <c r="N993" s="59">
        <f t="shared" si="15"/>
        <v>0.39047619047619037</v>
      </c>
      <c r="O993" s="85" t="s">
        <v>2414</v>
      </c>
      <c r="P993" s="86" t="s">
        <v>3258</v>
      </c>
      <c r="Q993" s="87" t="s">
        <v>3208</v>
      </c>
      <c r="R993" s="87">
        <v>10</v>
      </c>
      <c r="S993" s="88">
        <v>13.125</v>
      </c>
      <c r="T993" s="88">
        <v>10</v>
      </c>
      <c r="U993" s="88">
        <v>8.0000000000000018</v>
      </c>
      <c r="V993" s="87" t="s">
        <v>3061</v>
      </c>
      <c r="W993" s="87" t="s">
        <v>3114</v>
      </c>
      <c r="X993" s="90" t="s">
        <v>3477</v>
      </c>
      <c r="Y993" s="89" t="s">
        <v>3455</v>
      </c>
      <c r="Z993" s="89">
        <v>3</v>
      </c>
      <c r="AA993" s="89"/>
      <c r="AB993" s="89"/>
    </row>
    <row r="994" spans="1:28" s="31" customFormat="1" ht="60" customHeight="1" x14ac:dyDescent="0.2">
      <c r="A994" s="76">
        <v>993</v>
      </c>
      <c r="B994" s="77">
        <v>50005220</v>
      </c>
      <c r="C994" s="78" t="s">
        <v>3238</v>
      </c>
      <c r="D994" s="79">
        <v>0.05</v>
      </c>
      <c r="E994" s="80">
        <v>30049099</v>
      </c>
      <c r="F994" s="81" t="s">
        <v>3239</v>
      </c>
      <c r="G994" s="82" t="s">
        <v>3275</v>
      </c>
      <c r="H994" s="82" t="s">
        <v>3286</v>
      </c>
      <c r="I994" s="79" t="s">
        <v>2666</v>
      </c>
      <c r="J994" s="83">
        <v>133.94</v>
      </c>
      <c r="K994" s="83">
        <v>102.04952380952381</v>
      </c>
      <c r="L994" s="83">
        <v>102.04952380952381</v>
      </c>
      <c r="M994" s="84">
        <v>81.63961904761905</v>
      </c>
      <c r="N994" s="59">
        <f t="shared" si="15"/>
        <v>0.39047619047619048</v>
      </c>
      <c r="O994" s="85" t="s">
        <v>2414</v>
      </c>
      <c r="P994" s="86" t="s">
        <v>3258</v>
      </c>
      <c r="Q994" s="87" t="s">
        <v>3208</v>
      </c>
      <c r="R994" s="87">
        <v>10</v>
      </c>
      <c r="S994" s="88">
        <v>13.394</v>
      </c>
      <c r="T994" s="88">
        <v>10.204952380952381</v>
      </c>
      <c r="U994" s="88">
        <v>8.163961904761905</v>
      </c>
      <c r="V994" s="87" t="s">
        <v>3061</v>
      </c>
      <c r="W994" s="87" t="s">
        <v>3114</v>
      </c>
      <c r="X994" s="90" t="s">
        <v>3477</v>
      </c>
      <c r="Y994" s="89" t="s">
        <v>3455</v>
      </c>
      <c r="Z994" s="89">
        <v>3</v>
      </c>
      <c r="AA994" s="89"/>
      <c r="AB994" s="89"/>
    </row>
    <row r="995" spans="1:28" s="31" customFormat="1" ht="60" customHeight="1" x14ac:dyDescent="0.2">
      <c r="A995" s="76">
        <v>994</v>
      </c>
      <c r="B995" s="77">
        <v>50004844</v>
      </c>
      <c r="C995" s="78" t="s">
        <v>2459</v>
      </c>
      <c r="D995" s="79">
        <v>0.05</v>
      </c>
      <c r="E995" s="80">
        <v>30049099</v>
      </c>
      <c r="F995" s="81" t="s">
        <v>2460</v>
      </c>
      <c r="G995" s="82" t="s">
        <v>2461</v>
      </c>
      <c r="H995" s="82" t="s">
        <v>3764</v>
      </c>
      <c r="I995" s="79" t="s">
        <v>2666</v>
      </c>
      <c r="J995" s="83">
        <v>78.56</v>
      </c>
      <c r="K995" s="83">
        <v>59.8552380952381</v>
      </c>
      <c r="L995" s="83">
        <v>59.8552380952381</v>
      </c>
      <c r="M995" s="84">
        <v>47.884190476190476</v>
      </c>
      <c r="N995" s="59">
        <f t="shared" si="15"/>
        <v>0.39047619047619048</v>
      </c>
      <c r="O995" s="85" t="s">
        <v>2414</v>
      </c>
      <c r="P995" s="86" t="s">
        <v>2734</v>
      </c>
      <c r="Q995" s="87" t="s">
        <v>3208</v>
      </c>
      <c r="R995" s="87">
        <v>10</v>
      </c>
      <c r="S995" s="88">
        <v>7.8559999999999999</v>
      </c>
      <c r="T995" s="88">
        <v>5.9855238095238104</v>
      </c>
      <c r="U995" s="88">
        <v>4.7884190476190476</v>
      </c>
      <c r="V995" s="87" t="s">
        <v>3061</v>
      </c>
      <c r="W995" s="87" t="s">
        <v>3114</v>
      </c>
      <c r="X995" s="90" t="s">
        <v>3477</v>
      </c>
      <c r="Y995" s="89" t="s">
        <v>3455</v>
      </c>
      <c r="Z995" s="89">
        <v>3</v>
      </c>
      <c r="AA995" s="89"/>
      <c r="AB995" s="89" t="s">
        <v>4613</v>
      </c>
    </row>
    <row r="996" spans="1:28" s="31" customFormat="1" ht="60" customHeight="1" x14ac:dyDescent="0.2">
      <c r="A996" s="76">
        <v>995</v>
      </c>
      <c r="B996" s="77">
        <v>50004845</v>
      </c>
      <c r="C996" s="78" t="s">
        <v>2462</v>
      </c>
      <c r="D996" s="79">
        <v>0.05</v>
      </c>
      <c r="E996" s="80">
        <v>30049099</v>
      </c>
      <c r="F996" s="81" t="s">
        <v>2463</v>
      </c>
      <c r="G996" s="82" t="s">
        <v>2464</v>
      </c>
      <c r="H996" s="82" t="s">
        <v>3765</v>
      </c>
      <c r="I996" s="79" t="s">
        <v>2666</v>
      </c>
      <c r="J996" s="83">
        <v>81.63</v>
      </c>
      <c r="K996" s="83">
        <v>62.194285714285719</v>
      </c>
      <c r="L996" s="83">
        <v>62.194285714285719</v>
      </c>
      <c r="M996" s="84">
        <v>49.755428571428581</v>
      </c>
      <c r="N996" s="59">
        <f t="shared" si="15"/>
        <v>0.39047619047619031</v>
      </c>
      <c r="O996" s="85" t="s">
        <v>2414</v>
      </c>
      <c r="P996" s="86" t="s">
        <v>2734</v>
      </c>
      <c r="Q996" s="87" t="s">
        <v>3208</v>
      </c>
      <c r="R996" s="87">
        <v>10</v>
      </c>
      <c r="S996" s="88">
        <v>8.1630000000000003</v>
      </c>
      <c r="T996" s="88">
        <v>6.2194285714285718</v>
      </c>
      <c r="U996" s="88">
        <v>4.9755428571428579</v>
      </c>
      <c r="V996" s="87" t="s">
        <v>3061</v>
      </c>
      <c r="W996" s="87" t="s">
        <v>3114</v>
      </c>
      <c r="X996" s="90" t="s">
        <v>3477</v>
      </c>
      <c r="Y996" s="89" t="s">
        <v>3455</v>
      </c>
      <c r="Z996" s="89">
        <v>3</v>
      </c>
      <c r="AA996" s="89"/>
      <c r="AB996" s="89"/>
    </row>
    <row r="997" spans="1:28" s="31" customFormat="1" ht="60" customHeight="1" x14ac:dyDescent="0.2">
      <c r="A997" s="76">
        <v>996</v>
      </c>
      <c r="B997" s="77">
        <v>50004033</v>
      </c>
      <c r="C997" s="78" t="s">
        <v>2465</v>
      </c>
      <c r="D997" s="79">
        <v>0.05</v>
      </c>
      <c r="E997" s="80">
        <v>30049099</v>
      </c>
      <c r="F997" s="81" t="s">
        <v>2466</v>
      </c>
      <c r="G997" s="82" t="s">
        <v>2467</v>
      </c>
      <c r="H997" s="82" t="s">
        <v>607</v>
      </c>
      <c r="I997" s="79" t="s">
        <v>2666</v>
      </c>
      <c r="J997" s="83">
        <v>40.049999999999997</v>
      </c>
      <c r="K997" s="83">
        <v>30.514285714285712</v>
      </c>
      <c r="L997" s="83">
        <v>30.514285714285712</v>
      </c>
      <c r="M997" s="84">
        <v>24.411428571428566</v>
      </c>
      <c r="N997" s="59">
        <f t="shared" si="15"/>
        <v>0.39047619047619059</v>
      </c>
      <c r="O997" s="85" t="s">
        <v>2414</v>
      </c>
      <c r="P997" s="86" t="s">
        <v>22</v>
      </c>
      <c r="Q997" s="87" t="s">
        <v>3207</v>
      </c>
      <c r="R997" s="87">
        <v>10</v>
      </c>
      <c r="S997" s="88">
        <v>4.0049999999999999</v>
      </c>
      <c r="T997" s="88">
        <v>3.0514285714285712</v>
      </c>
      <c r="U997" s="88">
        <v>2.4411428571428564</v>
      </c>
      <c r="V997" s="87" t="s">
        <v>3061</v>
      </c>
      <c r="W997" s="87" t="s">
        <v>3114</v>
      </c>
      <c r="X997" s="90" t="s">
        <v>3477</v>
      </c>
      <c r="Y997" s="89"/>
      <c r="Z997" s="89">
        <v>10</v>
      </c>
      <c r="AA997" s="89"/>
      <c r="AB997" s="89"/>
    </row>
    <row r="998" spans="1:28" s="31" customFormat="1" ht="60" customHeight="1" x14ac:dyDescent="0.2">
      <c r="A998" s="76">
        <v>997</v>
      </c>
      <c r="B998" s="77">
        <v>50004034</v>
      </c>
      <c r="C998" s="78" t="s">
        <v>2468</v>
      </c>
      <c r="D998" s="79">
        <v>0.05</v>
      </c>
      <c r="E998" s="80">
        <v>30049099</v>
      </c>
      <c r="F998" s="81" t="s">
        <v>2469</v>
      </c>
      <c r="G998" s="82" t="s">
        <v>2470</v>
      </c>
      <c r="H998" s="82" t="s">
        <v>72</v>
      </c>
      <c r="I998" s="79" t="s">
        <v>2666</v>
      </c>
      <c r="J998" s="83">
        <v>16.2</v>
      </c>
      <c r="K998" s="83">
        <v>12.342857142857143</v>
      </c>
      <c r="L998" s="83">
        <v>12.342857142857143</v>
      </c>
      <c r="M998" s="84">
        <v>12.342857142857142</v>
      </c>
      <c r="N998" s="59">
        <f t="shared" si="15"/>
        <v>0.23809523809523814</v>
      </c>
      <c r="O998" s="85" t="s">
        <v>2414</v>
      </c>
      <c r="P998" s="86" t="s">
        <v>22</v>
      </c>
      <c r="Q998" s="87" t="s">
        <v>3207</v>
      </c>
      <c r="R998" s="87">
        <v>10</v>
      </c>
      <c r="S998" s="88">
        <v>1.6199999999999999</v>
      </c>
      <c r="T998" s="88">
        <v>1.2342857142857144</v>
      </c>
      <c r="U998" s="88">
        <v>1.2342857142857142</v>
      </c>
      <c r="V998" s="87" t="s">
        <v>3061</v>
      </c>
      <c r="W998" s="87" t="s">
        <v>3114</v>
      </c>
      <c r="X998" s="90" t="s">
        <v>3477</v>
      </c>
      <c r="Y998" s="89"/>
      <c r="Z998" s="89">
        <v>20</v>
      </c>
      <c r="AA998" s="89"/>
      <c r="AB998" s="89"/>
    </row>
    <row r="999" spans="1:28" s="31" customFormat="1" ht="60" customHeight="1" x14ac:dyDescent="0.2">
      <c r="A999" s="76">
        <v>998</v>
      </c>
      <c r="B999" s="77">
        <v>50004041</v>
      </c>
      <c r="C999" s="78" t="s">
        <v>2471</v>
      </c>
      <c r="D999" s="79">
        <v>0.05</v>
      </c>
      <c r="E999" s="80">
        <v>30049099</v>
      </c>
      <c r="F999" s="81" t="s">
        <v>2472</v>
      </c>
      <c r="G999" s="82" t="s">
        <v>2473</v>
      </c>
      <c r="H999" s="82" t="s">
        <v>4061</v>
      </c>
      <c r="I999" s="79" t="s">
        <v>2693</v>
      </c>
      <c r="J999" s="83">
        <v>205.68</v>
      </c>
      <c r="K999" s="83">
        <v>156.70857142857142</v>
      </c>
      <c r="L999" s="83">
        <v>156.70857142857142</v>
      </c>
      <c r="M999" s="84">
        <v>125.36685714285714</v>
      </c>
      <c r="N999" s="59">
        <f t="shared" si="15"/>
        <v>0.39047619047619048</v>
      </c>
      <c r="O999" s="85" t="s">
        <v>2414</v>
      </c>
      <c r="P999" s="86" t="s">
        <v>48</v>
      </c>
      <c r="Q999" s="87" t="s">
        <v>3208</v>
      </c>
      <c r="R999" s="87">
        <v>10</v>
      </c>
      <c r="S999" s="88">
        <v>20.568000000000001</v>
      </c>
      <c r="T999" s="88">
        <v>15.670857142857141</v>
      </c>
      <c r="U999" s="88">
        <v>12.536685714285714</v>
      </c>
      <c r="V999" s="87" t="s">
        <v>3061</v>
      </c>
      <c r="W999" s="87" t="s">
        <v>3108</v>
      </c>
      <c r="X999" s="90" t="s">
        <v>3478</v>
      </c>
      <c r="Y999" s="89"/>
      <c r="Z999" s="89">
        <v>10</v>
      </c>
      <c r="AA999" s="89"/>
      <c r="AB999" s="89" t="s">
        <v>4613</v>
      </c>
    </row>
    <row r="1000" spans="1:28" s="31" customFormat="1" ht="60" customHeight="1" x14ac:dyDescent="0.2">
      <c r="A1000" s="76">
        <v>999</v>
      </c>
      <c r="B1000" s="77">
        <v>50004042</v>
      </c>
      <c r="C1000" s="78" t="s">
        <v>2474</v>
      </c>
      <c r="D1000" s="79">
        <v>0.05</v>
      </c>
      <c r="E1000" s="80">
        <v>30045039</v>
      </c>
      <c r="F1000" s="81" t="s">
        <v>2475</v>
      </c>
      <c r="G1000" s="82" t="s">
        <v>2476</v>
      </c>
      <c r="H1000" s="82" t="s">
        <v>4062</v>
      </c>
      <c r="I1000" s="79" t="s">
        <v>2666</v>
      </c>
      <c r="J1000" s="83">
        <v>137.94</v>
      </c>
      <c r="K1000" s="83">
        <v>105.09714285714286</v>
      </c>
      <c r="L1000" s="83">
        <v>105.09714285714286</v>
      </c>
      <c r="M1000" s="84">
        <v>84.077714285714293</v>
      </c>
      <c r="N1000" s="59">
        <f t="shared" si="15"/>
        <v>0.39047619047619042</v>
      </c>
      <c r="O1000" s="85" t="s">
        <v>2414</v>
      </c>
      <c r="P1000" s="86" t="s">
        <v>305</v>
      </c>
      <c r="Q1000" s="87" t="s">
        <v>3208</v>
      </c>
      <c r="R1000" s="87">
        <v>10</v>
      </c>
      <c r="S1000" s="88">
        <v>13.794</v>
      </c>
      <c r="T1000" s="88">
        <v>10.509714285714285</v>
      </c>
      <c r="U1000" s="88">
        <v>8.4077714285714293</v>
      </c>
      <c r="V1000" s="87" t="s">
        <v>3061</v>
      </c>
      <c r="W1000" s="87" t="s">
        <v>3107</v>
      </c>
      <c r="X1000" s="90" t="s">
        <v>3477</v>
      </c>
      <c r="Y1000" s="89"/>
      <c r="Z1000" s="89">
        <v>10</v>
      </c>
      <c r="AA1000" s="89"/>
      <c r="AB1000" s="89"/>
    </row>
    <row r="1001" spans="1:28" s="31" customFormat="1" ht="60" customHeight="1" x14ac:dyDescent="0.2">
      <c r="A1001" s="76">
        <v>1000</v>
      </c>
      <c r="B1001" s="77">
        <v>50004517</v>
      </c>
      <c r="C1001" s="78" t="s">
        <v>2477</v>
      </c>
      <c r="D1001" s="79">
        <v>0.05</v>
      </c>
      <c r="E1001" s="80">
        <v>30043190</v>
      </c>
      <c r="F1001" s="81" t="s">
        <v>2478</v>
      </c>
      <c r="G1001" s="82" t="s">
        <v>2479</v>
      </c>
      <c r="H1001" s="82" t="s">
        <v>2480</v>
      </c>
      <c r="I1001" s="79" t="s">
        <v>2934</v>
      </c>
      <c r="J1001" s="83">
        <v>189.71</v>
      </c>
      <c r="K1001" s="83">
        <v>144.54095238095238</v>
      </c>
      <c r="L1001" s="83">
        <v>144.54095238095238</v>
      </c>
      <c r="M1001" s="84">
        <v>115.63276190476189</v>
      </c>
      <c r="N1001" s="59">
        <f t="shared" si="15"/>
        <v>0.39047619047619059</v>
      </c>
      <c r="O1001" s="85" t="s">
        <v>2414</v>
      </c>
      <c r="P1001" s="86" t="s">
        <v>2749</v>
      </c>
      <c r="Q1001" s="87" t="s">
        <v>3207</v>
      </c>
      <c r="R1001" s="87">
        <v>120</v>
      </c>
      <c r="S1001" s="88">
        <v>1.5809166666666667</v>
      </c>
      <c r="T1001" s="88">
        <v>1.2045079365079365</v>
      </c>
      <c r="U1001" s="88">
        <v>0.96360634920634913</v>
      </c>
      <c r="V1001" s="87" t="s">
        <v>3062</v>
      </c>
      <c r="W1001" s="87" t="s">
        <v>3115</v>
      </c>
      <c r="X1001" s="90" t="s">
        <v>3477</v>
      </c>
      <c r="Y1001" s="89" t="s">
        <v>3455</v>
      </c>
      <c r="Z1001" s="89">
        <v>1</v>
      </c>
      <c r="AA1001" s="89"/>
      <c r="AB1001" s="89"/>
    </row>
    <row r="1002" spans="1:28" s="31" customFormat="1" ht="60" customHeight="1" x14ac:dyDescent="0.2">
      <c r="A1002" s="76">
        <v>1001</v>
      </c>
      <c r="B1002" s="77">
        <v>50004514</v>
      </c>
      <c r="C1002" s="78" t="s">
        <v>2481</v>
      </c>
      <c r="D1002" s="79">
        <v>0.05</v>
      </c>
      <c r="E1002" s="80">
        <v>30043190</v>
      </c>
      <c r="F1002" s="81" t="s">
        <v>2482</v>
      </c>
      <c r="G1002" s="82" t="s">
        <v>2483</v>
      </c>
      <c r="H1002" s="82" t="s">
        <v>2484</v>
      </c>
      <c r="I1002" s="79" t="s">
        <v>2934</v>
      </c>
      <c r="J1002" s="83">
        <v>184.57</v>
      </c>
      <c r="K1002" s="83">
        <v>140.6247619047619</v>
      </c>
      <c r="L1002" s="83">
        <v>140.6247619047619</v>
      </c>
      <c r="M1002" s="84">
        <v>112.49980952380956</v>
      </c>
      <c r="N1002" s="59">
        <f t="shared" si="15"/>
        <v>0.39047619047619025</v>
      </c>
      <c r="O1002" s="85" t="s">
        <v>2414</v>
      </c>
      <c r="P1002" s="86" t="s">
        <v>2749</v>
      </c>
      <c r="Q1002" s="87" t="s">
        <v>3207</v>
      </c>
      <c r="R1002" s="87">
        <v>120</v>
      </c>
      <c r="S1002" s="88">
        <v>1.5380833333333332</v>
      </c>
      <c r="T1002" s="88">
        <v>1.1718730158730157</v>
      </c>
      <c r="U1002" s="88">
        <v>0.93749841269841305</v>
      </c>
      <c r="V1002" s="87" t="s">
        <v>3062</v>
      </c>
      <c r="W1002" s="87" t="s">
        <v>3115</v>
      </c>
      <c r="X1002" s="90" t="s">
        <v>3477</v>
      </c>
      <c r="Y1002" s="89" t="s">
        <v>3455</v>
      </c>
      <c r="Z1002" s="89">
        <v>1</v>
      </c>
      <c r="AA1002" s="89"/>
      <c r="AB1002" s="89"/>
    </row>
    <row r="1003" spans="1:28" s="31" customFormat="1" ht="60" customHeight="1" x14ac:dyDescent="0.2">
      <c r="A1003" s="76">
        <v>1002</v>
      </c>
      <c r="B1003" s="77">
        <v>50005267</v>
      </c>
      <c r="C1003" s="78" t="s">
        <v>3461</v>
      </c>
      <c r="D1003" s="79">
        <v>0.05</v>
      </c>
      <c r="E1003" s="80">
        <v>30043190</v>
      </c>
      <c r="F1003" s="81" t="s">
        <v>3464</v>
      </c>
      <c r="G1003" s="82" t="s">
        <v>3472</v>
      </c>
      <c r="H1003" s="82" t="s">
        <v>3473</v>
      </c>
      <c r="I1003" s="79" t="s">
        <v>2934</v>
      </c>
      <c r="J1003" s="83">
        <v>185.2</v>
      </c>
      <c r="K1003" s="83">
        <v>141.10476190476192</v>
      </c>
      <c r="L1003" s="83">
        <v>141.10476190476192</v>
      </c>
      <c r="M1003" s="84">
        <v>112.88380952380957</v>
      </c>
      <c r="N1003" s="59">
        <f t="shared" si="15"/>
        <v>0.39047619047619014</v>
      </c>
      <c r="O1003" s="85" t="s">
        <v>2414</v>
      </c>
      <c r="P1003" s="86" t="s">
        <v>2749</v>
      </c>
      <c r="Q1003" s="87" t="s">
        <v>3207</v>
      </c>
      <c r="R1003" s="87">
        <v>120</v>
      </c>
      <c r="S1003" s="88">
        <v>1.5433333333333332</v>
      </c>
      <c r="T1003" s="88">
        <v>1.175873015873016</v>
      </c>
      <c r="U1003" s="88">
        <v>0.94069841269841314</v>
      </c>
      <c r="V1003" s="87" t="s">
        <v>3062</v>
      </c>
      <c r="W1003" s="87" t="s">
        <v>3115</v>
      </c>
      <c r="X1003" s="90" t="s">
        <v>3477</v>
      </c>
      <c r="Y1003" s="89"/>
      <c r="Z1003" s="89">
        <v>1</v>
      </c>
      <c r="AA1003" s="89"/>
      <c r="AB1003" s="89"/>
    </row>
    <row r="1004" spans="1:28" s="31" customFormat="1" ht="60" customHeight="1" x14ac:dyDescent="0.2">
      <c r="A1004" s="76">
        <v>1003</v>
      </c>
      <c r="B1004" s="77">
        <v>50004515</v>
      </c>
      <c r="C1004" s="78" t="s">
        <v>2485</v>
      </c>
      <c r="D1004" s="79">
        <v>0.05</v>
      </c>
      <c r="E1004" s="80">
        <v>30043190</v>
      </c>
      <c r="F1004" s="81" t="s">
        <v>2486</v>
      </c>
      <c r="G1004" s="82" t="s">
        <v>2487</v>
      </c>
      <c r="H1004" s="82" t="s">
        <v>2488</v>
      </c>
      <c r="I1004" s="79" t="s">
        <v>2934</v>
      </c>
      <c r="J1004" s="83">
        <v>132.02000000000001</v>
      </c>
      <c r="K1004" s="83">
        <v>100.58666666666667</v>
      </c>
      <c r="L1004" s="83">
        <v>100.58666666666667</v>
      </c>
      <c r="M1004" s="84">
        <v>80.469333333333324</v>
      </c>
      <c r="N1004" s="59">
        <f t="shared" si="15"/>
        <v>0.39047619047619059</v>
      </c>
      <c r="O1004" s="85" t="s">
        <v>2414</v>
      </c>
      <c r="P1004" s="86" t="s">
        <v>2749</v>
      </c>
      <c r="Q1004" s="87" t="s">
        <v>3207</v>
      </c>
      <c r="R1004" s="87">
        <v>120</v>
      </c>
      <c r="S1004" s="88">
        <v>1.1001666666666667</v>
      </c>
      <c r="T1004" s="88">
        <v>0.83822222222222231</v>
      </c>
      <c r="U1004" s="88">
        <v>0.67057777777777772</v>
      </c>
      <c r="V1004" s="87" t="s">
        <v>3062</v>
      </c>
      <c r="W1004" s="87" t="s">
        <v>3115</v>
      </c>
      <c r="X1004" s="90" t="s">
        <v>3477</v>
      </c>
      <c r="Y1004" s="89" t="s">
        <v>3455</v>
      </c>
      <c r="Z1004" s="89">
        <v>1</v>
      </c>
      <c r="AA1004" s="89"/>
      <c r="AB1004" s="89"/>
    </row>
    <row r="1005" spans="1:28" s="31" customFormat="1" ht="60" customHeight="1" x14ac:dyDescent="0.2">
      <c r="A1005" s="76">
        <v>1004</v>
      </c>
      <c r="B1005" s="77">
        <v>50003163</v>
      </c>
      <c r="C1005" s="78" t="s">
        <v>4633</v>
      </c>
      <c r="D1005" s="79">
        <v>0.05</v>
      </c>
      <c r="E1005" s="80">
        <v>30043190</v>
      </c>
      <c r="F1005" s="81" t="s">
        <v>4634</v>
      </c>
      <c r="G1005" s="82" t="s">
        <v>4635</v>
      </c>
      <c r="H1005" s="82" t="s">
        <v>4636</v>
      </c>
      <c r="I1005" s="79" t="s">
        <v>2934</v>
      </c>
      <c r="J1005" s="83">
        <v>206</v>
      </c>
      <c r="K1005" s="83">
        <v>156.95238095238096</v>
      </c>
      <c r="L1005" s="83">
        <v>156.95238095238096</v>
      </c>
      <c r="M1005" s="84">
        <v>125.56190476190477</v>
      </c>
      <c r="N1005" s="59">
        <f t="shared" si="15"/>
        <v>0.39047619047619042</v>
      </c>
      <c r="O1005" s="85" t="s">
        <v>2414</v>
      </c>
      <c r="P1005" s="86" t="s">
        <v>2749</v>
      </c>
      <c r="Q1005" s="87" t="s">
        <v>3207</v>
      </c>
      <c r="R1005" s="87">
        <v>120</v>
      </c>
      <c r="S1005" s="88">
        <v>1.7166666666666666</v>
      </c>
      <c r="T1005" s="88">
        <v>1.307936507936508</v>
      </c>
      <c r="U1005" s="88">
        <v>1.0463492063492064</v>
      </c>
      <c r="V1005" s="87" t="s">
        <v>3062</v>
      </c>
      <c r="W1005" s="87" t="s">
        <v>3115</v>
      </c>
      <c r="X1005" s="90" t="s">
        <v>3477</v>
      </c>
      <c r="Y1005" s="89"/>
      <c r="Z1005" s="89"/>
      <c r="AA1005" s="89"/>
      <c r="AB1005" s="89"/>
    </row>
    <row r="1006" spans="1:28" s="31" customFormat="1" ht="60" customHeight="1" x14ac:dyDescent="0.2">
      <c r="A1006" s="76">
        <v>1005</v>
      </c>
      <c r="B1006" s="77">
        <v>50004516</v>
      </c>
      <c r="C1006" s="78" t="s">
        <v>2489</v>
      </c>
      <c r="D1006" s="79">
        <v>0.05</v>
      </c>
      <c r="E1006" s="80">
        <v>30043190</v>
      </c>
      <c r="F1006" s="81" t="s">
        <v>2490</v>
      </c>
      <c r="G1006" s="82" t="s">
        <v>2491</v>
      </c>
      <c r="H1006" s="82" t="s">
        <v>2492</v>
      </c>
      <c r="I1006" s="79" t="s">
        <v>2934</v>
      </c>
      <c r="J1006" s="83">
        <v>183.3</v>
      </c>
      <c r="K1006" s="83">
        <v>139.65714285714287</v>
      </c>
      <c r="L1006" s="83">
        <v>139.65714285714287</v>
      </c>
      <c r="M1006" s="84">
        <v>111.7257142857143</v>
      </c>
      <c r="N1006" s="59">
        <f t="shared" si="15"/>
        <v>0.39047619047619042</v>
      </c>
      <c r="O1006" s="85" t="s">
        <v>2414</v>
      </c>
      <c r="P1006" s="86" t="s">
        <v>2749</v>
      </c>
      <c r="Q1006" s="87" t="s">
        <v>3207</v>
      </c>
      <c r="R1006" s="87">
        <v>120</v>
      </c>
      <c r="S1006" s="88">
        <v>1.5275000000000001</v>
      </c>
      <c r="T1006" s="88">
        <v>1.1638095238095238</v>
      </c>
      <c r="U1006" s="88">
        <v>0.93104761904761923</v>
      </c>
      <c r="V1006" s="87" t="s">
        <v>3062</v>
      </c>
      <c r="W1006" s="87" t="s">
        <v>3115</v>
      </c>
      <c r="X1006" s="90" t="s">
        <v>3477</v>
      </c>
      <c r="Y1006" s="89" t="s">
        <v>3455</v>
      </c>
      <c r="Z1006" s="89">
        <v>1</v>
      </c>
      <c r="AA1006" s="89"/>
      <c r="AB1006" s="89"/>
    </row>
    <row r="1007" spans="1:28" s="31" customFormat="1" ht="60" customHeight="1" x14ac:dyDescent="0.2">
      <c r="A1007" s="76">
        <v>1006</v>
      </c>
      <c r="B1007" s="77">
        <v>50003164</v>
      </c>
      <c r="C1007" s="78" t="s">
        <v>3576</v>
      </c>
      <c r="D1007" s="79">
        <v>0.05</v>
      </c>
      <c r="E1007" s="80">
        <v>30043190</v>
      </c>
      <c r="F1007" s="81" t="s">
        <v>3584</v>
      </c>
      <c r="G1007" s="82" t="s">
        <v>3607</v>
      </c>
      <c r="H1007" s="82" t="s">
        <v>3601</v>
      </c>
      <c r="I1007" s="79" t="s">
        <v>2934</v>
      </c>
      <c r="J1007" s="83">
        <v>207.9</v>
      </c>
      <c r="K1007" s="83">
        <v>158.4</v>
      </c>
      <c r="L1007" s="83">
        <v>158.4</v>
      </c>
      <c r="M1007" s="84">
        <v>126.71999999999997</v>
      </c>
      <c r="N1007" s="59">
        <f t="shared" si="15"/>
        <v>0.39047619047619064</v>
      </c>
      <c r="O1007" s="85" t="s">
        <v>2414</v>
      </c>
      <c r="P1007" s="86" t="s">
        <v>2749</v>
      </c>
      <c r="Q1007" s="87" t="s">
        <v>3207</v>
      </c>
      <c r="R1007" s="87">
        <v>120</v>
      </c>
      <c r="S1007" s="88">
        <v>1.7325000000000002</v>
      </c>
      <c r="T1007" s="88">
        <v>1.32</v>
      </c>
      <c r="U1007" s="88">
        <v>1.0559999999999998</v>
      </c>
      <c r="V1007" s="87" t="s">
        <v>3062</v>
      </c>
      <c r="W1007" s="87" t="s">
        <v>3115</v>
      </c>
      <c r="X1007" s="90" t="s">
        <v>3477</v>
      </c>
      <c r="Y1007" s="89"/>
      <c r="Z1007" s="89"/>
      <c r="AA1007" s="89"/>
      <c r="AB1007" s="89"/>
    </row>
    <row r="1008" spans="1:28" s="31" customFormat="1" ht="60" customHeight="1" x14ac:dyDescent="0.2">
      <c r="A1008" s="76">
        <v>1007</v>
      </c>
      <c r="B1008" s="77">
        <v>50004518</v>
      </c>
      <c r="C1008" s="78" t="s">
        <v>2493</v>
      </c>
      <c r="D1008" s="79">
        <v>0.05</v>
      </c>
      <c r="E1008" s="80">
        <v>30043190</v>
      </c>
      <c r="F1008" s="81" t="s">
        <v>2494</v>
      </c>
      <c r="G1008" s="82" t="s">
        <v>2495</v>
      </c>
      <c r="H1008" s="82" t="s">
        <v>2496</v>
      </c>
      <c r="I1008" s="79" t="s">
        <v>2934</v>
      </c>
      <c r="J1008" s="83">
        <v>168.82</v>
      </c>
      <c r="K1008" s="83">
        <v>128.6247619047619</v>
      </c>
      <c r="L1008" s="83">
        <v>128.6247619047619</v>
      </c>
      <c r="M1008" s="84">
        <v>102.89980952380949</v>
      </c>
      <c r="N1008" s="59">
        <f t="shared" si="15"/>
        <v>0.39047619047619064</v>
      </c>
      <c r="O1008" s="85" t="s">
        <v>2414</v>
      </c>
      <c r="P1008" s="86" t="s">
        <v>2749</v>
      </c>
      <c r="Q1008" s="87" t="s">
        <v>3207</v>
      </c>
      <c r="R1008" s="87">
        <v>120</v>
      </c>
      <c r="S1008" s="88">
        <v>1.4068333333333334</v>
      </c>
      <c r="T1008" s="88">
        <v>1.0718730158730159</v>
      </c>
      <c r="U1008" s="88">
        <v>0.85749841269841243</v>
      </c>
      <c r="V1008" s="87" t="s">
        <v>3062</v>
      </c>
      <c r="W1008" s="87" t="s">
        <v>3115</v>
      </c>
      <c r="X1008" s="90" t="s">
        <v>3477</v>
      </c>
      <c r="Y1008" s="89" t="s">
        <v>3455</v>
      </c>
      <c r="Z1008" s="89">
        <v>1</v>
      </c>
      <c r="AA1008" s="89"/>
      <c r="AB1008" s="89"/>
    </row>
    <row r="1009" spans="1:28" s="31" customFormat="1" ht="60" customHeight="1" x14ac:dyDescent="0.2">
      <c r="A1009" s="76">
        <v>1008</v>
      </c>
      <c r="B1009" s="77">
        <v>50005670</v>
      </c>
      <c r="C1009" s="78" t="s">
        <v>4201</v>
      </c>
      <c r="D1009" s="79">
        <v>0.05</v>
      </c>
      <c r="E1009" s="80">
        <v>30043190</v>
      </c>
      <c r="F1009" s="81" t="s">
        <v>4202</v>
      </c>
      <c r="G1009" s="82" t="s">
        <v>4211</v>
      </c>
      <c r="H1009" s="82" t="s">
        <v>4212</v>
      </c>
      <c r="I1009" s="79" t="s">
        <v>2934</v>
      </c>
      <c r="J1009" s="83">
        <v>212.8</v>
      </c>
      <c r="K1009" s="83">
        <v>162.13333333333333</v>
      </c>
      <c r="L1009" s="83">
        <v>162.13333333333333</v>
      </c>
      <c r="M1009" s="84">
        <v>129.70666666666665</v>
      </c>
      <c r="N1009" s="59">
        <f t="shared" si="15"/>
        <v>0.39047619047619059</v>
      </c>
      <c r="O1009" s="85" t="s">
        <v>2414</v>
      </c>
      <c r="P1009" s="86" t="s">
        <v>2749</v>
      </c>
      <c r="Q1009" s="87" t="s">
        <v>3207</v>
      </c>
      <c r="R1009" s="87">
        <v>120</v>
      </c>
      <c r="S1009" s="88">
        <v>1.7733333333333334</v>
      </c>
      <c r="T1009" s="88">
        <v>1.3511111111111112</v>
      </c>
      <c r="U1009" s="88">
        <v>1.0808888888888888</v>
      </c>
      <c r="V1009" s="87" t="s">
        <v>3062</v>
      </c>
      <c r="W1009" s="87" t="s">
        <v>3115</v>
      </c>
      <c r="X1009" s="90" t="s">
        <v>3477</v>
      </c>
      <c r="Y1009" s="89"/>
      <c r="Z1009" s="89"/>
      <c r="AA1009" s="89"/>
      <c r="AB1009" s="89"/>
    </row>
    <row r="1010" spans="1:28" s="31" customFormat="1" ht="60" customHeight="1" x14ac:dyDescent="0.2">
      <c r="A1010" s="76">
        <v>1009</v>
      </c>
      <c r="B1010" s="77">
        <v>50005814</v>
      </c>
      <c r="C1010" s="78" t="s">
        <v>4637</v>
      </c>
      <c r="D1010" s="79">
        <v>0.05</v>
      </c>
      <c r="E1010" s="80">
        <v>30043190</v>
      </c>
      <c r="F1010" s="81" t="s">
        <v>4638</v>
      </c>
      <c r="G1010" s="82" t="s">
        <v>4639</v>
      </c>
      <c r="H1010" s="82" t="s">
        <v>4640</v>
      </c>
      <c r="I1010" s="79" t="s">
        <v>2934</v>
      </c>
      <c r="J1010" s="83">
        <v>216</v>
      </c>
      <c r="K1010" s="83">
        <v>164.57142857142858</v>
      </c>
      <c r="L1010" s="83">
        <v>164.57142857142858</v>
      </c>
      <c r="M1010" s="84">
        <v>131.65714285714287</v>
      </c>
      <c r="N1010" s="59">
        <f t="shared" si="15"/>
        <v>0.39047619047619042</v>
      </c>
      <c r="O1010" s="85" t="s">
        <v>2414</v>
      </c>
      <c r="P1010" s="86" t="s">
        <v>2749</v>
      </c>
      <c r="Q1010" s="87" t="s">
        <v>3207</v>
      </c>
      <c r="R1010" s="87">
        <v>120</v>
      </c>
      <c r="S1010" s="88">
        <v>1.8</v>
      </c>
      <c r="T1010" s="88">
        <v>1.3714285714285714</v>
      </c>
      <c r="U1010" s="88">
        <v>1.0971428571428572</v>
      </c>
      <c r="V1010" s="87" t="s">
        <v>3062</v>
      </c>
      <c r="W1010" s="87" t="s">
        <v>3115</v>
      </c>
      <c r="X1010" s="90" t="s">
        <v>3477</v>
      </c>
      <c r="Y1010" s="89"/>
      <c r="Z1010" s="89"/>
      <c r="AA1010" s="89"/>
      <c r="AB1010" s="89"/>
    </row>
    <row r="1011" spans="1:28" s="31" customFormat="1" ht="60" customHeight="1" x14ac:dyDescent="0.2">
      <c r="A1011" s="76">
        <v>1010</v>
      </c>
      <c r="B1011" s="77">
        <v>50006054</v>
      </c>
      <c r="C1011" s="78" t="s">
        <v>4641</v>
      </c>
      <c r="D1011" s="79">
        <v>0.05</v>
      </c>
      <c r="E1011" s="80">
        <v>30043190</v>
      </c>
      <c r="F1011" s="81" t="s">
        <v>4642</v>
      </c>
      <c r="G1011" s="82" t="s">
        <v>4643</v>
      </c>
      <c r="H1011" s="82" t="s">
        <v>4644</v>
      </c>
      <c r="I1011" s="79" t="s">
        <v>2934</v>
      </c>
      <c r="J1011" s="83">
        <v>217</v>
      </c>
      <c r="K1011" s="83">
        <v>165.33333333333331</v>
      </c>
      <c r="L1011" s="83">
        <v>165.33333333333331</v>
      </c>
      <c r="M1011" s="84">
        <v>132.26666666666665</v>
      </c>
      <c r="N1011" s="59">
        <f t="shared" si="15"/>
        <v>0.39047619047619053</v>
      </c>
      <c r="O1011" s="85" t="s">
        <v>2414</v>
      </c>
      <c r="P1011" s="86" t="s">
        <v>2749</v>
      </c>
      <c r="Q1011" s="87" t="s">
        <v>3207</v>
      </c>
      <c r="R1011" s="87">
        <v>120</v>
      </c>
      <c r="S1011" s="88">
        <v>1.8083333333333333</v>
      </c>
      <c r="T1011" s="88">
        <v>1.3777777777777775</v>
      </c>
      <c r="U1011" s="88">
        <v>1.102222222222222</v>
      </c>
      <c r="V1011" s="87" t="s">
        <v>3062</v>
      </c>
      <c r="W1011" s="87" t="s">
        <v>3115</v>
      </c>
      <c r="X1011" s="90" t="s">
        <v>3477</v>
      </c>
      <c r="Y1011" s="89"/>
      <c r="Z1011" s="89"/>
      <c r="AA1011" s="89"/>
      <c r="AB1011" s="89"/>
    </row>
    <row r="1012" spans="1:28" s="31" customFormat="1" ht="60" customHeight="1" x14ac:dyDescent="0.2">
      <c r="A1012" s="76">
        <v>1011</v>
      </c>
      <c r="B1012" s="77">
        <v>50004080</v>
      </c>
      <c r="C1012" s="78" t="s">
        <v>2497</v>
      </c>
      <c r="D1012" s="79">
        <v>0.05</v>
      </c>
      <c r="E1012" s="80">
        <v>30049099</v>
      </c>
      <c r="F1012" s="81" t="s">
        <v>2498</v>
      </c>
      <c r="G1012" s="82" t="s">
        <v>2499</v>
      </c>
      <c r="H1012" s="82" t="s">
        <v>158</v>
      </c>
      <c r="I1012" s="79" t="s">
        <v>2666</v>
      </c>
      <c r="J1012" s="83">
        <v>80.099999999999994</v>
      </c>
      <c r="K1012" s="83">
        <v>61.028571428571425</v>
      </c>
      <c r="L1012" s="83">
        <v>61.028571428571425</v>
      </c>
      <c r="M1012" s="84">
        <v>48.822857142857131</v>
      </c>
      <c r="N1012" s="59">
        <f t="shared" si="15"/>
        <v>0.39047619047619059</v>
      </c>
      <c r="O1012" s="85" t="s">
        <v>2414</v>
      </c>
      <c r="P1012" s="86" t="s">
        <v>37</v>
      </c>
      <c r="Q1012" s="87" t="s">
        <v>3208</v>
      </c>
      <c r="R1012" s="87">
        <v>10</v>
      </c>
      <c r="S1012" s="88">
        <v>8.01</v>
      </c>
      <c r="T1012" s="88">
        <v>6.1028571428571423</v>
      </c>
      <c r="U1012" s="88">
        <v>4.8822857142857128</v>
      </c>
      <c r="V1012" s="87" t="s">
        <v>3061</v>
      </c>
      <c r="W1012" s="87" t="s">
        <v>3114</v>
      </c>
      <c r="X1012" s="90" t="s">
        <v>3477</v>
      </c>
      <c r="Y1012" s="89"/>
      <c r="Z1012" s="89">
        <v>10</v>
      </c>
      <c r="AA1012" s="89"/>
      <c r="AB1012" s="89"/>
    </row>
    <row r="1013" spans="1:28" s="31" customFormat="1" ht="60" customHeight="1" x14ac:dyDescent="0.2">
      <c r="A1013" s="76">
        <v>1012</v>
      </c>
      <c r="B1013" s="77">
        <v>50004052</v>
      </c>
      <c r="C1013" s="78" t="s">
        <v>2500</v>
      </c>
      <c r="D1013" s="79">
        <v>0.05</v>
      </c>
      <c r="E1013" s="80">
        <v>30049099</v>
      </c>
      <c r="F1013" s="81" t="s">
        <v>2501</v>
      </c>
      <c r="G1013" s="82" t="s">
        <v>2502</v>
      </c>
      <c r="H1013" s="82" t="s">
        <v>3672</v>
      </c>
      <c r="I1013" s="79" t="s">
        <v>2666</v>
      </c>
      <c r="J1013" s="83">
        <v>91.12</v>
      </c>
      <c r="K1013" s="83">
        <v>69.424761904761908</v>
      </c>
      <c r="L1013" s="83">
        <v>69.424761904761908</v>
      </c>
      <c r="M1013" s="84">
        <v>55.539809523809531</v>
      </c>
      <c r="N1013" s="59">
        <f t="shared" si="15"/>
        <v>0.39047619047619042</v>
      </c>
      <c r="O1013" s="85" t="s">
        <v>2414</v>
      </c>
      <c r="P1013" s="86" t="s">
        <v>2691</v>
      </c>
      <c r="Q1013" s="87" t="s">
        <v>3208</v>
      </c>
      <c r="R1013" s="87">
        <v>10</v>
      </c>
      <c r="S1013" s="88">
        <v>9.1120000000000001</v>
      </c>
      <c r="T1013" s="88">
        <v>6.9424761904761905</v>
      </c>
      <c r="U1013" s="88">
        <v>5.5539809523809529</v>
      </c>
      <c r="V1013" s="87" t="s">
        <v>3061</v>
      </c>
      <c r="W1013" s="87" t="s">
        <v>3114</v>
      </c>
      <c r="X1013" s="90" t="s">
        <v>3477</v>
      </c>
      <c r="Y1013" s="89"/>
      <c r="Z1013" s="89">
        <v>10</v>
      </c>
      <c r="AA1013" s="89"/>
      <c r="AB1013" s="89"/>
    </row>
    <row r="1014" spans="1:28" s="31" customFormat="1" ht="60" customHeight="1" x14ac:dyDescent="0.2">
      <c r="A1014" s="76">
        <v>1013</v>
      </c>
      <c r="B1014" s="77">
        <v>50004053</v>
      </c>
      <c r="C1014" s="78" t="s">
        <v>2503</v>
      </c>
      <c r="D1014" s="79">
        <v>0.05</v>
      </c>
      <c r="E1014" s="80">
        <v>30049099</v>
      </c>
      <c r="F1014" s="81" t="s">
        <v>2504</v>
      </c>
      <c r="G1014" s="82" t="s">
        <v>2505</v>
      </c>
      <c r="H1014" s="82" t="s">
        <v>4063</v>
      </c>
      <c r="I1014" s="79" t="s">
        <v>2666</v>
      </c>
      <c r="J1014" s="83">
        <v>82.48</v>
      </c>
      <c r="K1014" s="83">
        <v>62.841904761904765</v>
      </c>
      <c r="L1014" s="83">
        <v>62.841904761904765</v>
      </c>
      <c r="M1014" s="84">
        <v>50.273523809523816</v>
      </c>
      <c r="N1014" s="59">
        <f t="shared" si="15"/>
        <v>0.39047619047619042</v>
      </c>
      <c r="O1014" s="85" t="s">
        <v>2414</v>
      </c>
      <c r="P1014" s="86" t="s">
        <v>37</v>
      </c>
      <c r="Q1014" s="87" t="s">
        <v>3208</v>
      </c>
      <c r="R1014" s="87">
        <v>10</v>
      </c>
      <c r="S1014" s="88">
        <v>8.2480000000000011</v>
      </c>
      <c r="T1014" s="88">
        <v>6.2841904761904761</v>
      </c>
      <c r="U1014" s="88">
        <v>5.0273523809523812</v>
      </c>
      <c r="V1014" s="87" t="s">
        <v>3061</v>
      </c>
      <c r="W1014" s="87" t="s">
        <v>3114</v>
      </c>
      <c r="X1014" s="90" t="s">
        <v>3477</v>
      </c>
      <c r="Y1014" s="89"/>
      <c r="Z1014" s="89">
        <v>10</v>
      </c>
      <c r="AA1014" s="89"/>
      <c r="AB1014" s="89"/>
    </row>
    <row r="1015" spans="1:28" s="31" customFormat="1" ht="60" customHeight="1" x14ac:dyDescent="0.2">
      <c r="A1015" s="76">
        <v>1014</v>
      </c>
      <c r="B1015" s="77">
        <v>50004051</v>
      </c>
      <c r="C1015" s="78" t="s">
        <v>2506</v>
      </c>
      <c r="D1015" s="79">
        <v>0.05</v>
      </c>
      <c r="E1015" s="80">
        <v>30049099</v>
      </c>
      <c r="F1015" s="81" t="s">
        <v>2507</v>
      </c>
      <c r="G1015" s="82" t="s">
        <v>2508</v>
      </c>
      <c r="H1015" s="82" t="s">
        <v>3834</v>
      </c>
      <c r="I1015" s="79" t="s">
        <v>2666</v>
      </c>
      <c r="J1015" s="83">
        <v>84.86</v>
      </c>
      <c r="K1015" s="83">
        <v>64.655238095238104</v>
      </c>
      <c r="L1015" s="83">
        <v>64.655238095238104</v>
      </c>
      <c r="M1015" s="84">
        <v>51.724190476190479</v>
      </c>
      <c r="N1015" s="59">
        <f t="shared" si="15"/>
        <v>0.39047619047619042</v>
      </c>
      <c r="O1015" s="85" t="s">
        <v>2414</v>
      </c>
      <c r="P1015" s="86" t="s">
        <v>2935</v>
      </c>
      <c r="Q1015" s="87" t="s">
        <v>3208</v>
      </c>
      <c r="R1015" s="87">
        <v>10</v>
      </c>
      <c r="S1015" s="88">
        <v>8.4860000000000007</v>
      </c>
      <c r="T1015" s="88">
        <v>6.4655238095238108</v>
      </c>
      <c r="U1015" s="88">
        <v>5.1724190476190479</v>
      </c>
      <c r="V1015" s="87" t="s">
        <v>3061</v>
      </c>
      <c r="W1015" s="87" t="s">
        <v>3114</v>
      </c>
      <c r="X1015" s="90" t="s">
        <v>3477</v>
      </c>
      <c r="Y1015" s="89"/>
      <c r="Z1015" s="89">
        <v>10</v>
      </c>
      <c r="AA1015" s="89"/>
      <c r="AB1015" s="89"/>
    </row>
    <row r="1016" spans="1:28" s="31" customFormat="1" ht="60" customHeight="1" x14ac:dyDescent="0.2">
      <c r="A1016" s="76">
        <v>1015</v>
      </c>
      <c r="B1016" s="77">
        <v>50004009</v>
      </c>
      <c r="C1016" s="78" t="s">
        <v>2511</v>
      </c>
      <c r="D1016" s="79">
        <v>0.05</v>
      </c>
      <c r="E1016" s="80">
        <v>30049049</v>
      </c>
      <c r="F1016" s="81" t="s">
        <v>2512</v>
      </c>
      <c r="G1016" s="82" t="s">
        <v>2513</v>
      </c>
      <c r="H1016" s="82" t="s">
        <v>4088</v>
      </c>
      <c r="I1016" s="79" t="s">
        <v>323</v>
      </c>
      <c r="J1016" s="83">
        <v>3716.59</v>
      </c>
      <c r="K1016" s="83">
        <v>2831.6876190476191</v>
      </c>
      <c r="L1016" s="83">
        <v>2831.6876190476191</v>
      </c>
      <c r="M1016" s="84">
        <v>1704.9934054388027</v>
      </c>
      <c r="N1016" s="59">
        <f t="shared" si="15"/>
        <v>0.54124791665510519</v>
      </c>
      <c r="O1016" s="85" t="s">
        <v>2514</v>
      </c>
      <c r="P1016" s="86" t="s">
        <v>2925</v>
      </c>
      <c r="Q1016" s="87" t="s">
        <v>3208</v>
      </c>
      <c r="R1016" s="87">
        <v>1</v>
      </c>
      <c r="S1016" s="88">
        <v>3716.59</v>
      </c>
      <c r="T1016" s="88">
        <v>2831.6876190476191</v>
      </c>
      <c r="U1016" s="88">
        <v>1704.9934054388027</v>
      </c>
      <c r="V1016" s="87" t="s">
        <v>3067</v>
      </c>
      <c r="W1016" s="87" t="s">
        <v>3112</v>
      </c>
      <c r="X1016" s="90" t="s">
        <v>3479</v>
      </c>
      <c r="Y1016" s="89"/>
      <c r="Z1016" s="89">
        <v>1</v>
      </c>
      <c r="AA1016" s="89"/>
      <c r="AB1016" s="89"/>
    </row>
    <row r="1017" spans="1:28" s="31" customFormat="1" ht="60" customHeight="1" x14ac:dyDescent="0.2">
      <c r="A1017" s="76">
        <v>1016</v>
      </c>
      <c r="B1017" s="77">
        <v>50004010</v>
      </c>
      <c r="C1017" s="78" t="s">
        <v>2515</v>
      </c>
      <c r="D1017" s="79">
        <v>0.05</v>
      </c>
      <c r="E1017" s="80">
        <v>30049049</v>
      </c>
      <c r="F1017" s="81" t="s">
        <v>2516</v>
      </c>
      <c r="G1017" s="82" t="s">
        <v>2517</v>
      </c>
      <c r="H1017" s="82" t="s">
        <v>4089</v>
      </c>
      <c r="I1017" s="79" t="s">
        <v>343</v>
      </c>
      <c r="J1017" s="83">
        <v>1979.58</v>
      </c>
      <c r="K1017" s="83">
        <v>1508.2514285714285</v>
      </c>
      <c r="L1017" s="83">
        <v>1508.2514285714285</v>
      </c>
      <c r="M1017" s="84">
        <v>1016.377387072683</v>
      </c>
      <c r="N1017" s="59">
        <f t="shared" si="15"/>
        <v>0.4865691777686767</v>
      </c>
      <c r="O1017" s="85" t="s">
        <v>2514</v>
      </c>
      <c r="P1017" s="86" t="s">
        <v>2936</v>
      </c>
      <c r="Q1017" s="87" t="s">
        <v>3207</v>
      </c>
      <c r="R1017" s="87">
        <v>1</v>
      </c>
      <c r="S1017" s="88">
        <v>1979.58</v>
      </c>
      <c r="T1017" s="88">
        <v>1508.2514285714285</v>
      </c>
      <c r="U1017" s="88">
        <v>1016.377387072683</v>
      </c>
      <c r="V1017" s="87" t="s">
        <v>3067</v>
      </c>
      <c r="W1017" s="87" t="s">
        <v>3112</v>
      </c>
      <c r="X1017" s="90" t="s">
        <v>3479</v>
      </c>
      <c r="Y1017" s="89"/>
      <c r="Z1017" s="89">
        <v>1</v>
      </c>
      <c r="AA1017" s="89"/>
      <c r="AB1017" s="89"/>
    </row>
    <row r="1018" spans="1:28" s="31" customFormat="1" ht="60" customHeight="1" x14ac:dyDescent="0.2">
      <c r="A1018" s="76">
        <v>1017</v>
      </c>
      <c r="B1018" s="77">
        <v>50004814</v>
      </c>
      <c r="C1018" s="78" t="s">
        <v>2518</v>
      </c>
      <c r="D1018" s="79">
        <v>0.05</v>
      </c>
      <c r="E1018" s="80">
        <v>30049049</v>
      </c>
      <c r="F1018" s="81" t="s">
        <v>2519</v>
      </c>
      <c r="G1018" s="82" t="s">
        <v>2520</v>
      </c>
      <c r="H1018" s="82" t="s">
        <v>4064</v>
      </c>
      <c r="I1018" s="79" t="s">
        <v>2937</v>
      </c>
      <c r="J1018" s="83">
        <v>22790.61</v>
      </c>
      <c r="K1018" s="83">
        <v>17364.274285714284</v>
      </c>
      <c r="L1018" s="83">
        <v>17364.274285714284</v>
      </c>
      <c r="M1018" s="84">
        <v>16499.989140271493</v>
      </c>
      <c r="N1018" s="59">
        <f t="shared" si="15"/>
        <v>0.27601809954751133</v>
      </c>
      <c r="O1018" s="85" t="s">
        <v>2514</v>
      </c>
      <c r="P1018" s="86" t="s">
        <v>2938</v>
      </c>
      <c r="Q1018" s="87" t="s">
        <v>3208</v>
      </c>
      <c r="R1018" s="87">
        <v>1</v>
      </c>
      <c r="S1018" s="88">
        <v>22790.61</v>
      </c>
      <c r="T1018" s="88">
        <v>17364.274285714284</v>
      </c>
      <c r="U1018" s="88">
        <v>16499.989140271493</v>
      </c>
      <c r="V1018" s="87" t="s">
        <v>3067</v>
      </c>
      <c r="W1018" s="87" t="s">
        <v>3112</v>
      </c>
      <c r="X1018" s="90" t="s">
        <v>3479</v>
      </c>
      <c r="Y1018" s="89"/>
      <c r="Z1018" s="89">
        <v>1</v>
      </c>
      <c r="AA1018" s="89"/>
      <c r="AB1018" s="89"/>
    </row>
    <row r="1019" spans="1:28" s="31" customFormat="1" ht="60" customHeight="1" x14ac:dyDescent="0.2">
      <c r="A1019" s="76">
        <v>1018</v>
      </c>
      <c r="B1019" s="77">
        <v>50004058</v>
      </c>
      <c r="C1019" s="78" t="s">
        <v>2521</v>
      </c>
      <c r="D1019" s="79">
        <v>0.05</v>
      </c>
      <c r="E1019" s="80">
        <v>30049044</v>
      </c>
      <c r="F1019" s="81" t="s">
        <v>2522</v>
      </c>
      <c r="G1019" s="82" t="s">
        <v>2523</v>
      </c>
      <c r="H1019" s="82" t="s">
        <v>158</v>
      </c>
      <c r="I1019" s="79" t="s">
        <v>2939</v>
      </c>
      <c r="J1019" s="83">
        <v>7373.43</v>
      </c>
      <c r="K1019" s="83">
        <v>5617.8514285714282</v>
      </c>
      <c r="L1019" s="83">
        <v>5617.8514285714282</v>
      </c>
      <c r="M1019" s="84">
        <v>3024.996923076922</v>
      </c>
      <c r="N1019" s="59">
        <f t="shared" si="15"/>
        <v>0.58974358974358987</v>
      </c>
      <c r="O1019" s="85" t="s">
        <v>2514</v>
      </c>
      <c r="P1019" s="86" t="s">
        <v>2940</v>
      </c>
      <c r="Q1019" s="87" t="s">
        <v>3208</v>
      </c>
      <c r="R1019" s="87">
        <v>60</v>
      </c>
      <c r="S1019" s="88">
        <v>122.8905</v>
      </c>
      <c r="T1019" s="88">
        <v>93.630857142857138</v>
      </c>
      <c r="U1019" s="88">
        <v>50.416615384615369</v>
      </c>
      <c r="V1019" s="87" t="s">
        <v>3062</v>
      </c>
      <c r="W1019" s="87" t="s">
        <v>3112</v>
      </c>
      <c r="X1019" s="90" t="s">
        <v>3477</v>
      </c>
      <c r="Y1019" s="89"/>
      <c r="Z1019" s="89">
        <v>1</v>
      </c>
      <c r="AA1019" s="89"/>
      <c r="AB1019" s="89"/>
    </row>
    <row r="1020" spans="1:28" s="31" customFormat="1" ht="60" customHeight="1" x14ac:dyDescent="0.2">
      <c r="A1020" s="76">
        <v>1019</v>
      </c>
      <c r="B1020" s="77">
        <v>50004059</v>
      </c>
      <c r="C1020" s="78" t="s">
        <v>2524</v>
      </c>
      <c r="D1020" s="79">
        <v>0.05</v>
      </c>
      <c r="E1020" s="80">
        <v>30049044</v>
      </c>
      <c r="F1020" s="81" t="s">
        <v>2525</v>
      </c>
      <c r="G1020" s="82" t="s">
        <v>2526</v>
      </c>
      <c r="H1020" s="82" t="s">
        <v>4065</v>
      </c>
      <c r="I1020" s="79" t="s">
        <v>2939</v>
      </c>
      <c r="J1020" s="83">
        <v>8507.7999999999993</v>
      </c>
      <c r="K1020" s="83">
        <v>6482.1333333333323</v>
      </c>
      <c r="L1020" s="83">
        <v>6482.1333333333323</v>
      </c>
      <c r="M1020" s="84">
        <v>3387.9950222222215</v>
      </c>
      <c r="N1020" s="59">
        <f t="shared" si="15"/>
        <v>0.60177777777777786</v>
      </c>
      <c r="O1020" s="85" t="s">
        <v>2514</v>
      </c>
      <c r="P1020" s="86" t="s">
        <v>2941</v>
      </c>
      <c r="Q1020" s="87" t="s">
        <v>3208</v>
      </c>
      <c r="R1020" s="87">
        <v>60</v>
      </c>
      <c r="S1020" s="88">
        <v>141.79666666666665</v>
      </c>
      <c r="T1020" s="88">
        <v>108.03555555555553</v>
      </c>
      <c r="U1020" s="88">
        <v>56.466583703703691</v>
      </c>
      <c r="V1020" s="87" t="s">
        <v>3062</v>
      </c>
      <c r="W1020" s="87" t="s">
        <v>3112</v>
      </c>
      <c r="X1020" s="90" t="s">
        <v>3477</v>
      </c>
      <c r="Y1020" s="89"/>
      <c r="Z1020" s="89">
        <v>1</v>
      </c>
      <c r="AA1020" s="89"/>
      <c r="AB1020" s="89"/>
    </row>
    <row r="1021" spans="1:28" s="31" customFormat="1" ht="60" customHeight="1" x14ac:dyDescent="0.2">
      <c r="A1021" s="76">
        <v>1020</v>
      </c>
      <c r="B1021" s="77">
        <v>50004061</v>
      </c>
      <c r="C1021" s="78" t="s">
        <v>2527</v>
      </c>
      <c r="D1021" s="79">
        <v>0.05</v>
      </c>
      <c r="E1021" s="80">
        <v>30049044</v>
      </c>
      <c r="F1021" s="81" t="s">
        <v>2528</v>
      </c>
      <c r="G1021" s="82" t="s">
        <v>2529</v>
      </c>
      <c r="H1021" s="82" t="s">
        <v>2530</v>
      </c>
      <c r="I1021" s="79" t="s">
        <v>2711</v>
      </c>
      <c r="J1021" s="83">
        <v>3063.98</v>
      </c>
      <c r="K1021" s="83">
        <v>2334.4609523809522</v>
      </c>
      <c r="L1021" s="83">
        <v>2334.4609523809522</v>
      </c>
      <c r="M1021" s="84">
        <v>559.56833397668163</v>
      </c>
      <c r="N1021" s="59">
        <f t="shared" si="15"/>
        <v>0.81737206705765653</v>
      </c>
      <c r="O1021" s="85" t="s">
        <v>2514</v>
      </c>
      <c r="P1021" s="86" t="s">
        <v>2942</v>
      </c>
      <c r="Q1021" s="87" t="s">
        <v>3207</v>
      </c>
      <c r="R1021" s="87">
        <v>1</v>
      </c>
      <c r="S1021" s="88">
        <v>3063.98</v>
      </c>
      <c r="T1021" s="88">
        <v>2334.4609523809522</v>
      </c>
      <c r="U1021" s="88">
        <v>559.56833397668163</v>
      </c>
      <c r="V1021" s="87" t="s">
        <v>3067</v>
      </c>
      <c r="W1021" s="87" t="s">
        <v>3112</v>
      </c>
      <c r="X1021" s="90" t="s">
        <v>3479</v>
      </c>
      <c r="Y1021" s="89"/>
      <c r="Z1021" s="89">
        <v>1</v>
      </c>
      <c r="AA1021" s="89"/>
      <c r="AB1021" s="89"/>
    </row>
    <row r="1022" spans="1:28" s="31" customFormat="1" ht="60" customHeight="1" x14ac:dyDescent="0.2">
      <c r="A1022" s="76">
        <v>1021</v>
      </c>
      <c r="B1022" s="77">
        <v>50004062</v>
      </c>
      <c r="C1022" s="78" t="s">
        <v>2531</v>
      </c>
      <c r="D1022" s="79">
        <v>0.05</v>
      </c>
      <c r="E1022" s="80">
        <v>30049044</v>
      </c>
      <c r="F1022" s="81" t="s">
        <v>2532</v>
      </c>
      <c r="G1022" s="82" t="s">
        <v>2533</v>
      </c>
      <c r="H1022" s="82" t="s">
        <v>2534</v>
      </c>
      <c r="I1022" s="79" t="s">
        <v>2919</v>
      </c>
      <c r="J1022" s="83">
        <v>11038.36</v>
      </c>
      <c r="K1022" s="83">
        <v>8410.1790476190472</v>
      </c>
      <c r="L1022" s="83">
        <v>8410.1790476190472</v>
      </c>
      <c r="M1022" s="84">
        <v>1424.35784750005</v>
      </c>
      <c r="N1022" s="59">
        <f t="shared" si="15"/>
        <v>0.87096291047763885</v>
      </c>
      <c r="O1022" s="85" t="s">
        <v>2514</v>
      </c>
      <c r="P1022" s="86" t="s">
        <v>2942</v>
      </c>
      <c r="Q1022" s="87" t="s">
        <v>3207</v>
      </c>
      <c r="R1022" s="87">
        <v>1</v>
      </c>
      <c r="S1022" s="88">
        <v>11038.36</v>
      </c>
      <c r="T1022" s="88">
        <v>8410.1790476190472</v>
      </c>
      <c r="U1022" s="88">
        <v>1424.35784750005</v>
      </c>
      <c r="V1022" s="87" t="s">
        <v>3067</v>
      </c>
      <c r="W1022" s="87" t="s">
        <v>3112</v>
      </c>
      <c r="X1022" s="90" t="s">
        <v>3479</v>
      </c>
      <c r="Y1022" s="89"/>
      <c r="Z1022" s="89">
        <v>1</v>
      </c>
      <c r="AA1022" s="89"/>
      <c r="AB1022" s="89"/>
    </row>
    <row r="1023" spans="1:28" s="31" customFormat="1" ht="60" customHeight="1" x14ac:dyDescent="0.2">
      <c r="A1023" s="76">
        <v>1022</v>
      </c>
      <c r="B1023" s="77">
        <v>50004060</v>
      </c>
      <c r="C1023" s="78" t="s">
        <v>2535</v>
      </c>
      <c r="D1023" s="79">
        <v>0.05</v>
      </c>
      <c r="E1023" s="80">
        <v>30049044</v>
      </c>
      <c r="F1023" s="81" t="s">
        <v>2536</v>
      </c>
      <c r="G1023" s="82" t="s">
        <v>2537</v>
      </c>
      <c r="H1023" s="82" t="s">
        <v>2538</v>
      </c>
      <c r="I1023" s="79" t="s">
        <v>2943</v>
      </c>
      <c r="J1023" s="83">
        <v>17502.939999999999</v>
      </c>
      <c r="K1023" s="83">
        <v>13335.57333333333</v>
      </c>
      <c r="L1023" s="83">
        <v>13335.57333333333</v>
      </c>
      <c r="M1023" s="84">
        <v>1979.9985859528533</v>
      </c>
      <c r="N1023" s="59">
        <f t="shared" si="15"/>
        <v>0.88687622845345682</v>
      </c>
      <c r="O1023" s="85" t="s">
        <v>2514</v>
      </c>
      <c r="P1023" s="86" t="s">
        <v>2942</v>
      </c>
      <c r="Q1023" s="87" t="s">
        <v>3208</v>
      </c>
      <c r="R1023" s="87">
        <v>1</v>
      </c>
      <c r="S1023" s="88">
        <v>17502.939999999999</v>
      </c>
      <c r="T1023" s="88">
        <v>13335.57333333333</v>
      </c>
      <c r="U1023" s="88">
        <v>1979.9985859528533</v>
      </c>
      <c r="V1023" s="87" t="s">
        <v>3067</v>
      </c>
      <c r="W1023" s="87" t="s">
        <v>3112</v>
      </c>
      <c r="X1023" s="90" t="s">
        <v>3479</v>
      </c>
      <c r="Y1023" s="89"/>
      <c r="Z1023" s="89">
        <v>1</v>
      </c>
      <c r="AA1023" s="89"/>
      <c r="AB1023" s="89"/>
    </row>
    <row r="1024" spans="1:28" s="31" customFormat="1" ht="60" customHeight="1" x14ac:dyDescent="0.2">
      <c r="A1024" s="76">
        <v>1023</v>
      </c>
      <c r="B1024" s="77">
        <v>50006051</v>
      </c>
      <c r="C1024" s="78" t="s">
        <v>4284</v>
      </c>
      <c r="D1024" s="79">
        <v>0.05</v>
      </c>
      <c r="E1024" s="80">
        <v>30049049</v>
      </c>
      <c r="F1024" s="81" t="s">
        <v>4285</v>
      </c>
      <c r="G1024" s="82" t="s">
        <v>4286</v>
      </c>
      <c r="H1024" s="82" t="s">
        <v>677</v>
      </c>
      <c r="I1024" s="79" t="s">
        <v>4287</v>
      </c>
      <c r="J1024" s="83">
        <v>89995</v>
      </c>
      <c r="K1024" s="83">
        <v>68567.619047619053</v>
      </c>
      <c r="L1024" s="83">
        <v>68567.619047619053</v>
      </c>
      <c r="M1024" s="84">
        <v>68567.619047619053</v>
      </c>
      <c r="N1024" s="59">
        <f t="shared" ref="N1024:N1087" si="16">(J1024-M1024)/J1024</f>
        <v>0.23809523809523803</v>
      </c>
      <c r="O1024" s="85" t="s">
        <v>2514</v>
      </c>
      <c r="P1024" s="86" t="s">
        <v>4118</v>
      </c>
      <c r="Q1024" s="87" t="s">
        <v>3208</v>
      </c>
      <c r="R1024" s="87">
        <v>1</v>
      </c>
      <c r="S1024" s="88">
        <v>89995</v>
      </c>
      <c r="T1024" s="88">
        <v>68567.619047619053</v>
      </c>
      <c r="U1024" s="88">
        <v>68567.619047619053</v>
      </c>
      <c r="V1024" s="87" t="s">
        <v>3067</v>
      </c>
      <c r="W1024" s="87" t="s">
        <v>3112</v>
      </c>
      <c r="X1024" s="90" t="s">
        <v>3479</v>
      </c>
      <c r="Y1024" s="89"/>
      <c r="Z1024" s="89"/>
      <c r="AA1024" s="89"/>
      <c r="AB1024" s="89"/>
    </row>
    <row r="1025" spans="1:28" s="31" customFormat="1" ht="60" customHeight="1" x14ac:dyDescent="0.2">
      <c r="A1025" s="76">
        <v>1024</v>
      </c>
      <c r="B1025" s="77">
        <v>50004774</v>
      </c>
      <c r="C1025" s="78" t="s">
        <v>2539</v>
      </c>
      <c r="D1025" s="79">
        <v>0.05</v>
      </c>
      <c r="E1025" s="80">
        <v>30049099</v>
      </c>
      <c r="F1025" s="81" t="s">
        <v>2540</v>
      </c>
      <c r="G1025" s="82" t="s">
        <v>2541</v>
      </c>
      <c r="H1025" s="82" t="s">
        <v>4066</v>
      </c>
      <c r="I1025" s="79" t="s">
        <v>2728</v>
      </c>
      <c r="J1025" s="83">
        <v>7218.75</v>
      </c>
      <c r="K1025" s="83">
        <v>5500</v>
      </c>
      <c r="L1025" s="83">
        <v>5500</v>
      </c>
      <c r="M1025" s="84">
        <v>5100</v>
      </c>
      <c r="N1025" s="59">
        <f t="shared" si="16"/>
        <v>0.29350649350649349</v>
      </c>
      <c r="O1025" s="85" t="s">
        <v>2514</v>
      </c>
      <c r="P1025" s="86" t="s">
        <v>2928</v>
      </c>
      <c r="Q1025" s="87" t="s">
        <v>3208</v>
      </c>
      <c r="R1025" s="87">
        <v>1</v>
      </c>
      <c r="S1025" s="88">
        <v>7218.75</v>
      </c>
      <c r="T1025" s="88">
        <v>5500</v>
      </c>
      <c r="U1025" s="88">
        <v>5100</v>
      </c>
      <c r="V1025" s="87" t="s">
        <v>3067</v>
      </c>
      <c r="W1025" s="87" t="s">
        <v>3112</v>
      </c>
      <c r="X1025" s="90" t="s">
        <v>3479</v>
      </c>
      <c r="Y1025" s="89"/>
      <c r="Z1025" s="89">
        <v>1</v>
      </c>
      <c r="AA1025" s="89"/>
      <c r="AB1025" s="89"/>
    </row>
    <row r="1026" spans="1:28" s="31" customFormat="1" ht="60" customHeight="1" x14ac:dyDescent="0.2">
      <c r="A1026" s="76">
        <v>1025</v>
      </c>
      <c r="B1026" s="77">
        <v>50004773</v>
      </c>
      <c r="C1026" s="78" t="s">
        <v>2542</v>
      </c>
      <c r="D1026" s="79">
        <v>0.05</v>
      </c>
      <c r="E1026" s="80">
        <v>30049099</v>
      </c>
      <c r="F1026" s="81" t="s">
        <v>2543</v>
      </c>
      <c r="G1026" s="82" t="s">
        <v>2544</v>
      </c>
      <c r="H1026" s="82" t="s">
        <v>4067</v>
      </c>
      <c r="I1026" s="79" t="s">
        <v>2728</v>
      </c>
      <c r="J1026" s="83">
        <v>22982.799999999999</v>
      </c>
      <c r="K1026" s="83">
        <v>17510.704761904763</v>
      </c>
      <c r="L1026" s="83">
        <v>17510.704761904763</v>
      </c>
      <c r="M1026" s="84">
        <v>14499.992113671902</v>
      </c>
      <c r="N1026" s="59">
        <f t="shared" si="16"/>
        <v>0.36909375212454953</v>
      </c>
      <c r="O1026" s="85" t="s">
        <v>2514</v>
      </c>
      <c r="P1026" s="86" t="s">
        <v>2928</v>
      </c>
      <c r="Q1026" s="87" t="s">
        <v>3207</v>
      </c>
      <c r="R1026" s="87">
        <v>1</v>
      </c>
      <c r="S1026" s="88">
        <v>22982.799999999999</v>
      </c>
      <c r="T1026" s="88">
        <v>17510.704761904763</v>
      </c>
      <c r="U1026" s="88">
        <v>14499.992113671902</v>
      </c>
      <c r="V1026" s="87" t="s">
        <v>3067</v>
      </c>
      <c r="W1026" s="87" t="s">
        <v>3112</v>
      </c>
      <c r="X1026" s="90" t="s">
        <v>3479</v>
      </c>
      <c r="Y1026" s="89"/>
      <c r="Z1026" s="89">
        <v>1</v>
      </c>
      <c r="AA1026" s="89"/>
      <c r="AB1026" s="89"/>
    </row>
    <row r="1027" spans="1:28" s="31" customFormat="1" ht="60" customHeight="1" x14ac:dyDescent="0.2">
      <c r="A1027" s="76">
        <v>1026</v>
      </c>
      <c r="B1027" s="77">
        <v>50005525</v>
      </c>
      <c r="C1027" s="78" t="s">
        <v>4097</v>
      </c>
      <c r="D1027" s="79">
        <v>0.05</v>
      </c>
      <c r="E1027" s="80">
        <v>30049049</v>
      </c>
      <c r="F1027" s="81" t="s">
        <v>4108</v>
      </c>
      <c r="G1027" s="82" t="s">
        <v>4135</v>
      </c>
      <c r="H1027" s="82" t="s">
        <v>294</v>
      </c>
      <c r="I1027" s="79" t="s">
        <v>294</v>
      </c>
      <c r="J1027" s="83">
        <v>23870</v>
      </c>
      <c r="K1027" s="83">
        <v>18186.666666666664</v>
      </c>
      <c r="L1027" s="83">
        <v>18186.666666666664</v>
      </c>
      <c r="M1027" s="84">
        <v>18186.666666666664</v>
      </c>
      <c r="N1027" s="59">
        <f t="shared" si="16"/>
        <v>0.23809523809523819</v>
      </c>
      <c r="O1027" s="85" t="s">
        <v>2514</v>
      </c>
      <c r="P1027" s="86" t="s">
        <v>2868</v>
      </c>
      <c r="Q1027" s="87" t="s">
        <v>3208</v>
      </c>
      <c r="R1027" s="87">
        <v>1</v>
      </c>
      <c r="S1027" s="88">
        <v>23870</v>
      </c>
      <c r="T1027" s="88">
        <v>18186.666666666664</v>
      </c>
      <c r="U1027" s="88">
        <v>18186.666666666664</v>
      </c>
      <c r="V1027" s="87" t="s">
        <v>3067</v>
      </c>
      <c r="W1027" s="87" t="s">
        <v>3112</v>
      </c>
      <c r="X1027" s="90" t="s">
        <v>3610</v>
      </c>
      <c r="Y1027" s="89"/>
      <c r="Z1027" s="89"/>
      <c r="AA1027" s="89"/>
      <c r="AB1027" s="89"/>
    </row>
    <row r="1028" spans="1:28" s="31" customFormat="1" ht="60" customHeight="1" x14ac:dyDescent="0.2">
      <c r="A1028" s="76">
        <v>1027</v>
      </c>
      <c r="B1028" s="77">
        <v>50005526</v>
      </c>
      <c r="C1028" s="78" t="s">
        <v>4098</v>
      </c>
      <c r="D1028" s="79">
        <v>0.05</v>
      </c>
      <c r="E1028" s="80">
        <v>30049049</v>
      </c>
      <c r="F1028" s="81" t="s">
        <v>4109</v>
      </c>
      <c r="G1028" s="82" t="s">
        <v>4136</v>
      </c>
      <c r="H1028" s="82" t="s">
        <v>677</v>
      </c>
      <c r="I1028" s="79" t="s">
        <v>677</v>
      </c>
      <c r="J1028" s="83">
        <v>25725</v>
      </c>
      <c r="K1028" s="83">
        <v>19600</v>
      </c>
      <c r="L1028" s="83">
        <v>19600</v>
      </c>
      <c r="M1028" s="84">
        <v>19600</v>
      </c>
      <c r="N1028" s="59">
        <f t="shared" si="16"/>
        <v>0.23809523809523808</v>
      </c>
      <c r="O1028" s="85" t="s">
        <v>2514</v>
      </c>
      <c r="P1028" s="86" t="s">
        <v>2868</v>
      </c>
      <c r="Q1028" s="87" t="s">
        <v>3208</v>
      </c>
      <c r="R1028" s="87">
        <v>1</v>
      </c>
      <c r="S1028" s="88">
        <v>25725</v>
      </c>
      <c r="T1028" s="88">
        <v>19600</v>
      </c>
      <c r="U1028" s="88">
        <v>19600</v>
      </c>
      <c r="V1028" s="87" t="s">
        <v>3067</v>
      </c>
      <c r="W1028" s="87" t="s">
        <v>3112</v>
      </c>
      <c r="X1028" s="90" t="s">
        <v>3610</v>
      </c>
      <c r="Y1028" s="89"/>
      <c r="Z1028" s="89"/>
      <c r="AA1028" s="89"/>
      <c r="AB1028" s="89"/>
    </row>
    <row r="1029" spans="1:28" s="31" customFormat="1" ht="60" customHeight="1" x14ac:dyDescent="0.2">
      <c r="A1029" s="76">
        <v>1028</v>
      </c>
      <c r="B1029" s="77">
        <v>50004065</v>
      </c>
      <c r="C1029" s="78" t="s">
        <v>2545</v>
      </c>
      <c r="D1029" s="79">
        <v>0.05</v>
      </c>
      <c r="E1029" s="80">
        <v>30049044</v>
      </c>
      <c r="F1029" s="81" t="s">
        <v>2546</v>
      </c>
      <c r="G1029" s="82" t="s">
        <v>2547</v>
      </c>
      <c r="H1029" s="82" t="s">
        <v>2548</v>
      </c>
      <c r="I1029" s="79" t="s">
        <v>323</v>
      </c>
      <c r="J1029" s="83">
        <v>8706.34</v>
      </c>
      <c r="K1029" s="83">
        <v>6633.4019047619049</v>
      </c>
      <c r="L1029" s="83">
        <v>6633.4019047619049</v>
      </c>
      <c r="M1029" s="84">
        <v>4355.98891470131</v>
      </c>
      <c r="N1029" s="59">
        <f t="shared" si="16"/>
        <v>0.49967622276395018</v>
      </c>
      <c r="O1029" s="85" t="s">
        <v>2514</v>
      </c>
      <c r="P1029" s="86" t="s">
        <v>4191</v>
      </c>
      <c r="Q1029" s="87" t="s">
        <v>3208</v>
      </c>
      <c r="R1029" s="87">
        <v>1</v>
      </c>
      <c r="S1029" s="88">
        <v>8706.34</v>
      </c>
      <c r="T1029" s="88">
        <v>6633.4019047619049</v>
      </c>
      <c r="U1029" s="88">
        <v>4355.98891470131</v>
      </c>
      <c r="V1029" s="87" t="s">
        <v>3067</v>
      </c>
      <c r="W1029" s="87" t="s">
        <v>3112</v>
      </c>
      <c r="X1029" s="90" t="s">
        <v>3479</v>
      </c>
      <c r="Y1029" s="89"/>
      <c r="Z1029" s="89">
        <v>1</v>
      </c>
      <c r="AA1029" s="89"/>
      <c r="AB1029" s="89"/>
    </row>
    <row r="1030" spans="1:28" s="31" customFormat="1" ht="60" customHeight="1" x14ac:dyDescent="0.2">
      <c r="A1030" s="76">
        <v>1029</v>
      </c>
      <c r="B1030" s="77">
        <v>50005393</v>
      </c>
      <c r="C1030" s="78" t="s">
        <v>4099</v>
      </c>
      <c r="D1030" s="79">
        <v>0.05</v>
      </c>
      <c r="E1030" s="80">
        <v>30049099</v>
      </c>
      <c r="F1030" s="81" t="s">
        <v>4110</v>
      </c>
      <c r="G1030" s="82" t="s">
        <v>4140</v>
      </c>
      <c r="H1030" s="82" t="s">
        <v>4138</v>
      </c>
      <c r="I1030" s="79" t="s">
        <v>3085</v>
      </c>
      <c r="J1030" s="83">
        <v>3314.06</v>
      </c>
      <c r="K1030" s="83">
        <v>2524.9980952380952</v>
      </c>
      <c r="L1030" s="83">
        <v>2524.9980952380952</v>
      </c>
      <c r="M1030" s="84">
        <v>2524.9980952380952</v>
      </c>
      <c r="N1030" s="59">
        <f t="shared" si="16"/>
        <v>0.23809523809523811</v>
      </c>
      <c r="O1030" s="85" t="s">
        <v>2514</v>
      </c>
      <c r="P1030" s="86" t="s">
        <v>4118</v>
      </c>
      <c r="Q1030" s="87" t="s">
        <v>3208</v>
      </c>
      <c r="R1030" s="87">
        <v>1</v>
      </c>
      <c r="S1030" s="88">
        <v>3314.06</v>
      </c>
      <c r="T1030" s="88">
        <v>2524.9980952380952</v>
      </c>
      <c r="U1030" s="88">
        <v>2524.9980952380952</v>
      </c>
      <c r="V1030" s="87" t="s">
        <v>3067</v>
      </c>
      <c r="W1030" s="87" t="s">
        <v>3112</v>
      </c>
      <c r="X1030" s="90" t="s">
        <v>3610</v>
      </c>
      <c r="Y1030" s="89"/>
      <c r="Z1030" s="89"/>
      <c r="AA1030" s="89"/>
      <c r="AB1030" s="89"/>
    </row>
    <row r="1031" spans="1:28" s="31" customFormat="1" ht="60" customHeight="1" x14ac:dyDescent="0.2">
      <c r="A1031" s="76">
        <v>1030</v>
      </c>
      <c r="B1031" s="77">
        <v>50005394</v>
      </c>
      <c r="C1031" s="78" t="s">
        <v>4100</v>
      </c>
      <c r="D1031" s="79">
        <v>0.05</v>
      </c>
      <c r="E1031" s="80">
        <v>30049099</v>
      </c>
      <c r="F1031" s="81" t="s">
        <v>4111</v>
      </c>
      <c r="G1031" s="82" t="s">
        <v>4141</v>
      </c>
      <c r="H1031" s="82" t="s">
        <v>4139</v>
      </c>
      <c r="I1031" s="79" t="s">
        <v>3085</v>
      </c>
      <c r="J1031" s="83">
        <v>4007.8</v>
      </c>
      <c r="K1031" s="83">
        <v>3053.5619047619048</v>
      </c>
      <c r="L1031" s="83">
        <v>3053.5619047619048</v>
      </c>
      <c r="M1031" s="84">
        <v>3053.5619047619043</v>
      </c>
      <c r="N1031" s="59">
        <f t="shared" si="16"/>
        <v>0.23809523809523825</v>
      </c>
      <c r="O1031" s="85" t="s">
        <v>2514</v>
      </c>
      <c r="P1031" s="86" t="s">
        <v>4118</v>
      </c>
      <c r="Q1031" s="87" t="s">
        <v>3208</v>
      </c>
      <c r="R1031" s="87">
        <v>1</v>
      </c>
      <c r="S1031" s="88">
        <v>4007.8</v>
      </c>
      <c r="T1031" s="88">
        <v>3053.5619047619048</v>
      </c>
      <c r="U1031" s="88">
        <v>3053.5619047619043</v>
      </c>
      <c r="V1031" s="87" t="s">
        <v>3067</v>
      </c>
      <c r="W1031" s="87" t="s">
        <v>3112</v>
      </c>
      <c r="X1031" s="90" t="s">
        <v>3610</v>
      </c>
      <c r="Y1031" s="89"/>
      <c r="Z1031" s="89"/>
      <c r="AA1031" s="89"/>
      <c r="AB1031" s="89"/>
    </row>
    <row r="1032" spans="1:28" s="31" customFormat="1" ht="60" customHeight="1" x14ac:dyDescent="0.2">
      <c r="A1032" s="76">
        <v>1031</v>
      </c>
      <c r="B1032" s="77">
        <v>50005395</v>
      </c>
      <c r="C1032" s="78" t="s">
        <v>4173</v>
      </c>
      <c r="D1032" s="79">
        <v>0.05</v>
      </c>
      <c r="E1032" s="80">
        <v>30049099</v>
      </c>
      <c r="F1032" s="81" t="s">
        <v>4174</v>
      </c>
      <c r="G1032" s="82" t="s">
        <v>4175</v>
      </c>
      <c r="H1032" s="82" t="s">
        <v>4176</v>
      </c>
      <c r="I1032" s="79" t="s">
        <v>3085</v>
      </c>
      <c r="J1032" s="83">
        <v>7289.05</v>
      </c>
      <c r="K1032" s="83">
        <v>5553.5619047619048</v>
      </c>
      <c r="L1032" s="83">
        <v>5553.5619047619048</v>
      </c>
      <c r="M1032" s="84">
        <v>5553.5619047619039</v>
      </c>
      <c r="N1032" s="59">
        <f t="shared" si="16"/>
        <v>0.23809523809523825</v>
      </c>
      <c r="O1032" s="85" t="s">
        <v>2514</v>
      </c>
      <c r="P1032" s="86" t="s">
        <v>4118</v>
      </c>
      <c r="Q1032" s="87" t="s">
        <v>3208</v>
      </c>
      <c r="R1032" s="87">
        <v>1</v>
      </c>
      <c r="S1032" s="88">
        <v>7289.05</v>
      </c>
      <c r="T1032" s="88">
        <v>5553.5619047619048</v>
      </c>
      <c r="U1032" s="88">
        <v>5553.5619047619039</v>
      </c>
      <c r="V1032" s="87" t="s">
        <v>3067</v>
      </c>
      <c r="W1032" s="87" t="s">
        <v>3112</v>
      </c>
      <c r="X1032" s="90" t="s">
        <v>3479</v>
      </c>
      <c r="Y1032" s="89"/>
      <c r="Z1032" s="89"/>
      <c r="AA1032" s="89"/>
      <c r="AB1032" s="89"/>
    </row>
    <row r="1033" spans="1:28" s="31" customFormat="1" ht="60" customHeight="1" x14ac:dyDescent="0.2">
      <c r="A1033" s="76">
        <v>1032</v>
      </c>
      <c r="B1033" s="77">
        <v>50005596</v>
      </c>
      <c r="C1033" s="78" t="s">
        <v>4101</v>
      </c>
      <c r="D1033" s="79">
        <v>0.05</v>
      </c>
      <c r="E1033" s="80">
        <v>30049049</v>
      </c>
      <c r="F1033" s="81" t="s">
        <v>4112</v>
      </c>
      <c r="G1033" s="82" t="s">
        <v>4137</v>
      </c>
      <c r="H1033" s="82" t="s">
        <v>489</v>
      </c>
      <c r="I1033" s="79" t="s">
        <v>3193</v>
      </c>
      <c r="J1033" s="83">
        <v>16401.55</v>
      </c>
      <c r="K1033" s="83">
        <v>12496.419047619047</v>
      </c>
      <c r="L1033" s="83">
        <v>12496.419047619047</v>
      </c>
      <c r="M1033" s="84">
        <v>12496.419047619047</v>
      </c>
      <c r="N1033" s="59">
        <f t="shared" si="16"/>
        <v>0.23809523809523811</v>
      </c>
      <c r="O1033" s="85" t="s">
        <v>2514</v>
      </c>
      <c r="P1033" s="86" t="s">
        <v>4118</v>
      </c>
      <c r="Q1033" s="87" t="s">
        <v>3208</v>
      </c>
      <c r="R1033" s="87">
        <v>1</v>
      </c>
      <c r="S1033" s="88">
        <v>16401.55</v>
      </c>
      <c r="T1033" s="88">
        <v>12496.419047619047</v>
      </c>
      <c r="U1033" s="88">
        <v>12496.419047619047</v>
      </c>
      <c r="V1033" s="87" t="s">
        <v>3067</v>
      </c>
      <c r="W1033" s="87" t="s">
        <v>3112</v>
      </c>
      <c r="X1033" s="90" t="s">
        <v>3610</v>
      </c>
      <c r="Y1033" s="89"/>
      <c r="Z1033" s="89"/>
      <c r="AA1033" s="89"/>
      <c r="AB1033" s="89"/>
    </row>
    <row r="1034" spans="1:28" s="31" customFormat="1" ht="60" customHeight="1" x14ac:dyDescent="0.2">
      <c r="A1034" s="76">
        <v>1033</v>
      </c>
      <c r="B1034" s="77">
        <v>50006105</v>
      </c>
      <c r="C1034" s="78" t="s">
        <v>4711</v>
      </c>
      <c r="D1034" s="79">
        <v>0.05</v>
      </c>
      <c r="E1034" s="80">
        <v>30049079</v>
      </c>
      <c r="F1034" s="81" t="s">
        <v>4712</v>
      </c>
      <c r="G1034" s="82" t="s">
        <v>4713</v>
      </c>
      <c r="H1034" s="82" t="s">
        <v>4714</v>
      </c>
      <c r="I1034" s="79" t="s">
        <v>2666</v>
      </c>
      <c r="J1034" s="83">
        <v>69.41</v>
      </c>
      <c r="K1034" s="83">
        <v>52.883809523809518</v>
      </c>
      <c r="L1034" s="83">
        <v>52.883809523809518</v>
      </c>
      <c r="M1034" s="84">
        <v>47.59542857142857</v>
      </c>
      <c r="N1034" s="59">
        <f t="shared" si="16"/>
        <v>0.31428571428571428</v>
      </c>
      <c r="O1034" s="85" t="s">
        <v>2552</v>
      </c>
      <c r="P1034" s="86" t="s">
        <v>37</v>
      </c>
      <c r="Q1034" s="87" t="s">
        <v>3208</v>
      </c>
      <c r="R1034" s="87">
        <v>10</v>
      </c>
      <c r="S1034" s="88">
        <v>6.9409999999999998</v>
      </c>
      <c r="T1034" s="88">
        <v>5.288380952380952</v>
      </c>
      <c r="U1034" s="88">
        <v>4.7595428571428569</v>
      </c>
      <c r="V1034" s="87" t="s">
        <v>3061</v>
      </c>
      <c r="W1034" s="87" t="s">
        <v>3100</v>
      </c>
      <c r="X1034" s="90" t="s">
        <v>3477</v>
      </c>
      <c r="Y1034" s="89"/>
      <c r="Z1034" s="89"/>
      <c r="AA1034" s="89"/>
      <c r="AB1034" s="89"/>
    </row>
    <row r="1035" spans="1:28" s="31" customFormat="1" ht="60" customHeight="1" x14ac:dyDescent="0.2">
      <c r="A1035" s="76">
        <v>1034</v>
      </c>
      <c r="B1035" s="77">
        <v>50006102</v>
      </c>
      <c r="C1035" s="78" t="s">
        <v>4715</v>
      </c>
      <c r="D1035" s="79">
        <v>0.05</v>
      </c>
      <c r="E1035" s="80">
        <v>30049079</v>
      </c>
      <c r="F1035" s="81" t="s">
        <v>4716</v>
      </c>
      <c r="G1035" s="82" t="s">
        <v>4717</v>
      </c>
      <c r="H1035" s="82" t="s">
        <v>4718</v>
      </c>
      <c r="I1035" s="79" t="s">
        <v>2666</v>
      </c>
      <c r="J1035" s="83">
        <v>106.06</v>
      </c>
      <c r="K1035" s="83">
        <v>80.807619047619056</v>
      </c>
      <c r="L1035" s="83">
        <v>80.807619047619056</v>
      </c>
      <c r="M1035" s="84">
        <v>72.726857142857156</v>
      </c>
      <c r="N1035" s="59">
        <f t="shared" si="16"/>
        <v>0.31428571428571417</v>
      </c>
      <c r="O1035" s="85" t="s">
        <v>2552</v>
      </c>
      <c r="P1035" s="86" t="s">
        <v>37</v>
      </c>
      <c r="Q1035" s="87" t="s">
        <v>3208</v>
      </c>
      <c r="R1035" s="87">
        <v>10</v>
      </c>
      <c r="S1035" s="88">
        <v>10.606</v>
      </c>
      <c r="T1035" s="88">
        <v>8.0807619047619053</v>
      </c>
      <c r="U1035" s="88">
        <v>7.272685714285716</v>
      </c>
      <c r="V1035" s="87" t="s">
        <v>3061</v>
      </c>
      <c r="W1035" s="87" t="s">
        <v>3100</v>
      </c>
      <c r="X1035" s="90" t="s">
        <v>3477</v>
      </c>
      <c r="Y1035" s="89"/>
      <c r="Z1035" s="89"/>
      <c r="AA1035" s="89"/>
      <c r="AB1035" s="89"/>
    </row>
    <row r="1036" spans="1:28" s="31" customFormat="1" ht="60" customHeight="1" x14ac:dyDescent="0.2">
      <c r="A1036" s="76">
        <v>1035</v>
      </c>
      <c r="B1036" s="77">
        <v>50006103</v>
      </c>
      <c r="C1036" s="78" t="s">
        <v>4767</v>
      </c>
      <c r="D1036" s="79">
        <v>0.05</v>
      </c>
      <c r="E1036" s="80">
        <v>30049079</v>
      </c>
      <c r="F1036" s="81" t="s">
        <v>4768</v>
      </c>
      <c r="G1036" s="82" t="s">
        <v>4769</v>
      </c>
      <c r="H1036" s="82"/>
      <c r="I1036" s="79" t="s">
        <v>2666</v>
      </c>
      <c r="J1036" s="83">
        <v>125.62</v>
      </c>
      <c r="K1036" s="83">
        <v>95.710476190476186</v>
      </c>
      <c r="L1036" s="83">
        <v>95.710476190476186</v>
      </c>
      <c r="M1036" s="84">
        <v>86.139428571428567</v>
      </c>
      <c r="N1036" s="59">
        <f t="shared" si="16"/>
        <v>0.31428571428571433</v>
      </c>
      <c r="O1036" s="85" t="s">
        <v>2552</v>
      </c>
      <c r="P1036" s="86" t="s">
        <v>305</v>
      </c>
      <c r="Q1036" s="87" t="s">
        <v>3208</v>
      </c>
      <c r="R1036" s="87">
        <v>10</v>
      </c>
      <c r="S1036" s="88">
        <v>12.562000000000001</v>
      </c>
      <c r="T1036" s="88">
        <v>9.5710476190476186</v>
      </c>
      <c r="U1036" s="88">
        <v>8.613942857142856</v>
      </c>
      <c r="V1036" s="87" t="s">
        <v>3061</v>
      </c>
      <c r="W1036" s="87" t="s">
        <v>3100</v>
      </c>
      <c r="X1036" s="90" t="s">
        <v>3477</v>
      </c>
      <c r="Y1036" s="89"/>
      <c r="Z1036" s="89"/>
      <c r="AA1036" s="89"/>
      <c r="AB1036" s="89"/>
    </row>
    <row r="1037" spans="1:28" s="31" customFormat="1" ht="60" customHeight="1" x14ac:dyDescent="0.2">
      <c r="A1037" s="76">
        <v>1036</v>
      </c>
      <c r="B1037" s="77">
        <v>50006106</v>
      </c>
      <c r="C1037" s="78" t="s">
        <v>4770</v>
      </c>
      <c r="D1037" s="79">
        <v>0.05</v>
      </c>
      <c r="E1037" s="80">
        <v>30049079</v>
      </c>
      <c r="F1037" s="81" t="s">
        <v>4771</v>
      </c>
      <c r="G1037" s="82" t="s">
        <v>4772</v>
      </c>
      <c r="H1037" s="82"/>
      <c r="I1037" s="79" t="s">
        <v>2666</v>
      </c>
      <c r="J1037" s="83">
        <v>144.37</v>
      </c>
      <c r="K1037" s="83">
        <v>109.99619047619049</v>
      </c>
      <c r="L1037" s="83">
        <v>109.99619047619049</v>
      </c>
      <c r="M1037" s="84">
        <v>98.996571428571443</v>
      </c>
      <c r="N1037" s="59">
        <f t="shared" si="16"/>
        <v>0.31428571428571422</v>
      </c>
      <c r="O1037" s="85" t="s">
        <v>2552</v>
      </c>
      <c r="P1037" s="86" t="s">
        <v>305</v>
      </c>
      <c r="Q1037" s="87" t="s">
        <v>3208</v>
      </c>
      <c r="R1037" s="87">
        <v>10</v>
      </c>
      <c r="S1037" s="88">
        <v>14.437000000000001</v>
      </c>
      <c r="T1037" s="88">
        <v>10.999619047619049</v>
      </c>
      <c r="U1037" s="88">
        <v>9.8996571428571443</v>
      </c>
      <c r="V1037" s="87" t="s">
        <v>3061</v>
      </c>
      <c r="W1037" s="87" t="s">
        <v>3100</v>
      </c>
      <c r="X1037" s="90" t="s">
        <v>3477</v>
      </c>
      <c r="Y1037" s="89"/>
      <c r="Z1037" s="89"/>
      <c r="AA1037" s="89"/>
      <c r="AB1037" s="89"/>
    </row>
    <row r="1038" spans="1:28" s="31" customFormat="1" ht="60" customHeight="1" x14ac:dyDescent="0.2">
      <c r="A1038" s="76">
        <v>1037</v>
      </c>
      <c r="B1038" s="77">
        <v>50004132</v>
      </c>
      <c r="C1038" s="78" t="s">
        <v>2549</v>
      </c>
      <c r="D1038" s="79">
        <v>0.05</v>
      </c>
      <c r="E1038" s="80">
        <v>30049099</v>
      </c>
      <c r="F1038" s="81" t="s">
        <v>2550</v>
      </c>
      <c r="G1038" s="82" t="s">
        <v>2551</v>
      </c>
      <c r="H1038" s="82" t="s">
        <v>26</v>
      </c>
      <c r="I1038" s="79" t="s">
        <v>2663</v>
      </c>
      <c r="J1038" s="83">
        <v>321.58</v>
      </c>
      <c r="K1038" s="83">
        <v>245.01333333333332</v>
      </c>
      <c r="L1038" s="83">
        <v>245.01333333333332</v>
      </c>
      <c r="M1038" s="84">
        <v>196.01066666666662</v>
      </c>
      <c r="N1038" s="59">
        <f t="shared" si="16"/>
        <v>0.39047619047619059</v>
      </c>
      <c r="O1038" s="85" t="s">
        <v>2552</v>
      </c>
      <c r="P1038" s="86" t="s">
        <v>2944</v>
      </c>
      <c r="Q1038" s="87" t="s">
        <v>3208</v>
      </c>
      <c r="R1038" s="87">
        <v>15</v>
      </c>
      <c r="S1038" s="88">
        <v>21.438666666666666</v>
      </c>
      <c r="T1038" s="88">
        <v>16.33422222222222</v>
      </c>
      <c r="U1038" s="88">
        <v>13.067377777777775</v>
      </c>
      <c r="V1038" s="87" t="s">
        <v>3061</v>
      </c>
      <c r="W1038" s="87" t="s">
        <v>3100</v>
      </c>
      <c r="X1038" s="90" t="s">
        <v>3477</v>
      </c>
      <c r="Y1038" s="89"/>
      <c r="Z1038" s="89">
        <v>3</v>
      </c>
      <c r="AA1038" s="89"/>
      <c r="AB1038" s="89"/>
    </row>
    <row r="1039" spans="1:28" s="31" customFormat="1" ht="60" customHeight="1" x14ac:dyDescent="0.2">
      <c r="A1039" s="76">
        <v>1038</v>
      </c>
      <c r="B1039" s="77">
        <v>50003302</v>
      </c>
      <c r="C1039" s="78" t="s">
        <v>2553</v>
      </c>
      <c r="D1039" s="79">
        <v>0.05</v>
      </c>
      <c r="E1039" s="80">
        <v>30049099</v>
      </c>
      <c r="F1039" s="81" t="s">
        <v>2554</v>
      </c>
      <c r="G1039" s="82" t="s">
        <v>2555</v>
      </c>
      <c r="H1039" s="82" t="s">
        <v>2178</v>
      </c>
      <c r="I1039" s="79" t="s">
        <v>2666</v>
      </c>
      <c r="J1039" s="83">
        <v>219.36</v>
      </c>
      <c r="K1039" s="83">
        <v>167.13142857142856</v>
      </c>
      <c r="L1039" s="83">
        <v>167.13142857142856</v>
      </c>
      <c r="M1039" s="84">
        <v>133.70514285714285</v>
      </c>
      <c r="N1039" s="59">
        <f t="shared" si="16"/>
        <v>0.39047619047619059</v>
      </c>
      <c r="O1039" s="85" t="s">
        <v>2552</v>
      </c>
      <c r="P1039" s="86" t="s">
        <v>2944</v>
      </c>
      <c r="Q1039" s="87" t="s">
        <v>3208</v>
      </c>
      <c r="R1039" s="87">
        <v>10</v>
      </c>
      <c r="S1039" s="88">
        <v>21.936</v>
      </c>
      <c r="T1039" s="88">
        <v>16.713142857142856</v>
      </c>
      <c r="U1039" s="88">
        <v>13.370514285714284</v>
      </c>
      <c r="V1039" s="87" t="s">
        <v>3061</v>
      </c>
      <c r="W1039" s="87" t="s">
        <v>3100</v>
      </c>
      <c r="X1039" s="90" t="s">
        <v>3477</v>
      </c>
      <c r="Y1039" s="89"/>
      <c r="Z1039" s="89">
        <v>3</v>
      </c>
      <c r="AA1039" s="89"/>
      <c r="AB1039" s="89"/>
    </row>
    <row r="1040" spans="1:28" s="31" customFormat="1" ht="60" customHeight="1" x14ac:dyDescent="0.2">
      <c r="A1040" s="76">
        <v>1039</v>
      </c>
      <c r="B1040" s="77">
        <v>50003402</v>
      </c>
      <c r="C1040" s="78" t="s">
        <v>4177</v>
      </c>
      <c r="D1040" s="79">
        <v>0.05</v>
      </c>
      <c r="E1040" s="80">
        <v>30049099</v>
      </c>
      <c r="F1040" s="81" t="s">
        <v>4178</v>
      </c>
      <c r="G1040" s="82" t="s">
        <v>4179</v>
      </c>
      <c r="H1040" s="82" t="s">
        <v>4180</v>
      </c>
      <c r="I1040" s="79" t="s">
        <v>2666</v>
      </c>
      <c r="J1040" s="83">
        <v>299.99</v>
      </c>
      <c r="K1040" s="83">
        <v>228.56380952380951</v>
      </c>
      <c r="L1040" s="83">
        <v>228.56380952380951</v>
      </c>
      <c r="M1040" s="84">
        <v>182.85104761904756</v>
      </c>
      <c r="N1040" s="59">
        <f t="shared" si="16"/>
        <v>0.3904761904761907</v>
      </c>
      <c r="O1040" s="85" t="s">
        <v>2552</v>
      </c>
      <c r="P1040" s="86" t="s">
        <v>2748</v>
      </c>
      <c r="Q1040" s="87" t="s">
        <v>3208</v>
      </c>
      <c r="R1040" s="87">
        <v>10</v>
      </c>
      <c r="S1040" s="88">
        <v>29.999000000000002</v>
      </c>
      <c r="T1040" s="88">
        <v>22.856380952380952</v>
      </c>
      <c r="U1040" s="88">
        <v>18.285104761904755</v>
      </c>
      <c r="V1040" s="87" t="s">
        <v>3061</v>
      </c>
      <c r="W1040" s="87" t="s">
        <v>3100</v>
      </c>
      <c r="X1040" s="90" t="s">
        <v>3477</v>
      </c>
      <c r="Y1040" s="89"/>
      <c r="Z1040" s="89"/>
      <c r="AA1040" s="89"/>
      <c r="AB1040" s="89"/>
    </row>
    <row r="1041" spans="1:28" s="31" customFormat="1" ht="60" customHeight="1" x14ac:dyDescent="0.2">
      <c r="A1041" s="76">
        <v>1040</v>
      </c>
      <c r="B1041" s="77">
        <v>50003319</v>
      </c>
      <c r="C1041" s="78" t="s">
        <v>2556</v>
      </c>
      <c r="D1041" s="79">
        <v>0.05</v>
      </c>
      <c r="E1041" s="80">
        <v>30049099</v>
      </c>
      <c r="F1041" s="81" t="s">
        <v>2557</v>
      </c>
      <c r="G1041" s="82" t="s">
        <v>2558</v>
      </c>
      <c r="H1041" s="82" t="s">
        <v>154</v>
      </c>
      <c r="I1041" s="79" t="s">
        <v>2666</v>
      </c>
      <c r="J1041" s="83">
        <v>169.01</v>
      </c>
      <c r="K1041" s="83">
        <v>128.7695238095238</v>
      </c>
      <c r="L1041" s="83">
        <v>128.7695238095238</v>
      </c>
      <c r="M1041" s="84">
        <v>103.01561904761908</v>
      </c>
      <c r="N1041" s="59">
        <f t="shared" si="16"/>
        <v>0.39047619047619025</v>
      </c>
      <c r="O1041" s="85" t="s">
        <v>2552</v>
      </c>
      <c r="P1041" s="86" t="s">
        <v>819</v>
      </c>
      <c r="Q1041" s="87" t="s">
        <v>3208</v>
      </c>
      <c r="R1041" s="87">
        <v>10</v>
      </c>
      <c r="S1041" s="88">
        <v>16.901</v>
      </c>
      <c r="T1041" s="88">
        <v>12.87695238095238</v>
      </c>
      <c r="U1041" s="88">
        <v>10.301561904761908</v>
      </c>
      <c r="V1041" s="87" t="s">
        <v>3061</v>
      </c>
      <c r="W1041" s="87" t="s">
        <v>3100</v>
      </c>
      <c r="X1041" s="90" t="s">
        <v>3477</v>
      </c>
      <c r="Y1041" s="89"/>
      <c r="Z1041" s="89">
        <v>3</v>
      </c>
      <c r="AA1041" s="89"/>
      <c r="AB1041" s="89"/>
    </row>
    <row r="1042" spans="1:28" s="31" customFormat="1" ht="60" customHeight="1" x14ac:dyDescent="0.2">
      <c r="A1042" s="76">
        <v>1041</v>
      </c>
      <c r="B1042" s="77">
        <v>50006080</v>
      </c>
      <c r="C1042" s="78" t="s">
        <v>2556</v>
      </c>
      <c r="D1042" s="79">
        <v>0.05</v>
      </c>
      <c r="E1042" s="80">
        <v>30049099</v>
      </c>
      <c r="F1042" s="81" t="s">
        <v>4816</v>
      </c>
      <c r="G1042" s="82" t="s">
        <v>4816</v>
      </c>
      <c r="H1042" s="82" t="s">
        <v>154</v>
      </c>
      <c r="I1042" s="79" t="s">
        <v>2663</v>
      </c>
      <c r="J1042" s="83">
        <v>253.51</v>
      </c>
      <c r="K1042" s="83">
        <v>193.15047619047618</v>
      </c>
      <c r="L1042" s="83">
        <v>193.15047619047618</v>
      </c>
      <c r="M1042" s="84">
        <v>154.52038095238095</v>
      </c>
      <c r="N1042" s="59">
        <f t="shared" si="16"/>
        <v>0.39047619047619048</v>
      </c>
      <c r="O1042" s="85" t="s">
        <v>2552</v>
      </c>
      <c r="P1042" s="86" t="s">
        <v>819</v>
      </c>
      <c r="Q1042" s="87" t="s">
        <v>3208</v>
      </c>
      <c r="R1042" s="87">
        <v>15</v>
      </c>
      <c r="S1042" s="88">
        <v>16.900666666666666</v>
      </c>
      <c r="T1042" s="88">
        <v>12.876698412698412</v>
      </c>
      <c r="U1042" s="88">
        <v>10.30135873015873</v>
      </c>
      <c r="V1042" s="87" t="s">
        <v>3061</v>
      </c>
      <c r="W1042" s="87" t="s">
        <v>3100</v>
      </c>
      <c r="X1042" s="90" t="s">
        <v>3477</v>
      </c>
      <c r="Y1042" s="89"/>
      <c r="Z1042" s="89"/>
      <c r="AA1042" s="89"/>
      <c r="AB1042" s="89"/>
    </row>
    <row r="1043" spans="1:28" s="31" customFormat="1" ht="60" customHeight="1" x14ac:dyDescent="0.2">
      <c r="A1043" s="76">
        <v>1042</v>
      </c>
      <c r="B1043" s="77">
        <v>50003320</v>
      </c>
      <c r="C1043" s="78" t="s">
        <v>3137</v>
      </c>
      <c r="D1043" s="79">
        <v>0.05</v>
      </c>
      <c r="E1043" s="80">
        <v>30049099</v>
      </c>
      <c r="F1043" s="81" t="s">
        <v>3138</v>
      </c>
      <c r="G1043" s="82" t="s">
        <v>3139</v>
      </c>
      <c r="H1043" s="82" t="s">
        <v>158</v>
      </c>
      <c r="I1043" s="79" t="s">
        <v>2666</v>
      </c>
      <c r="J1043" s="83">
        <v>295.95999999999998</v>
      </c>
      <c r="K1043" s="83">
        <v>225.49333333333328</v>
      </c>
      <c r="L1043" s="83">
        <v>225.49333333333328</v>
      </c>
      <c r="M1043" s="84">
        <v>180.39466666666661</v>
      </c>
      <c r="N1043" s="59">
        <f t="shared" si="16"/>
        <v>0.39047619047619064</v>
      </c>
      <c r="O1043" s="85" t="s">
        <v>2552</v>
      </c>
      <c r="P1043" s="86" t="s">
        <v>819</v>
      </c>
      <c r="Q1043" s="87" t="s">
        <v>3208</v>
      </c>
      <c r="R1043" s="87">
        <v>10</v>
      </c>
      <c r="S1043" s="88">
        <v>29.595999999999997</v>
      </c>
      <c r="T1043" s="88">
        <v>22.54933333333333</v>
      </c>
      <c r="U1043" s="88">
        <v>18.039466666666662</v>
      </c>
      <c r="V1043" s="87" t="s">
        <v>3061</v>
      </c>
      <c r="W1043" s="87" t="s">
        <v>3100</v>
      </c>
      <c r="X1043" s="90" t="s">
        <v>3477</v>
      </c>
      <c r="Y1043" s="89"/>
      <c r="Z1043" s="89">
        <v>3</v>
      </c>
      <c r="AA1043" s="89"/>
      <c r="AB1043" s="89"/>
    </row>
    <row r="1044" spans="1:28" s="31" customFormat="1" ht="60" customHeight="1" x14ac:dyDescent="0.2">
      <c r="A1044" s="76">
        <v>1043</v>
      </c>
      <c r="B1044" s="77">
        <v>50006083</v>
      </c>
      <c r="C1044" s="78" t="s">
        <v>3137</v>
      </c>
      <c r="D1044" s="79">
        <v>0.05</v>
      </c>
      <c r="E1044" s="80">
        <v>30049099</v>
      </c>
      <c r="F1044" s="81" t="s">
        <v>4817</v>
      </c>
      <c r="G1044" s="82" t="s">
        <v>4817</v>
      </c>
      <c r="H1044" s="82" t="s">
        <v>158</v>
      </c>
      <c r="I1044" s="79" t="s">
        <v>2663</v>
      </c>
      <c r="J1044" s="83">
        <v>488.32</v>
      </c>
      <c r="K1044" s="83">
        <v>372.05333333333334</v>
      </c>
      <c r="L1044" s="83">
        <v>372.05333333333334</v>
      </c>
      <c r="M1044" s="84">
        <v>297.64266666666668</v>
      </c>
      <c r="N1044" s="59">
        <f t="shared" si="16"/>
        <v>0.39047619047619042</v>
      </c>
      <c r="O1044" s="85" t="s">
        <v>2552</v>
      </c>
      <c r="P1044" s="86" t="s">
        <v>819</v>
      </c>
      <c r="Q1044" s="87" t="s">
        <v>3208</v>
      </c>
      <c r="R1044" s="87">
        <v>15</v>
      </c>
      <c r="S1044" s="88">
        <v>32.55466666666667</v>
      </c>
      <c r="T1044" s="88">
        <v>24.803555555555555</v>
      </c>
      <c r="U1044" s="88">
        <v>19.842844444444445</v>
      </c>
      <c r="V1044" s="87" t="s">
        <v>3061</v>
      </c>
      <c r="W1044" s="87" t="s">
        <v>3100</v>
      </c>
      <c r="X1044" s="90" t="s">
        <v>3477</v>
      </c>
      <c r="Y1044" s="89"/>
      <c r="Z1044" s="89"/>
      <c r="AA1044" s="89"/>
      <c r="AB1044" s="89"/>
    </row>
    <row r="1045" spans="1:28" s="31" customFormat="1" ht="60" customHeight="1" x14ac:dyDescent="0.2">
      <c r="A1045" s="76">
        <v>1044</v>
      </c>
      <c r="B1045" s="77">
        <v>50005610</v>
      </c>
      <c r="C1045" s="78" t="s">
        <v>3635</v>
      </c>
      <c r="D1045" s="79">
        <v>0.05</v>
      </c>
      <c r="E1045" s="80">
        <v>30049099</v>
      </c>
      <c r="F1045" s="81" t="s">
        <v>3648</v>
      </c>
      <c r="G1045" s="82" t="s">
        <v>4855</v>
      </c>
      <c r="H1045" s="82" t="s">
        <v>154</v>
      </c>
      <c r="I1045" s="79" t="s">
        <v>3651</v>
      </c>
      <c r="J1045" s="83">
        <v>224.99</v>
      </c>
      <c r="K1045" s="83">
        <v>171.42095238095237</v>
      </c>
      <c r="L1045" s="83">
        <v>171.42095238095237</v>
      </c>
      <c r="M1045" s="84">
        <v>137.1367619047619</v>
      </c>
      <c r="N1045" s="59">
        <f t="shared" si="16"/>
        <v>0.39047619047619053</v>
      </c>
      <c r="O1045" s="85" t="s">
        <v>2552</v>
      </c>
      <c r="P1045" s="86" t="s">
        <v>2734</v>
      </c>
      <c r="Q1045" s="87" t="s">
        <v>3208</v>
      </c>
      <c r="R1045" s="87">
        <v>10</v>
      </c>
      <c r="S1045" s="88">
        <v>22.499000000000002</v>
      </c>
      <c r="T1045" s="88">
        <v>17.142095238095237</v>
      </c>
      <c r="U1045" s="88">
        <v>13.713676190476189</v>
      </c>
      <c r="V1045" s="87" t="s">
        <v>3061</v>
      </c>
      <c r="W1045" s="87" t="s">
        <v>3100</v>
      </c>
      <c r="X1045" s="90" t="s">
        <v>3477</v>
      </c>
      <c r="Y1045" s="89"/>
      <c r="Z1045" s="89"/>
      <c r="AA1045" s="89"/>
      <c r="AB1045" s="89"/>
    </row>
    <row r="1046" spans="1:28" s="31" customFormat="1" ht="60" customHeight="1" x14ac:dyDescent="0.2">
      <c r="A1046" s="76">
        <v>1045</v>
      </c>
      <c r="B1046" s="77">
        <v>50005611</v>
      </c>
      <c r="C1046" s="78" t="s">
        <v>4181</v>
      </c>
      <c r="D1046" s="79">
        <v>0.05</v>
      </c>
      <c r="E1046" s="80">
        <v>30049099</v>
      </c>
      <c r="F1046" s="81" t="s">
        <v>4182</v>
      </c>
      <c r="G1046" s="82" t="s">
        <v>4183</v>
      </c>
      <c r="H1046" s="82" t="s">
        <v>4184</v>
      </c>
      <c r="I1046" s="79" t="s">
        <v>3651</v>
      </c>
      <c r="J1046" s="83">
        <v>309.37</v>
      </c>
      <c r="K1046" s="83">
        <v>235.71047619047619</v>
      </c>
      <c r="L1046" s="83">
        <v>235.71047619047619</v>
      </c>
      <c r="M1046" s="84">
        <v>188.56838095238092</v>
      </c>
      <c r="N1046" s="59">
        <f t="shared" si="16"/>
        <v>0.39047619047619059</v>
      </c>
      <c r="O1046" s="85" t="s">
        <v>2552</v>
      </c>
      <c r="P1046" s="86" t="s">
        <v>2734</v>
      </c>
      <c r="Q1046" s="87" t="s">
        <v>3208</v>
      </c>
      <c r="R1046" s="87">
        <v>10</v>
      </c>
      <c r="S1046" s="88">
        <v>30.937000000000001</v>
      </c>
      <c r="T1046" s="88">
        <v>23.571047619047619</v>
      </c>
      <c r="U1046" s="88">
        <v>18.856838095238093</v>
      </c>
      <c r="V1046" s="87" t="s">
        <v>3061</v>
      </c>
      <c r="W1046" s="87" t="s">
        <v>3100</v>
      </c>
      <c r="X1046" s="90" t="s">
        <v>3477</v>
      </c>
      <c r="Y1046" s="89"/>
      <c r="Z1046" s="89"/>
      <c r="AA1046" s="89"/>
      <c r="AB1046" s="89"/>
    </row>
    <row r="1047" spans="1:28" s="31" customFormat="1" ht="60" customHeight="1" x14ac:dyDescent="0.2">
      <c r="A1047" s="76">
        <v>1046</v>
      </c>
      <c r="B1047" s="77">
        <v>50000901</v>
      </c>
      <c r="C1047" s="78" t="s">
        <v>2559</v>
      </c>
      <c r="D1047" s="79">
        <v>0.05</v>
      </c>
      <c r="E1047" s="80">
        <v>30049079</v>
      </c>
      <c r="F1047" s="81" t="s">
        <v>2560</v>
      </c>
      <c r="G1047" s="82" t="s">
        <v>2561</v>
      </c>
      <c r="H1047" s="82" t="s">
        <v>3820</v>
      </c>
      <c r="I1047" s="79" t="s">
        <v>2666</v>
      </c>
      <c r="J1047" s="83">
        <v>77.349999999999994</v>
      </c>
      <c r="K1047" s="83">
        <v>58.933333333333323</v>
      </c>
      <c r="L1047" s="83">
        <v>58.933333333333323</v>
      </c>
      <c r="M1047" s="84">
        <v>47.146666666666647</v>
      </c>
      <c r="N1047" s="59">
        <f t="shared" si="16"/>
        <v>0.3904761904761907</v>
      </c>
      <c r="O1047" s="85" t="s">
        <v>2552</v>
      </c>
      <c r="P1047" s="86" t="s">
        <v>2694</v>
      </c>
      <c r="Q1047" s="87" t="s">
        <v>3208</v>
      </c>
      <c r="R1047" s="87">
        <v>10</v>
      </c>
      <c r="S1047" s="88">
        <v>7.7349999999999994</v>
      </c>
      <c r="T1047" s="88">
        <v>5.8933333333333326</v>
      </c>
      <c r="U1047" s="88">
        <v>4.7146666666666643</v>
      </c>
      <c r="V1047" s="87" t="s">
        <v>3061</v>
      </c>
      <c r="W1047" s="87" t="s">
        <v>3100</v>
      </c>
      <c r="X1047" s="90" t="s">
        <v>3477</v>
      </c>
      <c r="Y1047" s="89" t="s">
        <v>3455</v>
      </c>
      <c r="Z1047" s="89">
        <v>3</v>
      </c>
      <c r="AA1047" s="89"/>
      <c r="AB1047" s="89" t="s">
        <v>4613</v>
      </c>
    </row>
    <row r="1048" spans="1:28" s="31" customFormat="1" ht="60" customHeight="1" x14ac:dyDescent="0.2">
      <c r="A1048" s="76">
        <v>1047</v>
      </c>
      <c r="B1048" s="77">
        <v>50000683</v>
      </c>
      <c r="C1048" s="78" t="s">
        <v>2562</v>
      </c>
      <c r="D1048" s="79">
        <v>0.05</v>
      </c>
      <c r="E1048" s="80">
        <v>30049079</v>
      </c>
      <c r="F1048" s="81" t="s">
        <v>2563</v>
      </c>
      <c r="G1048" s="82" t="s">
        <v>2564</v>
      </c>
      <c r="H1048" s="82" t="s">
        <v>3821</v>
      </c>
      <c r="I1048" s="79" t="s">
        <v>2666</v>
      </c>
      <c r="J1048" s="83">
        <v>106.93</v>
      </c>
      <c r="K1048" s="83">
        <v>81.470476190476191</v>
      </c>
      <c r="L1048" s="83">
        <v>81.470476190476191</v>
      </c>
      <c r="M1048" s="84">
        <v>65.176380952380939</v>
      </c>
      <c r="N1048" s="59">
        <f t="shared" si="16"/>
        <v>0.39047619047619064</v>
      </c>
      <c r="O1048" s="85" t="s">
        <v>2552</v>
      </c>
      <c r="P1048" s="86" t="s">
        <v>2694</v>
      </c>
      <c r="Q1048" s="87" t="s">
        <v>3208</v>
      </c>
      <c r="R1048" s="87">
        <v>10</v>
      </c>
      <c r="S1048" s="88">
        <v>10.693000000000001</v>
      </c>
      <c r="T1048" s="88">
        <v>8.1470476190476191</v>
      </c>
      <c r="U1048" s="88">
        <v>6.5176380952380937</v>
      </c>
      <c r="V1048" s="87" t="s">
        <v>3061</v>
      </c>
      <c r="W1048" s="87" t="s">
        <v>3100</v>
      </c>
      <c r="X1048" s="90" t="s">
        <v>3477</v>
      </c>
      <c r="Y1048" s="89" t="s">
        <v>3455</v>
      </c>
      <c r="Z1048" s="89">
        <v>4</v>
      </c>
      <c r="AA1048" s="89"/>
      <c r="AB1048" s="89"/>
    </row>
    <row r="1049" spans="1:28" s="31" customFormat="1" ht="60" customHeight="1" x14ac:dyDescent="0.2">
      <c r="A1049" s="76">
        <v>1048</v>
      </c>
      <c r="B1049" s="77">
        <v>50005103</v>
      </c>
      <c r="C1049" s="78" t="s">
        <v>3316</v>
      </c>
      <c r="D1049" s="79">
        <v>0.05</v>
      </c>
      <c r="E1049" s="80">
        <v>30049074</v>
      </c>
      <c r="F1049" s="81" t="s">
        <v>3328</v>
      </c>
      <c r="G1049" s="82" t="s">
        <v>3351</v>
      </c>
      <c r="H1049" s="82" t="s">
        <v>154</v>
      </c>
      <c r="I1049" s="79" t="s">
        <v>2666</v>
      </c>
      <c r="J1049" s="83">
        <v>43.12</v>
      </c>
      <c r="K1049" s="83">
        <v>32.853333333333339</v>
      </c>
      <c r="L1049" s="83">
        <v>32.853333333333339</v>
      </c>
      <c r="M1049" s="84">
        <v>26.282666666666671</v>
      </c>
      <c r="N1049" s="59">
        <f t="shared" si="16"/>
        <v>0.39047619047619037</v>
      </c>
      <c r="O1049" s="85" t="s">
        <v>2552</v>
      </c>
      <c r="P1049" s="86" t="s">
        <v>3333</v>
      </c>
      <c r="Q1049" s="87" t="s">
        <v>3207</v>
      </c>
      <c r="R1049" s="87">
        <v>10</v>
      </c>
      <c r="S1049" s="88">
        <v>4.3119999999999994</v>
      </c>
      <c r="T1049" s="88">
        <v>3.2853333333333339</v>
      </c>
      <c r="U1049" s="88">
        <v>2.6282666666666672</v>
      </c>
      <c r="V1049" s="87" t="s">
        <v>3061</v>
      </c>
      <c r="W1049" s="87" t="s">
        <v>3100</v>
      </c>
      <c r="X1049" s="90" t="s">
        <v>3477</v>
      </c>
      <c r="Y1049" s="89"/>
      <c r="Z1049" s="89">
        <v>6</v>
      </c>
      <c r="AA1049" s="89"/>
      <c r="AB1049" s="89"/>
    </row>
    <row r="1050" spans="1:28" s="31" customFormat="1" ht="60" customHeight="1" x14ac:dyDescent="0.2">
      <c r="A1050" s="76">
        <v>1049</v>
      </c>
      <c r="B1050" s="77">
        <v>50005104</v>
      </c>
      <c r="C1050" s="78" t="s">
        <v>3317</v>
      </c>
      <c r="D1050" s="79">
        <v>0.05</v>
      </c>
      <c r="E1050" s="80">
        <v>30049074</v>
      </c>
      <c r="F1050" s="81" t="s">
        <v>3329</v>
      </c>
      <c r="G1050" s="82" t="s">
        <v>3352</v>
      </c>
      <c r="H1050" s="82" t="s">
        <v>158</v>
      </c>
      <c r="I1050" s="79" t="s">
        <v>2666</v>
      </c>
      <c r="J1050" s="83">
        <v>60.93</v>
      </c>
      <c r="K1050" s="83">
        <v>46.422857142857147</v>
      </c>
      <c r="L1050" s="83">
        <v>46.422857142857147</v>
      </c>
      <c r="M1050" s="84">
        <v>37.138285714285708</v>
      </c>
      <c r="N1050" s="59">
        <f t="shared" si="16"/>
        <v>0.39047619047619059</v>
      </c>
      <c r="O1050" s="85" t="s">
        <v>2552</v>
      </c>
      <c r="P1050" s="86" t="s">
        <v>3333</v>
      </c>
      <c r="Q1050" s="87" t="s">
        <v>3207</v>
      </c>
      <c r="R1050" s="87">
        <v>10</v>
      </c>
      <c r="S1050" s="88">
        <v>6.093</v>
      </c>
      <c r="T1050" s="88">
        <v>4.6422857142857143</v>
      </c>
      <c r="U1050" s="88">
        <v>3.7138285714285706</v>
      </c>
      <c r="V1050" s="87" t="s">
        <v>3061</v>
      </c>
      <c r="W1050" s="87" t="s">
        <v>3100</v>
      </c>
      <c r="X1050" s="90" t="s">
        <v>3477</v>
      </c>
      <c r="Y1050" s="89"/>
      <c r="Z1050" s="89">
        <v>6</v>
      </c>
      <c r="AA1050" s="89"/>
      <c r="AB1050" s="89"/>
    </row>
    <row r="1051" spans="1:28" s="31" customFormat="1" ht="60" customHeight="1" x14ac:dyDescent="0.2">
      <c r="A1051" s="76">
        <v>1050</v>
      </c>
      <c r="B1051" s="77">
        <v>50004133</v>
      </c>
      <c r="C1051" s="78" t="s">
        <v>2569</v>
      </c>
      <c r="D1051" s="79">
        <v>0.05</v>
      </c>
      <c r="E1051" s="80">
        <v>30049099</v>
      </c>
      <c r="F1051" s="81" t="s">
        <v>2570</v>
      </c>
      <c r="G1051" s="82" t="s">
        <v>2571</v>
      </c>
      <c r="H1051" s="82" t="s">
        <v>26</v>
      </c>
      <c r="I1051" s="79" t="s">
        <v>2663</v>
      </c>
      <c r="J1051" s="83">
        <v>127.6</v>
      </c>
      <c r="K1051" s="83">
        <v>97.219047619047615</v>
      </c>
      <c r="L1051" s="83">
        <v>97.219047619047615</v>
      </c>
      <c r="M1051" s="84">
        <v>77.77523809523808</v>
      </c>
      <c r="N1051" s="59">
        <f t="shared" si="16"/>
        <v>0.39047619047619059</v>
      </c>
      <c r="O1051" s="85" t="s">
        <v>2552</v>
      </c>
      <c r="P1051" s="86" t="s">
        <v>3264</v>
      </c>
      <c r="Q1051" s="87" t="s">
        <v>3208</v>
      </c>
      <c r="R1051" s="87">
        <v>15</v>
      </c>
      <c r="S1051" s="88">
        <v>8.5066666666666659</v>
      </c>
      <c r="T1051" s="88">
        <v>6.4812698412698406</v>
      </c>
      <c r="U1051" s="88">
        <v>5.185015873015872</v>
      </c>
      <c r="V1051" s="87" t="s">
        <v>3061</v>
      </c>
      <c r="W1051" s="87" t="s">
        <v>3114</v>
      </c>
      <c r="X1051" s="90" t="s">
        <v>3477</v>
      </c>
      <c r="Y1051" s="89" t="s">
        <v>3455</v>
      </c>
      <c r="Z1051" s="89">
        <v>3</v>
      </c>
      <c r="AA1051" s="89"/>
      <c r="AB1051" s="89"/>
    </row>
    <row r="1052" spans="1:28" s="31" customFormat="1" ht="60" customHeight="1" x14ac:dyDescent="0.2">
      <c r="A1052" s="76">
        <v>1051</v>
      </c>
      <c r="B1052" s="77">
        <v>50004134</v>
      </c>
      <c r="C1052" s="78" t="s">
        <v>2572</v>
      </c>
      <c r="D1052" s="79">
        <v>0.05</v>
      </c>
      <c r="E1052" s="80">
        <v>30049099</v>
      </c>
      <c r="F1052" s="81" t="s">
        <v>2573</v>
      </c>
      <c r="G1052" s="82" t="s">
        <v>2574</v>
      </c>
      <c r="H1052" s="82" t="s">
        <v>30</v>
      </c>
      <c r="I1052" s="79" t="s">
        <v>2663</v>
      </c>
      <c r="J1052" s="83">
        <v>185.28</v>
      </c>
      <c r="K1052" s="83">
        <v>141.16571428571427</v>
      </c>
      <c r="L1052" s="83">
        <v>141.16571428571427</v>
      </c>
      <c r="M1052" s="84">
        <v>112.93257142857142</v>
      </c>
      <c r="N1052" s="59">
        <f t="shared" si="16"/>
        <v>0.39047619047619053</v>
      </c>
      <c r="O1052" s="85" t="s">
        <v>2552</v>
      </c>
      <c r="P1052" s="86" t="s">
        <v>3534</v>
      </c>
      <c r="Q1052" s="87" t="s">
        <v>3208</v>
      </c>
      <c r="R1052" s="87">
        <v>15</v>
      </c>
      <c r="S1052" s="88">
        <v>12.352</v>
      </c>
      <c r="T1052" s="88">
        <v>9.4110476190476184</v>
      </c>
      <c r="U1052" s="88">
        <v>7.5288380952380951</v>
      </c>
      <c r="V1052" s="87" t="s">
        <v>3061</v>
      </c>
      <c r="W1052" s="87" t="s">
        <v>3114</v>
      </c>
      <c r="X1052" s="90" t="s">
        <v>3477</v>
      </c>
      <c r="Y1052" s="89" t="s">
        <v>3455</v>
      </c>
      <c r="Z1052" s="89">
        <v>3</v>
      </c>
      <c r="AA1052" s="89"/>
      <c r="AB1052" s="89"/>
    </row>
    <row r="1053" spans="1:28" s="31" customFormat="1" ht="60" customHeight="1" x14ac:dyDescent="0.2">
      <c r="A1053" s="76">
        <v>1052</v>
      </c>
      <c r="B1053" s="77">
        <v>50005521</v>
      </c>
      <c r="C1053" s="78" t="s">
        <v>4288</v>
      </c>
      <c r="D1053" s="79">
        <v>0.05</v>
      </c>
      <c r="E1053" s="80">
        <v>30049099</v>
      </c>
      <c r="F1053" s="81" t="s">
        <v>4289</v>
      </c>
      <c r="G1053" s="82" t="s">
        <v>4290</v>
      </c>
      <c r="H1053" s="82" t="s">
        <v>4291</v>
      </c>
      <c r="I1053" s="79" t="s">
        <v>2666</v>
      </c>
      <c r="J1053" s="83">
        <v>150</v>
      </c>
      <c r="K1053" s="83">
        <v>114.28571428571429</v>
      </c>
      <c r="L1053" s="83">
        <v>114.28571428571429</v>
      </c>
      <c r="M1053" s="84">
        <v>91.428571428571445</v>
      </c>
      <c r="N1053" s="59">
        <f t="shared" si="16"/>
        <v>0.39047619047619037</v>
      </c>
      <c r="O1053" s="85" t="s">
        <v>2552</v>
      </c>
      <c r="P1053" s="86" t="s">
        <v>2876</v>
      </c>
      <c r="Q1053" s="87" t="s">
        <v>3208</v>
      </c>
      <c r="R1053" s="87">
        <v>10</v>
      </c>
      <c r="S1053" s="88">
        <v>15</v>
      </c>
      <c r="T1053" s="88">
        <v>11.428571428571429</v>
      </c>
      <c r="U1053" s="88">
        <v>9.1428571428571441</v>
      </c>
      <c r="V1053" s="87" t="s">
        <v>3061</v>
      </c>
      <c r="W1053" s="87" t="s">
        <v>3114</v>
      </c>
      <c r="X1053" s="90" t="s">
        <v>3477</v>
      </c>
      <c r="Y1053" s="89"/>
      <c r="Z1053" s="89"/>
      <c r="AA1053" s="89"/>
      <c r="AB1053" s="89"/>
    </row>
    <row r="1054" spans="1:28" s="31" customFormat="1" ht="60" customHeight="1" x14ac:dyDescent="0.2">
      <c r="A1054" s="76">
        <v>1053</v>
      </c>
      <c r="B1054" s="77">
        <v>50005520</v>
      </c>
      <c r="C1054" s="78" t="s">
        <v>4292</v>
      </c>
      <c r="D1054" s="79">
        <v>0.05</v>
      </c>
      <c r="E1054" s="80">
        <v>30049099</v>
      </c>
      <c r="F1054" s="81" t="s">
        <v>4293</v>
      </c>
      <c r="G1054" s="82" t="s">
        <v>4294</v>
      </c>
      <c r="H1054" s="82" t="s">
        <v>3932</v>
      </c>
      <c r="I1054" s="79" t="s">
        <v>2666</v>
      </c>
      <c r="J1054" s="83">
        <v>180</v>
      </c>
      <c r="K1054" s="83">
        <v>137.14285714285714</v>
      </c>
      <c r="L1054" s="83">
        <v>137.14285714285714</v>
      </c>
      <c r="M1054" s="84">
        <v>109.71428571428572</v>
      </c>
      <c r="N1054" s="59">
        <f t="shared" si="16"/>
        <v>0.39047619047619042</v>
      </c>
      <c r="O1054" s="85" t="s">
        <v>2552</v>
      </c>
      <c r="P1054" s="86" t="s">
        <v>2876</v>
      </c>
      <c r="Q1054" s="87" t="s">
        <v>3208</v>
      </c>
      <c r="R1054" s="87">
        <v>10</v>
      </c>
      <c r="S1054" s="88">
        <v>18</v>
      </c>
      <c r="T1054" s="88">
        <v>13.714285714285714</v>
      </c>
      <c r="U1054" s="88">
        <v>10.971428571428572</v>
      </c>
      <c r="V1054" s="87" t="s">
        <v>3061</v>
      </c>
      <c r="W1054" s="87" t="s">
        <v>3114</v>
      </c>
      <c r="X1054" s="90" t="s">
        <v>3477</v>
      </c>
      <c r="Y1054" s="89"/>
      <c r="Z1054" s="89"/>
      <c r="AA1054" s="89"/>
      <c r="AB1054" s="89"/>
    </row>
    <row r="1055" spans="1:28" s="31" customFormat="1" ht="60" customHeight="1" x14ac:dyDescent="0.2">
      <c r="A1055" s="76">
        <v>1054</v>
      </c>
      <c r="B1055" s="77">
        <v>50005216</v>
      </c>
      <c r="C1055" s="78" t="s">
        <v>3318</v>
      </c>
      <c r="D1055" s="79">
        <v>0.05</v>
      </c>
      <c r="E1055" s="80">
        <v>30049099</v>
      </c>
      <c r="F1055" s="81" t="s">
        <v>3330</v>
      </c>
      <c r="G1055" s="82" t="s">
        <v>3345</v>
      </c>
      <c r="H1055" s="82" t="s">
        <v>3344</v>
      </c>
      <c r="I1055" s="79" t="s">
        <v>2666</v>
      </c>
      <c r="J1055" s="83">
        <v>118.58</v>
      </c>
      <c r="K1055" s="83">
        <v>90.346666666666664</v>
      </c>
      <c r="L1055" s="83">
        <v>90.346666666666664</v>
      </c>
      <c r="M1055" s="84">
        <v>72.277333333333331</v>
      </c>
      <c r="N1055" s="59">
        <f t="shared" si="16"/>
        <v>0.39047619047619048</v>
      </c>
      <c r="O1055" s="85" t="s">
        <v>2552</v>
      </c>
      <c r="P1055" s="86" t="s">
        <v>3256</v>
      </c>
      <c r="Q1055" s="87" t="s">
        <v>3208</v>
      </c>
      <c r="R1055" s="87">
        <v>10</v>
      </c>
      <c r="S1055" s="88">
        <v>11.858000000000001</v>
      </c>
      <c r="T1055" s="88">
        <v>9.0346666666666664</v>
      </c>
      <c r="U1055" s="88">
        <v>7.2277333333333331</v>
      </c>
      <c r="V1055" s="87" t="s">
        <v>3061</v>
      </c>
      <c r="W1055" s="87" t="s">
        <v>3114</v>
      </c>
      <c r="X1055" s="90" t="s">
        <v>3477</v>
      </c>
      <c r="Y1055" s="89" t="s">
        <v>3455</v>
      </c>
      <c r="Z1055" s="89">
        <v>3</v>
      </c>
      <c r="AA1055" s="89"/>
      <c r="AB1055" s="89"/>
    </row>
    <row r="1056" spans="1:28" s="31" customFormat="1" ht="60" customHeight="1" x14ac:dyDescent="0.2">
      <c r="A1056" s="76">
        <v>1055</v>
      </c>
      <c r="B1056" s="77">
        <v>50005217</v>
      </c>
      <c r="C1056" s="78" t="s">
        <v>3319</v>
      </c>
      <c r="D1056" s="79">
        <v>0.05</v>
      </c>
      <c r="E1056" s="80">
        <v>30049099</v>
      </c>
      <c r="F1056" s="81" t="s">
        <v>3331</v>
      </c>
      <c r="G1056" s="82" t="s">
        <v>3346</v>
      </c>
      <c r="H1056" s="82" t="s">
        <v>3340</v>
      </c>
      <c r="I1056" s="79" t="s">
        <v>2666</v>
      </c>
      <c r="J1056" s="83">
        <v>117.18</v>
      </c>
      <c r="K1056" s="83">
        <v>89.28</v>
      </c>
      <c r="L1056" s="83">
        <v>89.28</v>
      </c>
      <c r="M1056" s="84">
        <v>71.423999999999992</v>
      </c>
      <c r="N1056" s="59">
        <f t="shared" si="16"/>
        <v>0.39047619047619059</v>
      </c>
      <c r="O1056" s="85" t="s">
        <v>2552</v>
      </c>
      <c r="P1056" s="86" t="s">
        <v>3256</v>
      </c>
      <c r="Q1056" s="87" t="s">
        <v>3208</v>
      </c>
      <c r="R1056" s="87">
        <v>10</v>
      </c>
      <c r="S1056" s="88">
        <v>11.718</v>
      </c>
      <c r="T1056" s="88">
        <v>8.9280000000000008</v>
      </c>
      <c r="U1056" s="88">
        <v>7.1423999999999994</v>
      </c>
      <c r="V1056" s="87" t="s">
        <v>3061</v>
      </c>
      <c r="W1056" s="87" t="s">
        <v>3114</v>
      </c>
      <c r="X1056" s="90" t="s">
        <v>3477</v>
      </c>
      <c r="Y1056" s="89" t="s">
        <v>3455</v>
      </c>
      <c r="Z1056" s="89">
        <v>3</v>
      </c>
      <c r="AA1056" s="89"/>
      <c r="AB1056" s="89"/>
    </row>
    <row r="1057" spans="1:28" s="31" customFormat="1" ht="60" customHeight="1" x14ac:dyDescent="0.2">
      <c r="A1057" s="76">
        <v>1056</v>
      </c>
      <c r="B1057" s="77">
        <v>50005102</v>
      </c>
      <c r="C1057" s="78" t="s">
        <v>3240</v>
      </c>
      <c r="D1057" s="79">
        <v>0.05</v>
      </c>
      <c r="E1057" s="80">
        <v>30049099</v>
      </c>
      <c r="F1057" s="81" t="s">
        <v>3241</v>
      </c>
      <c r="G1057" s="82" t="s">
        <v>3276</v>
      </c>
      <c r="H1057" s="82" t="s">
        <v>3287</v>
      </c>
      <c r="I1057" s="79" t="s">
        <v>2666</v>
      </c>
      <c r="J1057" s="83">
        <v>117.18</v>
      </c>
      <c r="K1057" s="83">
        <v>89.28</v>
      </c>
      <c r="L1057" s="83">
        <v>89.28</v>
      </c>
      <c r="M1057" s="84">
        <v>71.423999999999992</v>
      </c>
      <c r="N1057" s="59">
        <f t="shared" si="16"/>
        <v>0.39047619047619059</v>
      </c>
      <c r="O1057" s="85" t="s">
        <v>2552</v>
      </c>
      <c r="P1057" s="86" t="s">
        <v>3256</v>
      </c>
      <c r="Q1057" s="87" t="s">
        <v>3208</v>
      </c>
      <c r="R1057" s="87">
        <v>10</v>
      </c>
      <c r="S1057" s="88">
        <v>11.718</v>
      </c>
      <c r="T1057" s="88">
        <v>8.9280000000000008</v>
      </c>
      <c r="U1057" s="88">
        <v>7.1423999999999994</v>
      </c>
      <c r="V1057" s="87" t="s">
        <v>3061</v>
      </c>
      <c r="W1057" s="87" t="s">
        <v>3114</v>
      </c>
      <c r="X1057" s="90" t="s">
        <v>3477</v>
      </c>
      <c r="Y1057" s="89" t="s">
        <v>3455</v>
      </c>
      <c r="Z1057" s="89">
        <v>3</v>
      </c>
      <c r="AA1057" s="89"/>
      <c r="AB1057" s="89"/>
    </row>
    <row r="1058" spans="1:28" s="31" customFormat="1" ht="60" customHeight="1" x14ac:dyDescent="0.2">
      <c r="A1058" s="76">
        <v>1057</v>
      </c>
      <c r="B1058" s="77">
        <v>50005101</v>
      </c>
      <c r="C1058" s="78" t="s">
        <v>3242</v>
      </c>
      <c r="D1058" s="79">
        <v>0.05</v>
      </c>
      <c r="E1058" s="80">
        <v>30049099</v>
      </c>
      <c r="F1058" s="81" t="s">
        <v>3243</v>
      </c>
      <c r="G1058" s="82" t="s">
        <v>3277</v>
      </c>
      <c r="H1058" s="82" t="s">
        <v>3288</v>
      </c>
      <c r="I1058" s="79" t="s">
        <v>2666</v>
      </c>
      <c r="J1058" s="83">
        <v>126.55</v>
      </c>
      <c r="K1058" s="83">
        <v>96.419047619047618</v>
      </c>
      <c r="L1058" s="83">
        <v>96.419047619047618</v>
      </c>
      <c r="M1058" s="84">
        <v>77.135238095238094</v>
      </c>
      <c r="N1058" s="59">
        <f t="shared" si="16"/>
        <v>0.39047619047619048</v>
      </c>
      <c r="O1058" s="85" t="s">
        <v>2552</v>
      </c>
      <c r="P1058" s="86" t="s">
        <v>3256</v>
      </c>
      <c r="Q1058" s="87" t="s">
        <v>3208</v>
      </c>
      <c r="R1058" s="87">
        <v>10</v>
      </c>
      <c r="S1058" s="88">
        <v>12.654999999999999</v>
      </c>
      <c r="T1058" s="88">
        <v>9.6419047619047618</v>
      </c>
      <c r="U1058" s="88">
        <v>7.7135238095238092</v>
      </c>
      <c r="V1058" s="87" t="s">
        <v>3061</v>
      </c>
      <c r="W1058" s="87" t="s">
        <v>3114</v>
      </c>
      <c r="X1058" s="90" t="s">
        <v>3477</v>
      </c>
      <c r="Y1058" s="89" t="s">
        <v>3455</v>
      </c>
      <c r="Z1058" s="89">
        <v>3</v>
      </c>
      <c r="AA1058" s="89"/>
      <c r="AB1058" s="89"/>
    </row>
    <row r="1059" spans="1:28" s="31" customFormat="1" ht="60" customHeight="1" x14ac:dyDescent="0.2">
      <c r="A1059" s="76">
        <v>1058</v>
      </c>
      <c r="B1059" s="77">
        <v>50003673</v>
      </c>
      <c r="C1059" s="78" t="s">
        <v>2575</v>
      </c>
      <c r="D1059" s="79">
        <v>0.05</v>
      </c>
      <c r="E1059" s="80">
        <v>30049099</v>
      </c>
      <c r="F1059" s="81" t="s">
        <v>2576</v>
      </c>
      <c r="G1059" s="82" t="s">
        <v>2577</v>
      </c>
      <c r="H1059" s="82" t="s">
        <v>3280</v>
      </c>
      <c r="I1059" s="79" t="s">
        <v>2666</v>
      </c>
      <c r="J1059" s="83">
        <v>79.39</v>
      </c>
      <c r="K1059" s="83">
        <v>60.487619047619049</v>
      </c>
      <c r="L1059" s="83">
        <v>60.487619047619049</v>
      </c>
      <c r="M1059" s="84">
        <v>48.390095238095242</v>
      </c>
      <c r="N1059" s="59">
        <f t="shared" si="16"/>
        <v>0.39047619047619042</v>
      </c>
      <c r="O1059" s="85" t="s">
        <v>2552</v>
      </c>
      <c r="P1059" s="86" t="s">
        <v>2734</v>
      </c>
      <c r="Q1059" s="87" t="s">
        <v>3208</v>
      </c>
      <c r="R1059" s="87">
        <v>10</v>
      </c>
      <c r="S1059" s="88">
        <v>7.9390000000000001</v>
      </c>
      <c r="T1059" s="88">
        <v>6.0487619047619052</v>
      </c>
      <c r="U1059" s="88">
        <v>4.8390095238095245</v>
      </c>
      <c r="V1059" s="87" t="s">
        <v>3061</v>
      </c>
      <c r="W1059" s="87" t="s">
        <v>3114</v>
      </c>
      <c r="X1059" s="90" t="s">
        <v>3477</v>
      </c>
      <c r="Y1059" s="89" t="s">
        <v>3455</v>
      </c>
      <c r="Z1059" s="89">
        <v>3</v>
      </c>
      <c r="AA1059" s="89"/>
      <c r="AB1059" s="89" t="s">
        <v>4613</v>
      </c>
    </row>
    <row r="1060" spans="1:28" s="31" customFormat="1" ht="60" customHeight="1" x14ac:dyDescent="0.2">
      <c r="A1060" s="76">
        <v>1059</v>
      </c>
      <c r="B1060" s="77">
        <v>50003674</v>
      </c>
      <c r="C1060" s="78" t="s">
        <v>2578</v>
      </c>
      <c r="D1060" s="79">
        <v>0.05</v>
      </c>
      <c r="E1060" s="80">
        <v>30049099</v>
      </c>
      <c r="F1060" s="81" t="s">
        <v>2579</v>
      </c>
      <c r="G1060" s="82" t="s">
        <v>2580</v>
      </c>
      <c r="H1060" s="82" t="s">
        <v>3766</v>
      </c>
      <c r="I1060" s="79" t="s">
        <v>2666</v>
      </c>
      <c r="J1060" s="83">
        <v>95.76</v>
      </c>
      <c r="K1060" s="83">
        <v>72.960000000000008</v>
      </c>
      <c r="L1060" s="83">
        <v>72.960000000000008</v>
      </c>
      <c r="M1060" s="84">
        <v>58.368000000000002</v>
      </c>
      <c r="N1060" s="59">
        <f t="shared" si="16"/>
        <v>0.39047619047619048</v>
      </c>
      <c r="O1060" s="85" t="s">
        <v>2552</v>
      </c>
      <c r="P1060" s="86" t="s">
        <v>4192</v>
      </c>
      <c r="Q1060" s="87" t="s">
        <v>3208</v>
      </c>
      <c r="R1060" s="87">
        <v>10</v>
      </c>
      <c r="S1060" s="88">
        <v>9.5760000000000005</v>
      </c>
      <c r="T1060" s="88">
        <v>7.2960000000000012</v>
      </c>
      <c r="U1060" s="88">
        <v>5.8368000000000002</v>
      </c>
      <c r="V1060" s="87" t="s">
        <v>3061</v>
      </c>
      <c r="W1060" s="87" t="s">
        <v>3114</v>
      </c>
      <c r="X1060" s="90" t="s">
        <v>3477</v>
      </c>
      <c r="Y1060" s="89" t="s">
        <v>3455</v>
      </c>
      <c r="Z1060" s="89">
        <v>3</v>
      </c>
      <c r="AA1060" s="89"/>
      <c r="AB1060" s="89"/>
    </row>
    <row r="1061" spans="1:28" s="31" customFormat="1" ht="60" customHeight="1" x14ac:dyDescent="0.2">
      <c r="A1061" s="76">
        <v>1060</v>
      </c>
      <c r="B1061" s="77">
        <v>50004118</v>
      </c>
      <c r="C1061" s="78" t="s">
        <v>2581</v>
      </c>
      <c r="D1061" s="79">
        <v>0.05</v>
      </c>
      <c r="E1061" s="80">
        <v>30049099</v>
      </c>
      <c r="F1061" s="81" t="s">
        <v>2582</v>
      </c>
      <c r="G1061" s="82" t="s">
        <v>2583</v>
      </c>
      <c r="H1061" s="82" t="s">
        <v>3344</v>
      </c>
      <c r="I1061" s="79" t="s">
        <v>2663</v>
      </c>
      <c r="J1061" s="83">
        <v>186.35</v>
      </c>
      <c r="K1061" s="83">
        <v>141.98095238095237</v>
      </c>
      <c r="L1061" s="83">
        <v>141.98095238095237</v>
      </c>
      <c r="M1061" s="84">
        <v>113.5847619047619</v>
      </c>
      <c r="N1061" s="59">
        <f t="shared" si="16"/>
        <v>0.39047619047619048</v>
      </c>
      <c r="O1061" s="85" t="s">
        <v>2552</v>
      </c>
      <c r="P1061" s="86" t="s">
        <v>4192</v>
      </c>
      <c r="Q1061" s="87" t="s">
        <v>3208</v>
      </c>
      <c r="R1061" s="87">
        <v>15</v>
      </c>
      <c r="S1061" s="88">
        <v>12.423333333333334</v>
      </c>
      <c r="T1061" s="88">
        <v>9.4653968253968248</v>
      </c>
      <c r="U1061" s="88">
        <v>7.5723174603174606</v>
      </c>
      <c r="V1061" s="87" t="s">
        <v>3061</v>
      </c>
      <c r="W1061" s="87" t="s">
        <v>3114</v>
      </c>
      <c r="X1061" s="90" t="s">
        <v>3477</v>
      </c>
      <c r="Y1061" s="89" t="s">
        <v>3455</v>
      </c>
      <c r="Z1061" s="89">
        <v>3</v>
      </c>
      <c r="AA1061" s="89"/>
      <c r="AB1061" s="89"/>
    </row>
    <row r="1062" spans="1:28" s="31" customFormat="1" ht="60" customHeight="1" x14ac:dyDescent="0.2">
      <c r="A1062" s="76">
        <v>1061</v>
      </c>
      <c r="B1062" s="77">
        <v>50004117</v>
      </c>
      <c r="C1062" s="78" t="s">
        <v>2584</v>
      </c>
      <c r="D1062" s="79">
        <v>0.05</v>
      </c>
      <c r="E1062" s="80">
        <v>30049099</v>
      </c>
      <c r="F1062" s="81" t="s">
        <v>2585</v>
      </c>
      <c r="G1062" s="82" t="s">
        <v>2586</v>
      </c>
      <c r="H1062" s="82" t="s">
        <v>3807</v>
      </c>
      <c r="I1062" s="79" t="s">
        <v>2663</v>
      </c>
      <c r="J1062" s="83">
        <v>236.5</v>
      </c>
      <c r="K1062" s="83">
        <v>180.1904761904762</v>
      </c>
      <c r="L1062" s="83">
        <v>180.1904761904762</v>
      </c>
      <c r="M1062" s="84">
        <v>144.15238095238098</v>
      </c>
      <c r="N1062" s="59">
        <f t="shared" si="16"/>
        <v>0.39047619047619037</v>
      </c>
      <c r="O1062" s="85" t="s">
        <v>2552</v>
      </c>
      <c r="P1062" s="86" t="s">
        <v>4192</v>
      </c>
      <c r="Q1062" s="87" t="s">
        <v>3208</v>
      </c>
      <c r="R1062" s="87">
        <v>15</v>
      </c>
      <c r="S1062" s="88">
        <v>15.766666666666667</v>
      </c>
      <c r="T1062" s="88">
        <v>12.012698412698414</v>
      </c>
      <c r="U1062" s="88">
        <v>9.6101587301587319</v>
      </c>
      <c r="V1062" s="87" t="s">
        <v>3061</v>
      </c>
      <c r="W1062" s="87" t="s">
        <v>3114</v>
      </c>
      <c r="X1062" s="90" t="s">
        <v>3477</v>
      </c>
      <c r="Y1062" s="89" t="s">
        <v>3455</v>
      </c>
      <c r="Z1062" s="89">
        <v>3</v>
      </c>
      <c r="AA1062" s="89"/>
      <c r="AB1062" s="89"/>
    </row>
    <row r="1063" spans="1:28" s="31" customFormat="1" ht="60" customHeight="1" x14ac:dyDescent="0.2">
      <c r="A1063" s="76">
        <v>1062</v>
      </c>
      <c r="B1063" s="77">
        <v>50005002</v>
      </c>
      <c r="C1063" s="78" t="s">
        <v>3244</v>
      </c>
      <c r="D1063" s="79">
        <v>0.05</v>
      </c>
      <c r="E1063" s="80">
        <v>30049099</v>
      </c>
      <c r="F1063" s="81" t="s">
        <v>3245</v>
      </c>
      <c r="G1063" s="82" t="s">
        <v>710</v>
      </c>
      <c r="H1063" s="82" t="s">
        <v>3289</v>
      </c>
      <c r="I1063" s="79" t="s">
        <v>2666</v>
      </c>
      <c r="J1063" s="83">
        <v>131.99</v>
      </c>
      <c r="K1063" s="83">
        <v>100.56380952380952</v>
      </c>
      <c r="L1063" s="83">
        <v>100.56380952380952</v>
      </c>
      <c r="M1063" s="84">
        <v>80.4510476190476</v>
      </c>
      <c r="N1063" s="59">
        <f t="shared" si="16"/>
        <v>0.39047619047619064</v>
      </c>
      <c r="O1063" s="85" t="s">
        <v>2552</v>
      </c>
      <c r="P1063" s="86" t="s">
        <v>2734</v>
      </c>
      <c r="Q1063" s="87" t="s">
        <v>3208</v>
      </c>
      <c r="R1063" s="87">
        <v>10</v>
      </c>
      <c r="S1063" s="88">
        <v>13.199000000000002</v>
      </c>
      <c r="T1063" s="88">
        <v>10.056380952380952</v>
      </c>
      <c r="U1063" s="88">
        <v>8.04510476190476</v>
      </c>
      <c r="V1063" s="87" t="s">
        <v>3061</v>
      </c>
      <c r="W1063" s="87" t="s">
        <v>3114</v>
      </c>
      <c r="X1063" s="90" t="s">
        <v>3477</v>
      </c>
      <c r="Y1063" s="89" t="s">
        <v>3455</v>
      </c>
      <c r="Z1063" s="89">
        <v>3</v>
      </c>
      <c r="AA1063" s="89"/>
      <c r="AB1063" s="89"/>
    </row>
    <row r="1064" spans="1:28" s="31" customFormat="1" ht="60" customHeight="1" x14ac:dyDescent="0.2">
      <c r="A1064" s="76">
        <v>1063</v>
      </c>
      <c r="B1064" s="77">
        <v>50005001</v>
      </c>
      <c r="C1064" s="78" t="s">
        <v>3246</v>
      </c>
      <c r="D1064" s="79">
        <v>0.05</v>
      </c>
      <c r="E1064" s="80">
        <v>30049099</v>
      </c>
      <c r="F1064" s="81" t="s">
        <v>3247</v>
      </c>
      <c r="G1064" s="82" t="s">
        <v>713</v>
      </c>
      <c r="H1064" s="82" t="s">
        <v>3290</v>
      </c>
      <c r="I1064" s="79" t="s">
        <v>2666</v>
      </c>
      <c r="J1064" s="83">
        <v>166.86</v>
      </c>
      <c r="K1064" s="83">
        <v>127.13142857142857</v>
      </c>
      <c r="L1064" s="83">
        <v>127.13142857142857</v>
      </c>
      <c r="M1064" s="84">
        <v>101.70514285714286</v>
      </c>
      <c r="N1064" s="59">
        <f t="shared" si="16"/>
        <v>0.39047619047619053</v>
      </c>
      <c r="O1064" s="85" t="s">
        <v>2552</v>
      </c>
      <c r="P1064" s="86" t="s">
        <v>2734</v>
      </c>
      <c r="Q1064" s="87" t="s">
        <v>3208</v>
      </c>
      <c r="R1064" s="87">
        <v>10</v>
      </c>
      <c r="S1064" s="88">
        <v>16.686</v>
      </c>
      <c r="T1064" s="88">
        <v>12.713142857142858</v>
      </c>
      <c r="U1064" s="88">
        <v>10.170514285714287</v>
      </c>
      <c r="V1064" s="87" t="s">
        <v>3061</v>
      </c>
      <c r="W1064" s="87" t="s">
        <v>3114</v>
      </c>
      <c r="X1064" s="90" t="s">
        <v>3477</v>
      </c>
      <c r="Y1064" s="89" t="s">
        <v>3455</v>
      </c>
      <c r="Z1064" s="89">
        <v>3</v>
      </c>
      <c r="AA1064" s="89"/>
      <c r="AB1064" s="89"/>
    </row>
    <row r="1065" spans="1:28" s="31" customFormat="1" ht="60" customHeight="1" x14ac:dyDescent="0.2">
      <c r="A1065" s="76">
        <v>1064</v>
      </c>
      <c r="B1065" s="77">
        <v>50005056</v>
      </c>
      <c r="C1065" s="78" t="s">
        <v>3248</v>
      </c>
      <c r="D1065" s="79">
        <v>0.05</v>
      </c>
      <c r="E1065" s="80">
        <v>30049099</v>
      </c>
      <c r="F1065" s="81" t="s">
        <v>3249</v>
      </c>
      <c r="G1065" s="82" t="s">
        <v>3292</v>
      </c>
      <c r="H1065" s="82" t="s">
        <v>3291</v>
      </c>
      <c r="I1065" s="79" t="s">
        <v>2666</v>
      </c>
      <c r="J1065" s="83">
        <v>225.83</v>
      </c>
      <c r="K1065" s="83">
        <v>172.06095238095239</v>
      </c>
      <c r="L1065" s="83">
        <v>172.06095238095239</v>
      </c>
      <c r="M1065" s="84">
        <v>137.64876190476187</v>
      </c>
      <c r="N1065" s="59">
        <f t="shared" si="16"/>
        <v>0.39047619047619064</v>
      </c>
      <c r="O1065" s="85" t="s">
        <v>2552</v>
      </c>
      <c r="P1065" s="86" t="s">
        <v>2734</v>
      </c>
      <c r="Q1065" s="87" t="s">
        <v>3208</v>
      </c>
      <c r="R1065" s="87">
        <v>10</v>
      </c>
      <c r="S1065" s="88">
        <v>22.583000000000002</v>
      </c>
      <c r="T1065" s="88">
        <v>17.206095238095237</v>
      </c>
      <c r="U1065" s="88">
        <v>13.764876190476187</v>
      </c>
      <c r="V1065" s="87" t="s">
        <v>3061</v>
      </c>
      <c r="W1065" s="87" t="s">
        <v>3114</v>
      </c>
      <c r="X1065" s="90" t="s">
        <v>3477</v>
      </c>
      <c r="Y1065" s="89" t="s">
        <v>3455</v>
      </c>
      <c r="Z1065" s="89">
        <v>3</v>
      </c>
      <c r="AA1065" s="89"/>
      <c r="AB1065" s="89"/>
    </row>
    <row r="1066" spans="1:28" s="31" customFormat="1" ht="60" customHeight="1" x14ac:dyDescent="0.2">
      <c r="A1066" s="76">
        <v>1065</v>
      </c>
      <c r="B1066" s="77">
        <v>50005057</v>
      </c>
      <c r="C1066" s="78" t="s">
        <v>3250</v>
      </c>
      <c r="D1066" s="79">
        <v>0.05</v>
      </c>
      <c r="E1066" s="80">
        <v>30049099</v>
      </c>
      <c r="F1066" s="81" t="s">
        <v>3251</v>
      </c>
      <c r="G1066" s="82" t="s">
        <v>3293</v>
      </c>
      <c r="H1066" s="82" t="s">
        <v>3294</v>
      </c>
      <c r="I1066" s="79" t="s">
        <v>2666</v>
      </c>
      <c r="J1066" s="83">
        <v>246.45</v>
      </c>
      <c r="K1066" s="83">
        <v>187.77142857142857</v>
      </c>
      <c r="L1066" s="83">
        <v>187.77142857142857</v>
      </c>
      <c r="M1066" s="84">
        <v>150.21714285714285</v>
      </c>
      <c r="N1066" s="59">
        <f t="shared" si="16"/>
        <v>0.39047619047619048</v>
      </c>
      <c r="O1066" s="85" t="s">
        <v>2552</v>
      </c>
      <c r="P1066" s="86" t="s">
        <v>2734</v>
      </c>
      <c r="Q1066" s="87" t="s">
        <v>3208</v>
      </c>
      <c r="R1066" s="87">
        <v>10</v>
      </c>
      <c r="S1066" s="88">
        <v>24.645</v>
      </c>
      <c r="T1066" s="88">
        <v>18.777142857142856</v>
      </c>
      <c r="U1066" s="88">
        <v>15.021714285714285</v>
      </c>
      <c r="V1066" s="87" t="s">
        <v>3061</v>
      </c>
      <c r="W1066" s="87" t="s">
        <v>3114</v>
      </c>
      <c r="X1066" s="90" t="s">
        <v>3477</v>
      </c>
      <c r="Y1066" s="89" t="s">
        <v>3455</v>
      </c>
      <c r="Z1066" s="89">
        <v>3</v>
      </c>
      <c r="AA1066" s="89"/>
      <c r="AB1066" s="89"/>
    </row>
    <row r="1067" spans="1:28" s="31" customFormat="1" ht="60" customHeight="1" x14ac:dyDescent="0.2">
      <c r="A1067" s="76">
        <v>1066</v>
      </c>
      <c r="B1067" s="77">
        <v>50006047</v>
      </c>
      <c r="C1067" s="78" t="s">
        <v>4645</v>
      </c>
      <c r="D1067" s="79">
        <v>0.05</v>
      </c>
      <c r="E1067" s="80">
        <v>30049039</v>
      </c>
      <c r="F1067" s="81" t="s">
        <v>4646</v>
      </c>
      <c r="G1067" s="82" t="s">
        <v>4647</v>
      </c>
      <c r="H1067" s="82" t="s">
        <v>72</v>
      </c>
      <c r="I1067" s="79" t="s">
        <v>2663</v>
      </c>
      <c r="J1067" s="83">
        <v>1245</v>
      </c>
      <c r="K1067" s="83">
        <v>948.57142857142867</v>
      </c>
      <c r="L1067" s="83">
        <v>948.57142857142867</v>
      </c>
      <c r="M1067" s="84">
        <v>948.57142857142867</v>
      </c>
      <c r="N1067" s="59">
        <f t="shared" si="16"/>
        <v>0.23809523809523803</v>
      </c>
      <c r="O1067" s="85" t="s">
        <v>2589</v>
      </c>
      <c r="P1067" s="86" t="s">
        <v>4671</v>
      </c>
      <c r="Q1067" s="87" t="s">
        <v>3208</v>
      </c>
      <c r="R1067" s="87">
        <v>15</v>
      </c>
      <c r="S1067" s="88">
        <v>83</v>
      </c>
      <c r="T1067" s="88">
        <v>63.238095238095248</v>
      </c>
      <c r="U1067" s="88">
        <v>63.238095238095248</v>
      </c>
      <c r="V1067" s="87" t="s">
        <v>3061</v>
      </c>
      <c r="W1067" s="87" t="s">
        <v>3112</v>
      </c>
      <c r="X1067" s="90" t="s">
        <v>3477</v>
      </c>
      <c r="Y1067" s="89"/>
      <c r="Z1067" s="89"/>
      <c r="AA1067" s="89"/>
      <c r="AB1067" s="89"/>
    </row>
    <row r="1068" spans="1:28" s="31" customFormat="1" ht="60" customHeight="1" x14ac:dyDescent="0.2">
      <c r="A1068" s="76">
        <v>1067</v>
      </c>
      <c r="B1068" s="77">
        <v>50006048</v>
      </c>
      <c r="C1068" s="78" t="s">
        <v>4645</v>
      </c>
      <c r="D1068" s="79">
        <v>0.05</v>
      </c>
      <c r="E1068" s="80">
        <v>30049039</v>
      </c>
      <c r="F1068" s="81" t="s">
        <v>4646</v>
      </c>
      <c r="G1068" s="82" t="s">
        <v>4647</v>
      </c>
      <c r="H1068" s="82" t="s">
        <v>72</v>
      </c>
      <c r="I1068" s="79" t="s">
        <v>2664</v>
      </c>
      <c r="J1068" s="83">
        <v>2490</v>
      </c>
      <c r="K1068" s="83">
        <v>1897.1428571428573</v>
      </c>
      <c r="L1068" s="83">
        <v>1897.1428571428573</v>
      </c>
      <c r="M1068" s="84">
        <v>1897.1428571428573</v>
      </c>
      <c r="N1068" s="59">
        <f t="shared" si="16"/>
        <v>0.23809523809523803</v>
      </c>
      <c r="O1068" s="85" t="s">
        <v>2589</v>
      </c>
      <c r="P1068" s="86" t="s">
        <v>4671</v>
      </c>
      <c r="Q1068" s="87" t="s">
        <v>3208</v>
      </c>
      <c r="R1068" s="87">
        <v>30</v>
      </c>
      <c r="S1068" s="88">
        <v>83</v>
      </c>
      <c r="T1068" s="88">
        <v>63.238095238095248</v>
      </c>
      <c r="U1068" s="88">
        <v>63.238095238095248</v>
      </c>
      <c r="V1068" s="87" t="s">
        <v>3061</v>
      </c>
      <c r="W1068" s="87" t="s">
        <v>3112</v>
      </c>
      <c r="X1068" s="90" t="s">
        <v>3477</v>
      </c>
      <c r="Y1068" s="89"/>
      <c r="Z1068" s="89"/>
      <c r="AA1068" s="89"/>
      <c r="AB1068" s="89"/>
    </row>
    <row r="1069" spans="1:28" s="31" customFormat="1" ht="60" customHeight="1" x14ac:dyDescent="0.2">
      <c r="A1069" s="76">
        <v>1068</v>
      </c>
      <c r="B1069" s="77">
        <v>50005456</v>
      </c>
      <c r="C1069" s="78" t="s">
        <v>4229</v>
      </c>
      <c r="D1069" s="79">
        <v>0.05</v>
      </c>
      <c r="E1069" s="80">
        <v>21069099</v>
      </c>
      <c r="F1069" s="81" t="s">
        <v>4241</v>
      </c>
      <c r="G1069" s="82" t="s">
        <v>4255</v>
      </c>
      <c r="H1069" s="82"/>
      <c r="I1069" s="79" t="s">
        <v>2724</v>
      </c>
      <c r="J1069" s="83">
        <v>56</v>
      </c>
      <c r="K1069" s="83">
        <v>42.666666666666671</v>
      </c>
      <c r="L1069" s="83">
        <v>42.666666666666671</v>
      </c>
      <c r="M1069" s="84">
        <v>34.13333333333334</v>
      </c>
      <c r="N1069" s="59">
        <f t="shared" si="16"/>
        <v>0.39047619047619037</v>
      </c>
      <c r="O1069" s="85" t="s">
        <v>2589</v>
      </c>
      <c r="P1069" s="86" t="s">
        <v>3332</v>
      </c>
      <c r="Q1069" s="87" t="s">
        <v>3208</v>
      </c>
      <c r="R1069" s="87">
        <v>1</v>
      </c>
      <c r="S1069" s="88">
        <v>56</v>
      </c>
      <c r="T1069" s="88">
        <v>42.666666666666671</v>
      </c>
      <c r="U1069" s="88">
        <v>34.13333333333334</v>
      </c>
      <c r="V1069" s="87" t="s">
        <v>3064</v>
      </c>
      <c r="W1069" s="87" t="s">
        <v>3105</v>
      </c>
      <c r="X1069" s="90" t="s">
        <v>3489</v>
      </c>
      <c r="Y1069" s="89"/>
      <c r="Z1069" s="89"/>
      <c r="AA1069" s="89"/>
      <c r="AB1069" s="89"/>
    </row>
    <row r="1070" spans="1:28" s="31" customFormat="1" ht="60" customHeight="1" x14ac:dyDescent="0.2">
      <c r="A1070" s="76">
        <v>1069</v>
      </c>
      <c r="B1070" s="77">
        <v>50004011</v>
      </c>
      <c r="C1070" s="78" t="s">
        <v>2590</v>
      </c>
      <c r="D1070" s="79">
        <v>0.05</v>
      </c>
      <c r="E1070" s="80">
        <v>30041090</v>
      </c>
      <c r="F1070" s="81" t="s">
        <v>2591</v>
      </c>
      <c r="G1070" s="82" t="s">
        <v>4773</v>
      </c>
      <c r="H1070" s="82" t="s">
        <v>3681</v>
      </c>
      <c r="I1070" s="79" t="s">
        <v>2693</v>
      </c>
      <c r="J1070" s="83">
        <v>165.39</v>
      </c>
      <c r="K1070" s="83">
        <v>126.01142857142857</v>
      </c>
      <c r="L1070" s="83">
        <v>126.01142857142857</v>
      </c>
      <c r="M1070" s="84">
        <v>126.01142857142855</v>
      </c>
      <c r="N1070" s="59">
        <f t="shared" si="16"/>
        <v>0.23809523809523814</v>
      </c>
      <c r="O1070" s="85" t="s">
        <v>2589</v>
      </c>
      <c r="P1070" s="86" t="s">
        <v>81</v>
      </c>
      <c r="Q1070" s="87" t="s">
        <v>3207</v>
      </c>
      <c r="R1070" s="87">
        <v>10</v>
      </c>
      <c r="S1070" s="88">
        <v>16.538999999999998</v>
      </c>
      <c r="T1070" s="88">
        <v>12.601142857142857</v>
      </c>
      <c r="U1070" s="88">
        <v>12.601142857142856</v>
      </c>
      <c r="V1070" s="87" t="s">
        <v>3061</v>
      </c>
      <c r="W1070" s="87" t="s">
        <v>3106</v>
      </c>
      <c r="X1070" s="90" t="s">
        <v>3478</v>
      </c>
      <c r="Y1070" s="89"/>
      <c r="Z1070" s="89">
        <v>5</v>
      </c>
      <c r="AA1070" s="89"/>
      <c r="AB1070" s="89"/>
    </row>
    <row r="1071" spans="1:28" s="31" customFormat="1" ht="60" customHeight="1" x14ac:dyDescent="0.2">
      <c r="A1071" s="76">
        <v>1070</v>
      </c>
      <c r="B1071" s="77">
        <v>50005392</v>
      </c>
      <c r="C1071" s="78" t="s">
        <v>3637</v>
      </c>
      <c r="D1071" s="79">
        <v>0.05</v>
      </c>
      <c r="E1071" s="80">
        <v>30049039</v>
      </c>
      <c r="F1071" s="81" t="s">
        <v>3650</v>
      </c>
      <c r="G1071" s="82" t="s">
        <v>3660</v>
      </c>
      <c r="H1071" s="82" t="s">
        <v>3662</v>
      </c>
      <c r="I1071" s="79" t="s">
        <v>4859</v>
      </c>
      <c r="J1071" s="83">
        <v>56.24</v>
      </c>
      <c r="K1071" s="83">
        <v>42.849523809523809</v>
      </c>
      <c r="L1071" s="83">
        <v>42.849523809523809</v>
      </c>
      <c r="M1071" s="84">
        <v>34.27961904761905</v>
      </c>
      <c r="N1071" s="59">
        <f t="shared" si="16"/>
        <v>0.39047619047619048</v>
      </c>
      <c r="O1071" s="85" t="s">
        <v>2589</v>
      </c>
      <c r="P1071" s="86" t="s">
        <v>3652</v>
      </c>
      <c r="Q1071" s="87" t="s">
        <v>3208</v>
      </c>
      <c r="R1071" s="87">
        <v>1</v>
      </c>
      <c r="S1071" s="88">
        <v>56.24</v>
      </c>
      <c r="T1071" s="88">
        <v>42.849523809523809</v>
      </c>
      <c r="U1071" s="88">
        <v>34.27961904761905</v>
      </c>
      <c r="V1071" s="87" t="s">
        <v>3064</v>
      </c>
      <c r="W1071" s="87" t="s">
        <v>3106</v>
      </c>
      <c r="X1071" s="90" t="s">
        <v>3489</v>
      </c>
      <c r="Y1071" s="89"/>
      <c r="Z1071" s="89"/>
      <c r="AA1071" s="89"/>
      <c r="AB1071" s="89"/>
    </row>
    <row r="1072" spans="1:28" s="31" customFormat="1" ht="60" customHeight="1" x14ac:dyDescent="0.2">
      <c r="A1072" s="76">
        <v>1071</v>
      </c>
      <c r="B1072" s="77">
        <v>50005391</v>
      </c>
      <c r="C1072" s="78" t="s">
        <v>4102</v>
      </c>
      <c r="D1072" s="79">
        <v>0.05</v>
      </c>
      <c r="E1072" s="80">
        <v>30049039</v>
      </c>
      <c r="F1072" s="81" t="s">
        <v>4113</v>
      </c>
      <c r="G1072" s="82" t="s">
        <v>4131</v>
      </c>
      <c r="H1072" s="82" t="s">
        <v>4132</v>
      </c>
      <c r="I1072" s="79" t="s">
        <v>4115</v>
      </c>
      <c r="J1072" s="83">
        <v>93.74</v>
      </c>
      <c r="K1072" s="83">
        <v>71.420952380952386</v>
      </c>
      <c r="L1072" s="83">
        <v>71.420952380952386</v>
      </c>
      <c r="M1072" s="84">
        <v>57.136761904761904</v>
      </c>
      <c r="N1072" s="59">
        <f t="shared" si="16"/>
        <v>0.39047619047619042</v>
      </c>
      <c r="O1072" s="85" t="s">
        <v>2589</v>
      </c>
      <c r="P1072" s="86" t="s">
        <v>3652</v>
      </c>
      <c r="Q1072" s="87" t="s">
        <v>3208</v>
      </c>
      <c r="R1072" s="87">
        <v>1</v>
      </c>
      <c r="S1072" s="88">
        <v>93.74</v>
      </c>
      <c r="T1072" s="88">
        <v>71.420952380952386</v>
      </c>
      <c r="U1072" s="88">
        <v>57.136761904761904</v>
      </c>
      <c r="V1072" s="87" t="s">
        <v>3064</v>
      </c>
      <c r="W1072" s="87" t="s">
        <v>3106</v>
      </c>
      <c r="X1072" s="90" t="s">
        <v>3489</v>
      </c>
      <c r="Y1072" s="89"/>
      <c r="Z1072" s="89"/>
      <c r="AA1072" s="89"/>
      <c r="AB1072" s="89"/>
    </row>
    <row r="1073" spans="1:28" s="31" customFormat="1" ht="60" customHeight="1" x14ac:dyDescent="0.2">
      <c r="A1073" s="76">
        <v>1072</v>
      </c>
      <c r="B1073" s="77">
        <v>50005168</v>
      </c>
      <c r="C1073" s="78" t="s">
        <v>3364</v>
      </c>
      <c r="D1073" s="79">
        <v>0.05</v>
      </c>
      <c r="E1073" s="80">
        <v>30049039</v>
      </c>
      <c r="F1073" s="81" t="s">
        <v>3381</v>
      </c>
      <c r="G1073" s="82" t="s">
        <v>3394</v>
      </c>
      <c r="H1073" s="82" t="s">
        <v>1486</v>
      </c>
      <c r="I1073" s="79" t="s">
        <v>2663</v>
      </c>
      <c r="J1073" s="83">
        <v>290.61</v>
      </c>
      <c r="K1073" s="83">
        <v>221.41714285714284</v>
      </c>
      <c r="L1073" s="83">
        <v>221.41714285714284</v>
      </c>
      <c r="M1073" s="84">
        <v>177.13371428571429</v>
      </c>
      <c r="N1073" s="59">
        <f t="shared" si="16"/>
        <v>0.39047619047619048</v>
      </c>
      <c r="O1073" s="85" t="s">
        <v>2589</v>
      </c>
      <c r="P1073" s="86" t="s">
        <v>2791</v>
      </c>
      <c r="Q1073" s="87" t="s">
        <v>3208</v>
      </c>
      <c r="R1073" s="87">
        <v>15</v>
      </c>
      <c r="S1073" s="88">
        <v>19.374000000000002</v>
      </c>
      <c r="T1073" s="88">
        <v>14.761142857142856</v>
      </c>
      <c r="U1073" s="88">
        <v>11.808914285714286</v>
      </c>
      <c r="V1073" s="87" t="s">
        <v>3061</v>
      </c>
      <c r="W1073" s="87" t="s">
        <v>3106</v>
      </c>
      <c r="X1073" s="90" t="s">
        <v>3477</v>
      </c>
      <c r="Y1073" s="89"/>
      <c r="Z1073" s="89">
        <v>10</v>
      </c>
      <c r="AA1073" s="89"/>
      <c r="AB1073" s="89"/>
    </row>
    <row r="1074" spans="1:28" s="31" customFormat="1" ht="60" customHeight="1" x14ac:dyDescent="0.2">
      <c r="A1074" s="76">
        <v>1073</v>
      </c>
      <c r="B1074" s="77">
        <v>50005169</v>
      </c>
      <c r="C1074" s="78" t="s">
        <v>3365</v>
      </c>
      <c r="D1074" s="79">
        <v>0.05</v>
      </c>
      <c r="E1074" s="80">
        <v>30049039</v>
      </c>
      <c r="F1074" s="81" t="s">
        <v>3382</v>
      </c>
      <c r="G1074" s="82" t="s">
        <v>3395</v>
      </c>
      <c r="H1074" s="82" t="s">
        <v>3693</v>
      </c>
      <c r="I1074" s="79" t="s">
        <v>2663</v>
      </c>
      <c r="J1074" s="83">
        <v>492.18</v>
      </c>
      <c r="K1074" s="83">
        <v>374.9942857142857</v>
      </c>
      <c r="L1074" s="83">
        <v>374.9942857142857</v>
      </c>
      <c r="M1074" s="84">
        <v>299.99542857142859</v>
      </c>
      <c r="N1074" s="59">
        <f t="shared" si="16"/>
        <v>0.39047619047619042</v>
      </c>
      <c r="O1074" s="85" t="s">
        <v>2589</v>
      </c>
      <c r="P1074" s="86" t="s">
        <v>2791</v>
      </c>
      <c r="Q1074" s="87" t="s">
        <v>3208</v>
      </c>
      <c r="R1074" s="87">
        <v>15</v>
      </c>
      <c r="S1074" s="88">
        <v>32.811999999999998</v>
      </c>
      <c r="T1074" s="88">
        <v>24.999619047619046</v>
      </c>
      <c r="U1074" s="88">
        <v>19.999695238095239</v>
      </c>
      <c r="V1074" s="87" t="s">
        <v>3061</v>
      </c>
      <c r="W1074" s="87" t="s">
        <v>3106</v>
      </c>
      <c r="X1074" s="90" t="s">
        <v>3477</v>
      </c>
      <c r="Y1074" s="89"/>
      <c r="Z1074" s="89">
        <v>10</v>
      </c>
      <c r="AA1074" s="89"/>
      <c r="AB1074" s="89"/>
    </row>
    <row r="1075" spans="1:28" s="31" customFormat="1" ht="60" customHeight="1" x14ac:dyDescent="0.2">
      <c r="A1075" s="76">
        <v>1074</v>
      </c>
      <c r="B1075" s="77">
        <v>50004007</v>
      </c>
      <c r="C1075" s="78" t="s">
        <v>2592</v>
      </c>
      <c r="D1075" s="79">
        <v>0.05</v>
      </c>
      <c r="E1075" s="80">
        <v>30049069</v>
      </c>
      <c r="F1075" s="81" t="s">
        <v>2593</v>
      </c>
      <c r="G1075" s="82" t="s">
        <v>2594</v>
      </c>
      <c r="H1075" s="82" t="s">
        <v>3694</v>
      </c>
      <c r="I1075" s="79" t="s">
        <v>2666</v>
      </c>
      <c r="J1075" s="83">
        <v>186.55</v>
      </c>
      <c r="K1075" s="83">
        <v>142.13333333333333</v>
      </c>
      <c r="L1075" s="83">
        <v>142.13333333333333</v>
      </c>
      <c r="M1075" s="84">
        <v>113.70666666666666</v>
      </c>
      <c r="N1075" s="59">
        <f t="shared" si="16"/>
        <v>0.39047619047619053</v>
      </c>
      <c r="O1075" s="85" t="s">
        <v>2589</v>
      </c>
      <c r="P1075" s="86" t="s">
        <v>2930</v>
      </c>
      <c r="Q1075" s="87" t="s">
        <v>3208</v>
      </c>
      <c r="R1075" s="87">
        <v>10</v>
      </c>
      <c r="S1075" s="88">
        <v>18.655000000000001</v>
      </c>
      <c r="T1075" s="88">
        <v>14.213333333333333</v>
      </c>
      <c r="U1075" s="88">
        <v>11.370666666666667</v>
      </c>
      <c r="V1075" s="87" t="s">
        <v>3061</v>
      </c>
      <c r="W1075" s="87" t="s">
        <v>3106</v>
      </c>
      <c r="X1075" s="90" t="s">
        <v>3477</v>
      </c>
      <c r="Y1075" s="89"/>
      <c r="Z1075" s="89">
        <v>10</v>
      </c>
      <c r="AA1075" s="89"/>
      <c r="AB1075" s="89"/>
    </row>
    <row r="1076" spans="1:28" s="31" customFormat="1" ht="60" customHeight="1" x14ac:dyDescent="0.2">
      <c r="A1076" s="76">
        <v>1075</v>
      </c>
      <c r="B1076" s="77">
        <v>50004020</v>
      </c>
      <c r="C1076" s="78" t="s">
        <v>2595</v>
      </c>
      <c r="D1076" s="79">
        <v>0.05</v>
      </c>
      <c r="E1076" s="80">
        <v>30049069</v>
      </c>
      <c r="F1076" s="81" t="s">
        <v>2596</v>
      </c>
      <c r="G1076" s="82" t="s">
        <v>2597</v>
      </c>
      <c r="H1076" s="82" t="s">
        <v>4070</v>
      </c>
      <c r="I1076" s="79" t="s">
        <v>2666</v>
      </c>
      <c r="J1076" s="83">
        <v>373.3</v>
      </c>
      <c r="K1076" s="83">
        <v>284.4190476190476</v>
      </c>
      <c r="L1076" s="83">
        <v>284.4190476190476</v>
      </c>
      <c r="M1076" s="84">
        <v>227.53523809523816</v>
      </c>
      <c r="N1076" s="59">
        <f t="shared" si="16"/>
        <v>0.39047619047619031</v>
      </c>
      <c r="O1076" s="85" t="s">
        <v>2589</v>
      </c>
      <c r="P1076" s="86" t="s">
        <v>2930</v>
      </c>
      <c r="Q1076" s="87" t="s">
        <v>3208</v>
      </c>
      <c r="R1076" s="87">
        <v>10</v>
      </c>
      <c r="S1076" s="88">
        <v>37.33</v>
      </c>
      <c r="T1076" s="88">
        <v>28.441904761904759</v>
      </c>
      <c r="U1076" s="88">
        <v>22.753523809523816</v>
      </c>
      <c r="V1076" s="87" t="s">
        <v>3061</v>
      </c>
      <c r="W1076" s="87" t="s">
        <v>3106</v>
      </c>
      <c r="X1076" s="90" t="s">
        <v>3477</v>
      </c>
      <c r="Y1076" s="89"/>
      <c r="Z1076" s="89">
        <v>10</v>
      </c>
      <c r="AA1076" s="89"/>
      <c r="AB1076" s="89" t="s">
        <v>4613</v>
      </c>
    </row>
    <row r="1077" spans="1:28" s="31" customFormat="1" ht="60" customHeight="1" x14ac:dyDescent="0.2">
      <c r="A1077" s="76">
        <v>1076</v>
      </c>
      <c r="B1077" s="77">
        <v>50004001</v>
      </c>
      <c r="C1077" s="78" t="s">
        <v>2598</v>
      </c>
      <c r="D1077" s="79">
        <v>0.05</v>
      </c>
      <c r="E1077" s="80">
        <v>21069099</v>
      </c>
      <c r="F1077" s="81" t="s">
        <v>2599</v>
      </c>
      <c r="G1077" s="82" t="s">
        <v>2600</v>
      </c>
      <c r="H1077" s="82" t="s">
        <v>4071</v>
      </c>
      <c r="I1077" s="79" t="s">
        <v>2945</v>
      </c>
      <c r="J1077" s="83">
        <v>88</v>
      </c>
      <c r="K1077" s="83">
        <v>67.047619047619051</v>
      </c>
      <c r="L1077" s="83">
        <v>67.047619047619051</v>
      </c>
      <c r="M1077" s="84">
        <v>56.508739047619045</v>
      </c>
      <c r="N1077" s="59">
        <f t="shared" si="16"/>
        <v>0.35785523809523812</v>
      </c>
      <c r="O1077" s="85" t="s">
        <v>2589</v>
      </c>
      <c r="P1077" s="86" t="s">
        <v>2946</v>
      </c>
      <c r="Q1077" s="87" t="s">
        <v>3208</v>
      </c>
      <c r="R1077" s="87">
        <v>1</v>
      </c>
      <c r="S1077" s="88">
        <v>88</v>
      </c>
      <c r="T1077" s="88">
        <v>67.047619047619051</v>
      </c>
      <c r="U1077" s="88">
        <v>56.508739047619045</v>
      </c>
      <c r="V1077" s="87" t="s">
        <v>3064</v>
      </c>
      <c r="W1077" s="87" t="s">
        <v>3106</v>
      </c>
      <c r="X1077" s="90" t="s">
        <v>3489</v>
      </c>
      <c r="Y1077" s="89"/>
      <c r="Z1077" s="89">
        <v>10</v>
      </c>
      <c r="AA1077" s="89"/>
      <c r="AB1077" s="89"/>
    </row>
    <row r="1078" spans="1:28" s="31" customFormat="1" ht="60" customHeight="1" x14ac:dyDescent="0.2">
      <c r="A1078" s="76">
        <v>1077</v>
      </c>
      <c r="B1078" s="77">
        <v>50004021</v>
      </c>
      <c r="C1078" s="78" t="s">
        <v>2601</v>
      </c>
      <c r="D1078" s="79">
        <v>0.05</v>
      </c>
      <c r="E1078" s="80">
        <v>30049039</v>
      </c>
      <c r="F1078" s="81" t="s">
        <v>2602</v>
      </c>
      <c r="G1078" s="82" t="s">
        <v>2603</v>
      </c>
      <c r="H1078" s="82" t="s">
        <v>3695</v>
      </c>
      <c r="I1078" s="79" t="s">
        <v>2680</v>
      </c>
      <c r="J1078" s="83">
        <v>78.64</v>
      </c>
      <c r="K1078" s="83">
        <v>59.916190476190479</v>
      </c>
      <c r="L1078" s="83">
        <v>59.916190476190479</v>
      </c>
      <c r="M1078" s="84">
        <v>59.916190476190479</v>
      </c>
      <c r="N1078" s="59">
        <f t="shared" si="16"/>
        <v>0.23809523809523805</v>
      </c>
      <c r="O1078" s="85" t="s">
        <v>2589</v>
      </c>
      <c r="P1078" s="86" t="s">
        <v>3465</v>
      </c>
      <c r="Q1078" s="87" t="s">
        <v>3207</v>
      </c>
      <c r="R1078" s="87">
        <v>1</v>
      </c>
      <c r="S1078" s="88">
        <v>78.64</v>
      </c>
      <c r="T1078" s="88">
        <v>59.916190476190479</v>
      </c>
      <c r="U1078" s="88">
        <v>59.916190476190479</v>
      </c>
      <c r="V1078" s="87" t="s">
        <v>3062</v>
      </c>
      <c r="W1078" s="87" t="s">
        <v>3105</v>
      </c>
      <c r="X1078" s="90" t="s">
        <v>3480</v>
      </c>
      <c r="Y1078" s="89"/>
      <c r="Z1078" s="89">
        <v>1</v>
      </c>
      <c r="AA1078" s="89"/>
      <c r="AB1078" s="89"/>
    </row>
    <row r="1079" spans="1:28" s="31" customFormat="1" ht="60" customHeight="1" x14ac:dyDescent="0.2">
      <c r="A1079" s="76">
        <v>1078</v>
      </c>
      <c r="B1079" s="77">
        <v>50004022</v>
      </c>
      <c r="C1079" s="78" t="s">
        <v>2604</v>
      </c>
      <c r="D1079" s="79">
        <v>0.05</v>
      </c>
      <c r="E1079" s="80">
        <v>30049039</v>
      </c>
      <c r="F1079" s="81" t="s">
        <v>2602</v>
      </c>
      <c r="G1079" s="82" t="s">
        <v>2603</v>
      </c>
      <c r="H1079" s="82" t="s">
        <v>3695</v>
      </c>
      <c r="I1079" s="79" t="s">
        <v>2682</v>
      </c>
      <c r="J1079" s="83">
        <v>128.69999999999999</v>
      </c>
      <c r="K1079" s="83">
        <v>98.05714285714285</v>
      </c>
      <c r="L1079" s="83">
        <v>98.05714285714285</v>
      </c>
      <c r="M1079" s="84">
        <v>98.05714285714285</v>
      </c>
      <c r="N1079" s="59">
        <f t="shared" si="16"/>
        <v>0.23809523809523808</v>
      </c>
      <c r="O1079" s="85" t="s">
        <v>2589</v>
      </c>
      <c r="P1079" s="86" t="s">
        <v>3465</v>
      </c>
      <c r="Q1079" s="87" t="s">
        <v>3207</v>
      </c>
      <c r="R1079" s="87">
        <v>1</v>
      </c>
      <c r="S1079" s="88">
        <v>128.69999999999999</v>
      </c>
      <c r="T1079" s="88">
        <v>98.05714285714285</v>
      </c>
      <c r="U1079" s="88">
        <v>98.05714285714285</v>
      </c>
      <c r="V1079" s="87" t="s">
        <v>3062</v>
      </c>
      <c r="W1079" s="87" t="s">
        <v>3105</v>
      </c>
      <c r="X1079" s="90" t="s">
        <v>3561</v>
      </c>
      <c r="Y1079" s="89"/>
      <c r="Z1079" s="89">
        <v>1</v>
      </c>
      <c r="AA1079" s="89"/>
      <c r="AB1079" s="89"/>
    </row>
    <row r="1080" spans="1:28" s="31" customFormat="1" ht="60" customHeight="1" x14ac:dyDescent="0.2">
      <c r="A1080" s="76">
        <v>1079</v>
      </c>
      <c r="B1080" s="77">
        <v>50004030</v>
      </c>
      <c r="C1080" s="78" t="s">
        <v>2605</v>
      </c>
      <c r="D1080" s="79">
        <v>0.05</v>
      </c>
      <c r="E1080" s="80">
        <v>30049039</v>
      </c>
      <c r="F1080" s="81" t="s">
        <v>2602</v>
      </c>
      <c r="G1080" s="82" t="s">
        <v>2603</v>
      </c>
      <c r="H1080" s="82" t="s">
        <v>3695</v>
      </c>
      <c r="I1080" s="79" t="s">
        <v>2687</v>
      </c>
      <c r="J1080" s="83">
        <v>234.05</v>
      </c>
      <c r="K1080" s="83">
        <v>178.32380952380953</v>
      </c>
      <c r="L1080" s="83">
        <v>178.32380952380953</v>
      </c>
      <c r="M1080" s="84">
        <v>178.32380952380956</v>
      </c>
      <c r="N1080" s="59">
        <f t="shared" si="16"/>
        <v>0.238095238095238</v>
      </c>
      <c r="O1080" s="85" t="s">
        <v>2589</v>
      </c>
      <c r="P1080" s="86" t="s">
        <v>3465</v>
      </c>
      <c r="Q1080" s="87" t="s">
        <v>3207</v>
      </c>
      <c r="R1080" s="87">
        <v>1</v>
      </c>
      <c r="S1080" s="88">
        <v>234.05</v>
      </c>
      <c r="T1080" s="88">
        <v>178.32380952380953</v>
      </c>
      <c r="U1080" s="88">
        <v>178.32380952380956</v>
      </c>
      <c r="V1080" s="87" t="s">
        <v>3062</v>
      </c>
      <c r="W1080" s="87" t="s">
        <v>3105</v>
      </c>
      <c r="X1080" s="90" t="s">
        <v>3480</v>
      </c>
      <c r="Y1080" s="89"/>
      <c r="Z1080" s="89">
        <v>1</v>
      </c>
      <c r="AA1080" s="89"/>
      <c r="AB1080" s="89"/>
    </row>
    <row r="1081" spans="1:28" s="31" customFormat="1" ht="60" customHeight="1" x14ac:dyDescent="0.2">
      <c r="A1081" s="76">
        <v>1080</v>
      </c>
      <c r="B1081" s="77">
        <v>50004031</v>
      </c>
      <c r="C1081" s="78" t="s">
        <v>2606</v>
      </c>
      <c r="D1081" s="79">
        <v>0.05</v>
      </c>
      <c r="E1081" s="80">
        <v>30049039</v>
      </c>
      <c r="F1081" s="81" t="s">
        <v>2602</v>
      </c>
      <c r="G1081" s="82" t="s">
        <v>2603</v>
      </c>
      <c r="H1081" s="82" t="s">
        <v>3695</v>
      </c>
      <c r="I1081" s="79" t="s">
        <v>2947</v>
      </c>
      <c r="J1081" s="83">
        <v>579.37</v>
      </c>
      <c r="K1081" s="83">
        <v>441.42476190476191</v>
      </c>
      <c r="L1081" s="83">
        <v>441.42476190476191</v>
      </c>
      <c r="M1081" s="84">
        <v>441.42476190476191</v>
      </c>
      <c r="N1081" s="59">
        <f t="shared" si="16"/>
        <v>0.23809523809523808</v>
      </c>
      <c r="O1081" s="85" t="s">
        <v>2589</v>
      </c>
      <c r="P1081" s="86" t="s">
        <v>2749</v>
      </c>
      <c r="Q1081" s="87" t="s">
        <v>3207</v>
      </c>
      <c r="R1081" s="87">
        <v>1</v>
      </c>
      <c r="S1081" s="88">
        <v>579.37</v>
      </c>
      <c r="T1081" s="88">
        <v>441.42476190476191</v>
      </c>
      <c r="U1081" s="88">
        <v>441.42476190476191</v>
      </c>
      <c r="V1081" s="87" t="s">
        <v>3062</v>
      </c>
      <c r="W1081" s="87" t="s">
        <v>3105</v>
      </c>
      <c r="X1081" s="90" t="s">
        <v>3480</v>
      </c>
      <c r="Y1081" s="89"/>
      <c r="Z1081" s="89">
        <v>1</v>
      </c>
      <c r="AA1081" s="89"/>
      <c r="AB1081" s="89"/>
    </row>
    <row r="1082" spans="1:28" s="31" customFormat="1" ht="60" customHeight="1" x14ac:dyDescent="0.2">
      <c r="A1082" s="76">
        <v>1081</v>
      </c>
      <c r="B1082" s="77">
        <v>50004734</v>
      </c>
      <c r="C1082" s="78" t="s">
        <v>3179</v>
      </c>
      <c r="D1082" s="79">
        <v>0.05</v>
      </c>
      <c r="E1082" s="80">
        <v>30049039</v>
      </c>
      <c r="F1082" s="81" t="s">
        <v>3180</v>
      </c>
      <c r="G1082" s="82" t="s">
        <v>3191</v>
      </c>
      <c r="H1082" s="82" t="s">
        <v>3696</v>
      </c>
      <c r="I1082" s="79" t="s">
        <v>3194</v>
      </c>
      <c r="J1082" s="83">
        <v>412.48</v>
      </c>
      <c r="K1082" s="83">
        <v>314.27047619047619</v>
      </c>
      <c r="L1082" s="83">
        <v>314.27047619047619</v>
      </c>
      <c r="M1082" s="84">
        <v>251.41638095238096</v>
      </c>
      <c r="N1082" s="59">
        <f t="shared" si="16"/>
        <v>0.39047619047619048</v>
      </c>
      <c r="O1082" s="85" t="s">
        <v>2589</v>
      </c>
      <c r="P1082" s="86" t="s">
        <v>3265</v>
      </c>
      <c r="Q1082" s="87" t="s">
        <v>3208</v>
      </c>
      <c r="R1082" s="87">
        <v>1</v>
      </c>
      <c r="S1082" s="88">
        <v>412.48</v>
      </c>
      <c r="T1082" s="88">
        <v>314.27047619047619</v>
      </c>
      <c r="U1082" s="88">
        <v>251.41638095238096</v>
      </c>
      <c r="V1082" s="87" t="s">
        <v>3062</v>
      </c>
      <c r="W1082" s="87" t="s">
        <v>3105</v>
      </c>
      <c r="X1082" s="90" t="s">
        <v>3499</v>
      </c>
      <c r="Y1082" s="89"/>
      <c r="Z1082" s="89">
        <v>1</v>
      </c>
      <c r="AA1082" s="89"/>
      <c r="AB1082" s="89"/>
    </row>
    <row r="1083" spans="1:28" s="31" customFormat="1" ht="60" customHeight="1" x14ac:dyDescent="0.2">
      <c r="A1083" s="76">
        <v>1082</v>
      </c>
      <c r="B1083" s="77">
        <v>50004907</v>
      </c>
      <c r="C1083" s="78" t="s">
        <v>2609</v>
      </c>
      <c r="D1083" s="79">
        <v>0.05</v>
      </c>
      <c r="E1083" s="80">
        <v>30049039</v>
      </c>
      <c r="F1083" s="81" t="s">
        <v>2610</v>
      </c>
      <c r="G1083" s="82" t="s">
        <v>2611</v>
      </c>
      <c r="H1083" s="82" t="s">
        <v>2612</v>
      </c>
      <c r="I1083" s="79" t="s">
        <v>2663</v>
      </c>
      <c r="J1083" s="83">
        <v>100.53</v>
      </c>
      <c r="K1083" s="83">
        <v>76.594285714285718</v>
      </c>
      <c r="L1083" s="83">
        <v>76.594285714285718</v>
      </c>
      <c r="M1083" s="84">
        <v>61.275428571428577</v>
      </c>
      <c r="N1083" s="59">
        <f t="shared" si="16"/>
        <v>0.39047619047619042</v>
      </c>
      <c r="O1083" s="85" t="s">
        <v>2589</v>
      </c>
      <c r="P1083" s="86" t="s">
        <v>37</v>
      </c>
      <c r="Q1083" s="87" t="s">
        <v>3208</v>
      </c>
      <c r="R1083" s="87">
        <v>15</v>
      </c>
      <c r="S1083" s="88">
        <v>6.702</v>
      </c>
      <c r="T1083" s="88">
        <v>5.1062857142857148</v>
      </c>
      <c r="U1083" s="88">
        <v>4.0850285714285715</v>
      </c>
      <c r="V1083" s="87" t="s">
        <v>3061</v>
      </c>
      <c r="W1083" s="87" t="s">
        <v>3105</v>
      </c>
      <c r="X1083" s="90" t="s">
        <v>3477</v>
      </c>
      <c r="Y1083" s="89" t="s">
        <v>3455</v>
      </c>
      <c r="Z1083" s="89">
        <v>10</v>
      </c>
      <c r="AA1083" s="89"/>
      <c r="AB1083" s="89"/>
    </row>
    <row r="1084" spans="1:28" s="31" customFormat="1" ht="60" customHeight="1" x14ac:dyDescent="0.2">
      <c r="A1084" s="76">
        <v>1083</v>
      </c>
      <c r="B1084" s="77">
        <v>50004037</v>
      </c>
      <c r="C1084" s="78" t="s">
        <v>2613</v>
      </c>
      <c r="D1084" s="79">
        <v>0.05</v>
      </c>
      <c r="E1084" s="80">
        <v>30049039</v>
      </c>
      <c r="F1084" s="81" t="s">
        <v>2614</v>
      </c>
      <c r="G1084" s="82" t="s">
        <v>2615</v>
      </c>
      <c r="H1084" s="82" t="s">
        <v>4072</v>
      </c>
      <c r="I1084" s="79" t="s">
        <v>2693</v>
      </c>
      <c r="J1084" s="83">
        <v>98.25</v>
      </c>
      <c r="K1084" s="83">
        <v>74.857142857142861</v>
      </c>
      <c r="L1084" s="83">
        <v>74.857142857142861</v>
      </c>
      <c r="M1084" s="84">
        <v>59.885714285714293</v>
      </c>
      <c r="N1084" s="59">
        <f t="shared" si="16"/>
        <v>0.39047619047619042</v>
      </c>
      <c r="O1084" s="85" t="s">
        <v>2589</v>
      </c>
      <c r="P1084" s="86" t="s">
        <v>123</v>
      </c>
      <c r="Q1084" s="87" t="s">
        <v>3208</v>
      </c>
      <c r="R1084" s="87">
        <v>10</v>
      </c>
      <c r="S1084" s="88">
        <v>9.8249999999999993</v>
      </c>
      <c r="T1084" s="88">
        <v>7.4857142857142858</v>
      </c>
      <c r="U1084" s="88">
        <v>5.9885714285714293</v>
      </c>
      <c r="V1084" s="87" t="s">
        <v>3061</v>
      </c>
      <c r="W1084" s="87" t="s">
        <v>3105</v>
      </c>
      <c r="X1084" s="90" t="s">
        <v>3478</v>
      </c>
      <c r="Y1084" s="89" t="s">
        <v>3455</v>
      </c>
      <c r="Z1084" s="89">
        <v>10</v>
      </c>
      <c r="AA1084" s="89"/>
      <c r="AB1084" s="89" t="s">
        <v>4613</v>
      </c>
    </row>
    <row r="1085" spans="1:28" s="31" customFormat="1" ht="60" customHeight="1" x14ac:dyDescent="0.2">
      <c r="A1085" s="76">
        <v>1084</v>
      </c>
      <c r="B1085" s="77">
        <v>50005067</v>
      </c>
      <c r="C1085" s="78" t="s">
        <v>3145</v>
      </c>
      <c r="D1085" s="79">
        <v>0.05</v>
      </c>
      <c r="E1085" s="80">
        <v>30049039</v>
      </c>
      <c r="F1085" s="81" t="s">
        <v>3146</v>
      </c>
      <c r="G1085" s="82" t="s">
        <v>658</v>
      </c>
      <c r="H1085" s="82" t="s">
        <v>115</v>
      </c>
      <c r="I1085" s="79" t="s">
        <v>2672</v>
      </c>
      <c r="J1085" s="83">
        <v>52.96</v>
      </c>
      <c r="K1085" s="83">
        <v>40.350476190476186</v>
      </c>
      <c r="L1085" s="83">
        <v>20.175238095238093</v>
      </c>
      <c r="M1085" s="84">
        <v>16.140190476190469</v>
      </c>
      <c r="N1085" s="59">
        <f t="shared" si="16"/>
        <v>0.69523809523809543</v>
      </c>
      <c r="O1085" s="85" t="s">
        <v>2589</v>
      </c>
      <c r="P1085" s="86" t="s">
        <v>2775</v>
      </c>
      <c r="Q1085" s="87" t="s">
        <v>3207</v>
      </c>
      <c r="R1085" s="87">
        <v>1</v>
      </c>
      <c r="S1085" s="88">
        <v>52.96</v>
      </c>
      <c r="T1085" s="88">
        <v>20.175238095238093</v>
      </c>
      <c r="U1085" s="88">
        <v>16.140190476190469</v>
      </c>
      <c r="V1085" s="87" t="s">
        <v>3067</v>
      </c>
      <c r="W1085" s="87" t="s">
        <v>3105</v>
      </c>
      <c r="X1085" s="90" t="s">
        <v>3479</v>
      </c>
      <c r="Y1085" s="89"/>
      <c r="Z1085" s="89">
        <v>1</v>
      </c>
      <c r="AA1085" s="89"/>
      <c r="AB1085" s="89"/>
    </row>
    <row r="1086" spans="1:28" s="31" customFormat="1" ht="60" customHeight="1" x14ac:dyDescent="0.2">
      <c r="A1086" s="76">
        <v>1085</v>
      </c>
      <c r="B1086" s="77">
        <v>50002623</v>
      </c>
      <c r="C1086" s="78" t="s">
        <v>2616</v>
      </c>
      <c r="D1086" s="79">
        <v>0.05</v>
      </c>
      <c r="E1086" s="80">
        <v>30049087</v>
      </c>
      <c r="F1086" s="81" t="s">
        <v>2617</v>
      </c>
      <c r="G1086" s="82" t="s">
        <v>2618</v>
      </c>
      <c r="H1086" s="82" t="s">
        <v>246</v>
      </c>
      <c r="I1086" s="79" t="s">
        <v>2666</v>
      </c>
      <c r="J1086" s="83">
        <v>198.51</v>
      </c>
      <c r="K1086" s="83">
        <v>151.24571428571429</v>
      </c>
      <c r="L1086" s="83">
        <v>136.12114285714284</v>
      </c>
      <c r="M1086" s="84">
        <v>120.99657142857141</v>
      </c>
      <c r="N1086" s="59">
        <f t="shared" si="16"/>
        <v>0.39047619047619053</v>
      </c>
      <c r="O1086" s="85" t="s">
        <v>2589</v>
      </c>
      <c r="P1086" s="86" t="s">
        <v>4128</v>
      </c>
      <c r="Q1086" s="87" t="s">
        <v>3208</v>
      </c>
      <c r="R1086" s="87">
        <v>10</v>
      </c>
      <c r="S1086" s="88">
        <v>19.850999999999999</v>
      </c>
      <c r="T1086" s="88">
        <v>13.612114285714284</v>
      </c>
      <c r="U1086" s="88">
        <v>12.099657142857142</v>
      </c>
      <c r="V1086" s="87" t="s">
        <v>3061</v>
      </c>
      <c r="W1086" s="87" t="s">
        <v>3105</v>
      </c>
      <c r="X1086" s="90" t="s">
        <v>3477</v>
      </c>
      <c r="Y1086" s="89"/>
      <c r="Z1086" s="89">
        <v>10</v>
      </c>
      <c r="AA1086" s="89"/>
      <c r="AB1086" s="89"/>
    </row>
    <row r="1087" spans="1:28" s="31" customFormat="1" ht="60" customHeight="1" x14ac:dyDescent="0.2">
      <c r="A1087" s="76">
        <v>1086</v>
      </c>
      <c r="B1087" s="77">
        <v>50002624</v>
      </c>
      <c r="C1087" s="78" t="s">
        <v>2619</v>
      </c>
      <c r="D1087" s="79">
        <v>0.05</v>
      </c>
      <c r="E1087" s="80">
        <v>30049087</v>
      </c>
      <c r="F1087" s="81" t="s">
        <v>2620</v>
      </c>
      <c r="G1087" s="82" t="s">
        <v>2621</v>
      </c>
      <c r="H1087" s="82" t="s">
        <v>47</v>
      </c>
      <c r="I1087" s="79" t="s">
        <v>2666</v>
      </c>
      <c r="J1087" s="83">
        <v>390.84</v>
      </c>
      <c r="K1087" s="83">
        <v>297.78285714285715</v>
      </c>
      <c r="L1087" s="83">
        <v>272.96761904761905</v>
      </c>
      <c r="M1087" s="84">
        <v>238.22628571428567</v>
      </c>
      <c r="N1087" s="59">
        <f t="shared" si="16"/>
        <v>0.39047619047619059</v>
      </c>
      <c r="O1087" s="85" t="s">
        <v>2589</v>
      </c>
      <c r="P1087" s="86" t="s">
        <v>4128</v>
      </c>
      <c r="Q1087" s="87" t="s">
        <v>3208</v>
      </c>
      <c r="R1087" s="87">
        <v>10</v>
      </c>
      <c r="S1087" s="88">
        <v>39.083999999999996</v>
      </c>
      <c r="T1087" s="88">
        <v>27.296761904761905</v>
      </c>
      <c r="U1087" s="88">
        <v>23.822628571428567</v>
      </c>
      <c r="V1087" s="87" t="s">
        <v>3061</v>
      </c>
      <c r="W1087" s="87" t="s">
        <v>3105</v>
      </c>
      <c r="X1087" s="90" t="s">
        <v>3477</v>
      </c>
      <c r="Y1087" s="89"/>
      <c r="Z1087" s="89">
        <v>3</v>
      </c>
      <c r="AA1087" s="89"/>
      <c r="AB1087" s="89"/>
    </row>
    <row r="1088" spans="1:28" s="31" customFormat="1" ht="60" customHeight="1" x14ac:dyDescent="0.2">
      <c r="A1088" s="76">
        <v>1087</v>
      </c>
      <c r="B1088" s="77">
        <v>50004167</v>
      </c>
      <c r="C1088" s="78" t="s">
        <v>2622</v>
      </c>
      <c r="D1088" s="79">
        <v>0.05</v>
      </c>
      <c r="E1088" s="80">
        <v>30049087</v>
      </c>
      <c r="F1088" s="81" t="s">
        <v>2623</v>
      </c>
      <c r="G1088" s="82" t="s">
        <v>2624</v>
      </c>
      <c r="H1088" s="82" t="s">
        <v>2625</v>
      </c>
      <c r="I1088" s="79" t="s">
        <v>2666</v>
      </c>
      <c r="J1088" s="83">
        <v>458.9</v>
      </c>
      <c r="K1088" s="83">
        <v>349.63809523809522</v>
      </c>
      <c r="L1088" s="83">
        <v>314.6742857142857</v>
      </c>
      <c r="M1088" s="84">
        <v>279.71047619047619</v>
      </c>
      <c r="N1088" s="59">
        <f t="shared" ref="N1088:N1152" si="17">(J1088-M1088)/J1088</f>
        <v>0.39047619047619048</v>
      </c>
      <c r="O1088" s="85" t="s">
        <v>2589</v>
      </c>
      <c r="P1088" s="86" t="s">
        <v>2949</v>
      </c>
      <c r="Q1088" s="87" t="s">
        <v>3208</v>
      </c>
      <c r="R1088" s="87">
        <v>10</v>
      </c>
      <c r="S1088" s="88">
        <v>45.89</v>
      </c>
      <c r="T1088" s="88">
        <v>31.46742857142857</v>
      </c>
      <c r="U1088" s="88">
        <v>27.971047619047617</v>
      </c>
      <c r="V1088" s="87" t="s">
        <v>3061</v>
      </c>
      <c r="W1088" s="87" t="s">
        <v>3105</v>
      </c>
      <c r="X1088" s="90" t="s">
        <v>3477</v>
      </c>
      <c r="Y1088" s="89"/>
      <c r="Z1088" s="89">
        <v>10</v>
      </c>
      <c r="AA1088" s="89"/>
      <c r="AB1088" s="89"/>
    </row>
    <row r="1089" spans="1:28" s="31" customFormat="1" ht="60" customHeight="1" x14ac:dyDescent="0.2">
      <c r="A1089" s="76">
        <v>1088</v>
      </c>
      <c r="B1089" s="77">
        <v>50004096</v>
      </c>
      <c r="C1089" s="78" t="s">
        <v>2626</v>
      </c>
      <c r="D1089" s="79">
        <v>0.05</v>
      </c>
      <c r="E1089" s="80">
        <v>30049099</v>
      </c>
      <c r="F1089" s="81" t="s">
        <v>2627</v>
      </c>
      <c r="G1089" s="82" t="s">
        <v>2628</v>
      </c>
      <c r="H1089" s="82" t="s">
        <v>4073</v>
      </c>
      <c r="I1089" s="79" t="s">
        <v>2772</v>
      </c>
      <c r="J1089" s="83">
        <v>236.25</v>
      </c>
      <c r="K1089" s="83">
        <v>180</v>
      </c>
      <c r="L1089" s="83">
        <v>162</v>
      </c>
      <c r="M1089" s="84">
        <v>143.99280000000005</v>
      </c>
      <c r="N1089" s="59">
        <f t="shared" si="17"/>
        <v>0.3905066666666665</v>
      </c>
      <c r="O1089" s="85" t="s">
        <v>2589</v>
      </c>
      <c r="P1089" s="86" t="s">
        <v>2747</v>
      </c>
      <c r="Q1089" s="87" t="s">
        <v>3208</v>
      </c>
      <c r="R1089" s="87">
        <v>1</v>
      </c>
      <c r="S1089" s="88">
        <v>236.25</v>
      </c>
      <c r="T1089" s="88">
        <v>162</v>
      </c>
      <c r="U1089" s="88">
        <v>143.99280000000005</v>
      </c>
      <c r="V1089" s="87" t="s">
        <v>3066</v>
      </c>
      <c r="W1089" s="87" t="s">
        <v>3100</v>
      </c>
      <c r="X1089" s="90" t="s">
        <v>3481</v>
      </c>
      <c r="Y1089" s="89"/>
      <c r="Z1089" s="89">
        <v>1</v>
      </c>
      <c r="AA1089" s="89"/>
      <c r="AB1089" s="89"/>
    </row>
    <row r="1090" spans="1:28" s="31" customFormat="1" ht="60" customHeight="1" x14ac:dyDescent="0.2">
      <c r="A1090" s="76">
        <v>1089</v>
      </c>
      <c r="B1090" s="77">
        <v>50004098</v>
      </c>
      <c r="C1090" s="78" t="s">
        <v>2629</v>
      </c>
      <c r="D1090" s="79">
        <v>0.05</v>
      </c>
      <c r="E1090" s="80">
        <v>30045090</v>
      </c>
      <c r="F1090" s="81" t="s">
        <v>2630</v>
      </c>
      <c r="G1090" s="82" t="s">
        <v>2631</v>
      </c>
      <c r="H1090" s="82" t="s">
        <v>4074</v>
      </c>
      <c r="I1090" s="79" t="s">
        <v>2669</v>
      </c>
      <c r="J1090" s="83">
        <v>991.49</v>
      </c>
      <c r="K1090" s="83">
        <v>755.42095238095237</v>
      </c>
      <c r="L1090" s="83">
        <v>679.8788571428571</v>
      </c>
      <c r="M1090" s="84">
        <v>604.30654506666656</v>
      </c>
      <c r="N1090" s="59">
        <f t="shared" si="17"/>
        <v>0.39050666666666678</v>
      </c>
      <c r="O1090" s="85" t="s">
        <v>2589</v>
      </c>
      <c r="P1090" s="86" t="s">
        <v>2668</v>
      </c>
      <c r="Q1090" s="87" t="s">
        <v>3208</v>
      </c>
      <c r="R1090" s="87">
        <v>14</v>
      </c>
      <c r="S1090" s="88">
        <v>70.820714285714288</v>
      </c>
      <c r="T1090" s="88">
        <v>48.562775510204077</v>
      </c>
      <c r="U1090" s="88">
        <v>43.164753219047611</v>
      </c>
      <c r="V1090" s="87" t="s">
        <v>3061</v>
      </c>
      <c r="W1090" s="87" t="s">
        <v>3100</v>
      </c>
      <c r="X1090" s="90" t="s">
        <v>3477</v>
      </c>
      <c r="Y1090" s="89"/>
      <c r="Z1090" s="89">
        <v>10</v>
      </c>
      <c r="AA1090" s="89"/>
      <c r="AB1090" s="89"/>
    </row>
    <row r="1091" spans="1:28" s="31" customFormat="1" ht="60" customHeight="1" x14ac:dyDescent="0.2">
      <c r="A1091" s="76">
        <v>1090</v>
      </c>
      <c r="B1091" s="77">
        <v>50004103</v>
      </c>
      <c r="C1091" s="78" t="s">
        <v>2632</v>
      </c>
      <c r="D1091" s="79">
        <v>0.05</v>
      </c>
      <c r="E1091" s="80">
        <v>30045090</v>
      </c>
      <c r="F1091" s="81" t="s">
        <v>2633</v>
      </c>
      <c r="G1091" s="82" t="s">
        <v>2634</v>
      </c>
      <c r="H1091" s="82" t="s">
        <v>4075</v>
      </c>
      <c r="I1091" s="79" t="s">
        <v>2772</v>
      </c>
      <c r="J1091" s="83">
        <v>279.37</v>
      </c>
      <c r="K1091" s="83">
        <v>212.85333333333332</v>
      </c>
      <c r="L1091" s="83">
        <v>187.31093333333334</v>
      </c>
      <c r="M1091" s="84">
        <v>170.27415253333334</v>
      </c>
      <c r="N1091" s="59">
        <f t="shared" si="17"/>
        <v>0.39050666666666667</v>
      </c>
      <c r="O1091" s="85" t="s">
        <v>2589</v>
      </c>
      <c r="P1091" s="86" t="s">
        <v>2950</v>
      </c>
      <c r="Q1091" s="87" t="s">
        <v>3208</v>
      </c>
      <c r="R1091" s="87">
        <v>1</v>
      </c>
      <c r="S1091" s="88">
        <v>279.37</v>
      </c>
      <c r="T1091" s="88">
        <v>187.31093333333334</v>
      </c>
      <c r="U1091" s="88">
        <v>170.27415253333334</v>
      </c>
      <c r="V1091" s="87" t="s">
        <v>3066</v>
      </c>
      <c r="W1091" s="87" t="s">
        <v>3100</v>
      </c>
      <c r="X1091" s="90" t="s">
        <v>3481</v>
      </c>
      <c r="Y1091" s="89"/>
      <c r="Z1091" s="89">
        <v>1</v>
      </c>
      <c r="AA1091" s="89"/>
      <c r="AB1091" s="89"/>
    </row>
    <row r="1092" spans="1:28" s="31" customFormat="1" ht="60" customHeight="1" x14ac:dyDescent="0.2">
      <c r="A1092" s="76">
        <v>1091</v>
      </c>
      <c r="B1092" s="77">
        <v>50004067</v>
      </c>
      <c r="C1092" s="78" t="s">
        <v>2635</v>
      </c>
      <c r="D1092" s="79">
        <v>0.05</v>
      </c>
      <c r="E1092" s="80">
        <v>30049099</v>
      </c>
      <c r="F1092" s="81" t="s">
        <v>2636</v>
      </c>
      <c r="G1092" s="82" t="s">
        <v>2637</v>
      </c>
      <c r="H1092" s="82" t="s">
        <v>4076</v>
      </c>
      <c r="I1092" s="79" t="s">
        <v>2670</v>
      </c>
      <c r="J1092" s="83">
        <v>398.43</v>
      </c>
      <c r="K1092" s="83">
        <v>303.56571428571431</v>
      </c>
      <c r="L1092" s="83">
        <v>273.20914285714287</v>
      </c>
      <c r="M1092" s="84">
        <v>242.84042880000004</v>
      </c>
      <c r="N1092" s="59">
        <f t="shared" si="17"/>
        <v>0.39050666666666656</v>
      </c>
      <c r="O1092" s="85" t="s">
        <v>2589</v>
      </c>
      <c r="P1092" s="86" t="s">
        <v>37</v>
      </c>
      <c r="Q1092" s="87" t="s">
        <v>3208</v>
      </c>
      <c r="R1092" s="87">
        <v>7</v>
      </c>
      <c r="S1092" s="88">
        <v>56.918571428571433</v>
      </c>
      <c r="T1092" s="88">
        <v>39.029877551020412</v>
      </c>
      <c r="U1092" s="88">
        <v>34.691489828571434</v>
      </c>
      <c r="V1092" s="87" t="s">
        <v>3061</v>
      </c>
      <c r="W1092" s="87" t="s">
        <v>3100</v>
      </c>
      <c r="X1092" s="90" t="s">
        <v>3477</v>
      </c>
      <c r="Y1092" s="89"/>
      <c r="Z1092" s="89">
        <v>10</v>
      </c>
      <c r="AA1092" s="89"/>
      <c r="AB1092" s="89"/>
    </row>
    <row r="1093" spans="1:28" s="31" customFormat="1" ht="60" customHeight="1" x14ac:dyDescent="0.2">
      <c r="A1093" s="76">
        <v>1092</v>
      </c>
      <c r="B1093" s="77">
        <v>50004870</v>
      </c>
      <c r="C1093" s="78" t="s">
        <v>2638</v>
      </c>
      <c r="D1093" s="79">
        <v>0.05</v>
      </c>
      <c r="E1093" s="80">
        <v>30049099</v>
      </c>
      <c r="F1093" s="81" t="s">
        <v>2639</v>
      </c>
      <c r="G1093" s="82" t="s">
        <v>2640</v>
      </c>
      <c r="H1093" s="82" t="s">
        <v>4077</v>
      </c>
      <c r="I1093" s="79" t="s">
        <v>2687</v>
      </c>
      <c r="J1093" s="83">
        <v>283.58</v>
      </c>
      <c r="K1093" s="83">
        <v>216.06095238095241</v>
      </c>
      <c r="L1093" s="83">
        <v>198.05587301587306</v>
      </c>
      <c r="M1093" s="84">
        <v>172.84876190476191</v>
      </c>
      <c r="N1093" s="59">
        <f t="shared" si="17"/>
        <v>0.39047619047619042</v>
      </c>
      <c r="O1093" s="85" t="s">
        <v>2589</v>
      </c>
      <c r="P1093" s="86" t="s">
        <v>3204</v>
      </c>
      <c r="Q1093" s="87" t="s">
        <v>3208</v>
      </c>
      <c r="R1093" s="87">
        <v>1</v>
      </c>
      <c r="S1093" s="88">
        <v>283.58</v>
      </c>
      <c r="T1093" s="88">
        <v>198.05587301587306</v>
      </c>
      <c r="U1093" s="88">
        <v>172.84876190476191</v>
      </c>
      <c r="V1093" s="87" t="s">
        <v>3062</v>
      </c>
      <c r="W1093" s="87" t="s">
        <v>3301</v>
      </c>
      <c r="X1093" s="90" t="s">
        <v>3484</v>
      </c>
      <c r="Y1093" s="89"/>
      <c r="Z1093" s="89">
        <v>1</v>
      </c>
      <c r="AA1093" s="89"/>
      <c r="AB1093" s="89"/>
    </row>
    <row r="1094" spans="1:28" s="31" customFormat="1" ht="60" customHeight="1" x14ac:dyDescent="0.2">
      <c r="A1094" s="76">
        <v>1093</v>
      </c>
      <c r="B1094" s="77">
        <v>50005368</v>
      </c>
      <c r="C1094" s="78" t="s">
        <v>3252</v>
      </c>
      <c r="D1094" s="79">
        <v>0.05</v>
      </c>
      <c r="E1094" s="80">
        <v>30049099</v>
      </c>
      <c r="F1094" s="81" t="s">
        <v>3253</v>
      </c>
      <c r="G1094" s="82" t="s">
        <v>3278</v>
      </c>
      <c r="H1094" s="82" t="s">
        <v>30</v>
      </c>
      <c r="I1094" s="79" t="s">
        <v>2666</v>
      </c>
      <c r="J1094" s="83">
        <v>74.989999999999995</v>
      </c>
      <c r="K1094" s="83">
        <v>57.13523809523808</v>
      </c>
      <c r="L1094" s="83">
        <v>57.13523809523808</v>
      </c>
      <c r="M1094" s="84">
        <v>47.993599999999986</v>
      </c>
      <c r="N1094" s="59">
        <f t="shared" si="17"/>
        <v>0.36000000000000015</v>
      </c>
      <c r="O1094" s="85" t="s">
        <v>2589</v>
      </c>
      <c r="P1094" s="86" t="s">
        <v>2941</v>
      </c>
      <c r="Q1094" s="87" t="s">
        <v>3208</v>
      </c>
      <c r="R1094" s="87">
        <v>10</v>
      </c>
      <c r="S1094" s="88">
        <v>7.4989999999999997</v>
      </c>
      <c r="T1094" s="88">
        <v>5.7135238095238083</v>
      </c>
      <c r="U1094" s="88">
        <v>4.7993599999999983</v>
      </c>
      <c r="V1094" s="87" t="s">
        <v>3061</v>
      </c>
      <c r="W1094" s="87" t="s">
        <v>3105</v>
      </c>
      <c r="X1094" s="90" t="s">
        <v>3477</v>
      </c>
      <c r="Y1094" s="89"/>
      <c r="Z1094" s="89">
        <v>3</v>
      </c>
      <c r="AA1094" s="89"/>
      <c r="AB1094" s="89"/>
    </row>
    <row r="1095" spans="1:28" s="31" customFormat="1" ht="60" customHeight="1" x14ac:dyDescent="0.2">
      <c r="A1095" s="76">
        <v>1094</v>
      </c>
      <c r="B1095" s="77">
        <v>50005367</v>
      </c>
      <c r="C1095" s="78" t="s">
        <v>3254</v>
      </c>
      <c r="D1095" s="79">
        <v>0.05</v>
      </c>
      <c r="E1095" s="80">
        <v>30049099</v>
      </c>
      <c r="F1095" s="81" t="s">
        <v>3255</v>
      </c>
      <c r="G1095" s="82" t="s">
        <v>3279</v>
      </c>
      <c r="H1095" s="82" t="s">
        <v>294</v>
      </c>
      <c r="I1095" s="79" t="s">
        <v>2666</v>
      </c>
      <c r="J1095" s="83">
        <v>140.61000000000001</v>
      </c>
      <c r="K1095" s="83">
        <v>107.13142857142859</v>
      </c>
      <c r="L1095" s="83">
        <v>107.13142857142859</v>
      </c>
      <c r="M1095" s="84">
        <v>89.990400000000022</v>
      </c>
      <c r="N1095" s="59">
        <f t="shared" si="17"/>
        <v>0.35999999999999988</v>
      </c>
      <c r="O1095" s="85" t="s">
        <v>2589</v>
      </c>
      <c r="P1095" s="86" t="s">
        <v>2941</v>
      </c>
      <c r="Q1095" s="87" t="s">
        <v>3208</v>
      </c>
      <c r="R1095" s="87">
        <v>10</v>
      </c>
      <c r="S1095" s="88">
        <v>14.061000000000002</v>
      </c>
      <c r="T1095" s="88">
        <v>10.713142857142859</v>
      </c>
      <c r="U1095" s="88">
        <v>8.9990400000000026</v>
      </c>
      <c r="V1095" s="87" t="s">
        <v>3061</v>
      </c>
      <c r="W1095" s="87" t="s">
        <v>3105</v>
      </c>
      <c r="X1095" s="90" t="s">
        <v>3477</v>
      </c>
      <c r="Y1095" s="89"/>
      <c r="Z1095" s="89">
        <v>3</v>
      </c>
      <c r="AA1095" s="89"/>
      <c r="AB1095" s="89"/>
    </row>
    <row r="1096" spans="1:28" s="31" customFormat="1" ht="60" customHeight="1" x14ac:dyDescent="0.2">
      <c r="A1096" s="76">
        <v>1095</v>
      </c>
      <c r="B1096" s="77">
        <v>50004084</v>
      </c>
      <c r="C1096" s="78" t="s">
        <v>2641</v>
      </c>
      <c r="D1096" s="79">
        <v>0.05</v>
      </c>
      <c r="E1096" s="80">
        <v>30049067</v>
      </c>
      <c r="F1096" s="81" t="s">
        <v>2642</v>
      </c>
      <c r="G1096" s="82" t="s">
        <v>2643</v>
      </c>
      <c r="H1096" s="82" t="s">
        <v>3697</v>
      </c>
      <c r="I1096" s="79" t="s">
        <v>2666</v>
      </c>
      <c r="J1096" s="83">
        <v>82.49</v>
      </c>
      <c r="K1096" s="83">
        <v>62.849523809523802</v>
      </c>
      <c r="L1096" s="83">
        <v>52.374603174603166</v>
      </c>
      <c r="M1096" s="84">
        <v>50.277105066666657</v>
      </c>
      <c r="N1096" s="59">
        <f t="shared" si="17"/>
        <v>0.39050666666666672</v>
      </c>
      <c r="O1096" s="85" t="s">
        <v>2589</v>
      </c>
      <c r="P1096" s="86" t="s">
        <v>2681</v>
      </c>
      <c r="Q1096" s="87" t="s">
        <v>3208</v>
      </c>
      <c r="R1096" s="87">
        <v>10</v>
      </c>
      <c r="S1096" s="88">
        <v>8.2489999999999988</v>
      </c>
      <c r="T1096" s="88">
        <v>5.2374603174603163</v>
      </c>
      <c r="U1096" s="88">
        <v>5.0277105066666659</v>
      </c>
      <c r="V1096" s="87" t="s">
        <v>3061</v>
      </c>
      <c r="W1096" s="87" t="s">
        <v>3106</v>
      </c>
      <c r="X1096" s="90" t="s">
        <v>3477</v>
      </c>
      <c r="Y1096" s="89"/>
      <c r="Z1096" s="89">
        <v>10</v>
      </c>
      <c r="AA1096" s="89"/>
      <c r="AB1096" s="89"/>
    </row>
    <row r="1097" spans="1:28" s="31" customFormat="1" ht="60" customHeight="1" x14ac:dyDescent="0.2">
      <c r="A1097" s="76">
        <v>1096</v>
      </c>
      <c r="B1097" s="77">
        <v>50004085</v>
      </c>
      <c r="C1097" s="78" t="s">
        <v>2644</v>
      </c>
      <c r="D1097" s="79">
        <v>0.05</v>
      </c>
      <c r="E1097" s="80">
        <v>30049067</v>
      </c>
      <c r="F1097" s="81" t="s">
        <v>2645</v>
      </c>
      <c r="G1097" s="82" t="s">
        <v>2646</v>
      </c>
      <c r="H1097" s="82" t="s">
        <v>4078</v>
      </c>
      <c r="I1097" s="79" t="s">
        <v>2666</v>
      </c>
      <c r="J1097" s="83">
        <v>58.77</v>
      </c>
      <c r="K1097" s="83">
        <v>44.777142857142856</v>
      </c>
      <c r="L1097" s="83">
        <v>37.31428571428571</v>
      </c>
      <c r="M1097" s="84">
        <v>37.314285714285717</v>
      </c>
      <c r="N1097" s="59">
        <f t="shared" si="17"/>
        <v>0.36507936507936506</v>
      </c>
      <c r="O1097" s="85" t="s">
        <v>2589</v>
      </c>
      <c r="P1097" s="86" t="s">
        <v>2683</v>
      </c>
      <c r="Q1097" s="87" t="s">
        <v>3208</v>
      </c>
      <c r="R1097" s="87">
        <v>10</v>
      </c>
      <c r="S1097" s="88">
        <v>5.8770000000000007</v>
      </c>
      <c r="T1097" s="88">
        <v>3.7314285714285709</v>
      </c>
      <c r="U1097" s="88">
        <v>3.7314285714285718</v>
      </c>
      <c r="V1097" s="87" t="s">
        <v>3061</v>
      </c>
      <c r="W1097" s="87" t="s">
        <v>3106</v>
      </c>
      <c r="X1097" s="90" t="s">
        <v>3477</v>
      </c>
      <c r="Y1097" s="89"/>
      <c r="Z1097" s="89">
        <v>10</v>
      </c>
      <c r="AA1097" s="89"/>
      <c r="AB1097" s="89" t="s">
        <v>4613</v>
      </c>
    </row>
    <row r="1098" spans="1:28" s="31" customFormat="1" ht="60" customHeight="1" x14ac:dyDescent="0.2">
      <c r="A1098" s="76">
        <v>1097</v>
      </c>
      <c r="B1098" s="77">
        <v>50004086</v>
      </c>
      <c r="C1098" s="78" t="s">
        <v>2647</v>
      </c>
      <c r="D1098" s="79">
        <v>0.05</v>
      </c>
      <c r="E1098" s="80">
        <v>30049099</v>
      </c>
      <c r="F1098" s="81" t="s">
        <v>2648</v>
      </c>
      <c r="G1098" s="82" t="s">
        <v>2649</v>
      </c>
      <c r="H1098" s="82" t="s">
        <v>4079</v>
      </c>
      <c r="I1098" s="79" t="s">
        <v>2666</v>
      </c>
      <c r="J1098" s="83">
        <v>83.52</v>
      </c>
      <c r="K1098" s="83">
        <v>63.634285714285717</v>
      </c>
      <c r="L1098" s="83">
        <v>53.028571428571432</v>
      </c>
      <c r="M1098" s="84">
        <v>50.904883200000008</v>
      </c>
      <c r="N1098" s="59">
        <f t="shared" si="17"/>
        <v>0.39050666666666656</v>
      </c>
      <c r="O1098" s="85" t="s">
        <v>2589</v>
      </c>
      <c r="P1098" s="86" t="s">
        <v>2734</v>
      </c>
      <c r="Q1098" s="87" t="s">
        <v>3208</v>
      </c>
      <c r="R1098" s="87">
        <v>10</v>
      </c>
      <c r="S1098" s="88">
        <v>8.3520000000000003</v>
      </c>
      <c r="T1098" s="88">
        <v>5.3028571428571434</v>
      </c>
      <c r="U1098" s="88">
        <v>5.0904883200000004</v>
      </c>
      <c r="V1098" s="87" t="s">
        <v>3061</v>
      </c>
      <c r="W1098" s="87" t="s">
        <v>3106</v>
      </c>
      <c r="X1098" s="90" t="s">
        <v>3477</v>
      </c>
      <c r="Y1098" s="89"/>
      <c r="Z1098" s="89">
        <v>10</v>
      </c>
      <c r="AA1098" s="89"/>
      <c r="AB1098" s="89" t="s">
        <v>4613</v>
      </c>
    </row>
    <row r="1099" spans="1:28" s="31" customFormat="1" ht="60" customHeight="1" x14ac:dyDescent="0.2">
      <c r="A1099" s="76">
        <v>1098</v>
      </c>
      <c r="B1099" s="77">
        <v>50004087</v>
      </c>
      <c r="C1099" s="78" t="s">
        <v>2650</v>
      </c>
      <c r="D1099" s="79">
        <v>0.05</v>
      </c>
      <c r="E1099" s="80">
        <v>30049069</v>
      </c>
      <c r="F1099" s="81" t="s">
        <v>2651</v>
      </c>
      <c r="G1099" s="82" t="s">
        <v>2652</v>
      </c>
      <c r="H1099" s="82" t="s">
        <v>4080</v>
      </c>
      <c r="I1099" s="79" t="s">
        <v>2666</v>
      </c>
      <c r="J1099" s="83">
        <v>164.06</v>
      </c>
      <c r="K1099" s="83">
        <v>124.99809523809525</v>
      </c>
      <c r="L1099" s="83">
        <v>104.16507936507938</v>
      </c>
      <c r="M1099" s="84">
        <v>99.993476266666676</v>
      </c>
      <c r="N1099" s="59">
        <f t="shared" si="17"/>
        <v>0.39050666666666661</v>
      </c>
      <c r="O1099" s="85" t="s">
        <v>2589</v>
      </c>
      <c r="P1099" s="86" t="s">
        <v>2951</v>
      </c>
      <c r="Q1099" s="87" t="s">
        <v>3208</v>
      </c>
      <c r="R1099" s="87">
        <v>10</v>
      </c>
      <c r="S1099" s="88">
        <v>16.405999999999999</v>
      </c>
      <c r="T1099" s="88">
        <v>10.416507936507937</v>
      </c>
      <c r="U1099" s="88">
        <v>9.9993476266666672</v>
      </c>
      <c r="V1099" s="87" t="s">
        <v>3061</v>
      </c>
      <c r="W1099" s="87" t="s">
        <v>3106</v>
      </c>
      <c r="X1099" s="90" t="s">
        <v>3477</v>
      </c>
      <c r="Y1099" s="89"/>
      <c r="Z1099" s="89">
        <v>10</v>
      </c>
      <c r="AA1099" s="89"/>
      <c r="AB1099" s="89"/>
    </row>
    <row r="1100" spans="1:28" s="31" customFormat="1" ht="60" customHeight="1" x14ac:dyDescent="0.2">
      <c r="A1100" s="76">
        <v>1099</v>
      </c>
      <c r="B1100" s="77">
        <v>50003156</v>
      </c>
      <c r="C1100" s="78" t="s">
        <v>2653</v>
      </c>
      <c r="D1100" s="79">
        <v>0.05</v>
      </c>
      <c r="E1100" s="80">
        <v>30049099</v>
      </c>
      <c r="F1100" s="81" t="s">
        <v>2654</v>
      </c>
      <c r="G1100" s="82" t="s">
        <v>2655</v>
      </c>
      <c r="H1100" s="82" t="s">
        <v>2656</v>
      </c>
      <c r="I1100" s="79" t="s">
        <v>2666</v>
      </c>
      <c r="J1100" s="83">
        <v>107.76</v>
      </c>
      <c r="K1100" s="83">
        <v>82.102857142857147</v>
      </c>
      <c r="L1100" s="83">
        <v>82.102857142857147</v>
      </c>
      <c r="M1100" s="84">
        <v>82.102857142857133</v>
      </c>
      <c r="N1100" s="59">
        <f t="shared" si="17"/>
        <v>0.23809523809523822</v>
      </c>
      <c r="O1100" s="85" t="s">
        <v>2657</v>
      </c>
      <c r="P1100" s="86" t="s">
        <v>2692</v>
      </c>
      <c r="Q1100" s="87" t="s">
        <v>3208</v>
      </c>
      <c r="R1100" s="87">
        <v>10</v>
      </c>
      <c r="S1100" s="88">
        <v>10.776</v>
      </c>
      <c r="T1100" s="88">
        <v>8.210285714285714</v>
      </c>
      <c r="U1100" s="88">
        <v>8.210285714285714</v>
      </c>
      <c r="V1100" s="87" t="s">
        <v>3061</v>
      </c>
      <c r="W1100" s="87" t="s">
        <v>3116</v>
      </c>
      <c r="X1100" s="90" t="s">
        <v>3477</v>
      </c>
      <c r="Y1100" s="89"/>
      <c r="Z1100" s="89">
        <v>3</v>
      </c>
      <c r="AA1100" s="89"/>
      <c r="AB1100" s="89"/>
    </row>
    <row r="1101" spans="1:28" s="31" customFormat="1" ht="60" customHeight="1" x14ac:dyDescent="0.2">
      <c r="A1101" s="76">
        <v>1100</v>
      </c>
      <c r="B1101" s="77">
        <v>50000663</v>
      </c>
      <c r="C1101" s="78" t="s">
        <v>2658</v>
      </c>
      <c r="D1101" s="79">
        <v>0.05</v>
      </c>
      <c r="E1101" s="80">
        <v>30049099</v>
      </c>
      <c r="F1101" s="81" t="s">
        <v>2659</v>
      </c>
      <c r="G1101" s="82" t="s">
        <v>2660</v>
      </c>
      <c r="H1101" s="82" t="s">
        <v>4081</v>
      </c>
      <c r="I1101" s="79" t="s">
        <v>2666</v>
      </c>
      <c r="J1101" s="83">
        <v>165.82</v>
      </c>
      <c r="K1101" s="83">
        <v>126.33904761904762</v>
      </c>
      <c r="L1101" s="83">
        <v>126.33904761904762</v>
      </c>
      <c r="M1101" s="84">
        <v>126.33904761904762</v>
      </c>
      <c r="N1101" s="59">
        <f t="shared" si="17"/>
        <v>0.23809523809523805</v>
      </c>
      <c r="O1101" s="85" t="s">
        <v>2657</v>
      </c>
      <c r="P1101" s="86" t="s">
        <v>95</v>
      </c>
      <c r="Q1101" s="87" t="s">
        <v>3208</v>
      </c>
      <c r="R1101" s="87">
        <v>10</v>
      </c>
      <c r="S1101" s="88">
        <v>16.582000000000001</v>
      </c>
      <c r="T1101" s="88">
        <v>12.633904761904763</v>
      </c>
      <c r="U1101" s="88">
        <v>12.633904761904763</v>
      </c>
      <c r="V1101" s="87" t="s">
        <v>3061</v>
      </c>
      <c r="W1101" s="87" t="s">
        <v>3116</v>
      </c>
      <c r="X1101" s="90" t="s">
        <v>3477</v>
      </c>
      <c r="Y1101" s="89"/>
      <c r="Z1101" s="89">
        <v>2</v>
      </c>
      <c r="AA1101" s="89"/>
      <c r="AB1101" s="89"/>
    </row>
    <row r="1102" spans="1:28" s="31" customFormat="1" ht="60" customHeight="1" x14ac:dyDescent="0.2">
      <c r="A1102" s="76">
        <v>1101</v>
      </c>
      <c r="B1102" s="77">
        <v>50005847</v>
      </c>
      <c r="C1102" s="78" t="s">
        <v>4203</v>
      </c>
      <c r="D1102" s="79">
        <v>0.05</v>
      </c>
      <c r="E1102" s="80">
        <v>30049099</v>
      </c>
      <c r="F1102" s="81" t="s">
        <v>4204</v>
      </c>
      <c r="G1102" s="82" t="s">
        <v>4213</v>
      </c>
      <c r="H1102" s="82" t="s">
        <v>4214</v>
      </c>
      <c r="I1102" s="79" t="s">
        <v>2693</v>
      </c>
      <c r="J1102" s="83">
        <v>215.4</v>
      </c>
      <c r="K1102" s="83">
        <v>164.1142857142857</v>
      </c>
      <c r="L1102" s="83">
        <v>164.1142857142857</v>
      </c>
      <c r="M1102" s="84">
        <v>164.1142857142857</v>
      </c>
      <c r="N1102" s="59">
        <f t="shared" si="17"/>
        <v>0.23809523809523819</v>
      </c>
      <c r="O1102" s="85" t="s">
        <v>2657</v>
      </c>
      <c r="P1102" s="86" t="s">
        <v>4866</v>
      </c>
      <c r="Q1102" s="87" t="s">
        <v>3208</v>
      </c>
      <c r="R1102" s="87">
        <v>10</v>
      </c>
      <c r="S1102" s="88">
        <v>21.54</v>
      </c>
      <c r="T1102" s="88">
        <v>16.411428571428569</v>
      </c>
      <c r="U1102" s="88">
        <v>16.411428571428569</v>
      </c>
      <c r="V1102" s="87" t="s">
        <v>3061</v>
      </c>
      <c r="W1102" s="87" t="s">
        <v>3116</v>
      </c>
      <c r="X1102" s="90" t="s">
        <v>3478</v>
      </c>
      <c r="Y1102" s="89"/>
      <c r="Z1102" s="89"/>
      <c r="AA1102" s="89"/>
      <c r="AB1102" s="89"/>
    </row>
    <row r="1103" spans="1:28" s="31" customFormat="1" ht="60" customHeight="1" x14ac:dyDescent="0.2">
      <c r="A1103" s="76">
        <v>1102</v>
      </c>
      <c r="B1103" s="77">
        <v>50005442</v>
      </c>
      <c r="C1103" s="78" t="s">
        <v>3425</v>
      </c>
      <c r="D1103" s="79">
        <v>0.05</v>
      </c>
      <c r="E1103" s="80">
        <v>30049099</v>
      </c>
      <c r="F1103" s="81" t="s">
        <v>3431</v>
      </c>
      <c r="G1103" s="82" t="s">
        <v>3452</v>
      </c>
      <c r="H1103" s="82" t="s">
        <v>3444</v>
      </c>
      <c r="I1103" s="79" t="s">
        <v>2693</v>
      </c>
      <c r="J1103" s="83">
        <v>562.49</v>
      </c>
      <c r="K1103" s="83">
        <v>428.56380952380948</v>
      </c>
      <c r="L1103" s="83">
        <v>428.56380952380948</v>
      </c>
      <c r="M1103" s="84">
        <v>428.56380952380943</v>
      </c>
      <c r="N1103" s="59">
        <f t="shared" si="17"/>
        <v>0.23809523809523828</v>
      </c>
      <c r="O1103" s="85" t="s">
        <v>2657</v>
      </c>
      <c r="P1103" s="86" t="s">
        <v>3333</v>
      </c>
      <c r="Q1103" s="87" t="s">
        <v>3208</v>
      </c>
      <c r="R1103" s="87">
        <v>10</v>
      </c>
      <c r="S1103" s="88">
        <v>56.249000000000002</v>
      </c>
      <c r="T1103" s="88">
        <v>42.856380952380945</v>
      </c>
      <c r="U1103" s="88">
        <v>42.856380952380945</v>
      </c>
      <c r="V1103" s="87" t="s">
        <v>3061</v>
      </c>
      <c r="W1103" s="87" t="s">
        <v>3116</v>
      </c>
      <c r="X1103" s="90" t="s">
        <v>3478</v>
      </c>
      <c r="Y1103" s="89"/>
      <c r="Z1103" s="89">
        <v>3</v>
      </c>
      <c r="AA1103" s="89"/>
      <c r="AB1103" s="89"/>
    </row>
    <row r="1104" spans="1:28" s="31" customFormat="1" ht="60" customHeight="1" x14ac:dyDescent="0.2">
      <c r="A1104" s="76">
        <v>1103</v>
      </c>
      <c r="B1104" s="77">
        <v>50005287</v>
      </c>
      <c r="C1104" s="78" t="s">
        <v>3181</v>
      </c>
      <c r="D1104" s="79">
        <v>0.05</v>
      </c>
      <c r="E1104" s="80">
        <v>30049099</v>
      </c>
      <c r="F1104" s="81" t="s">
        <v>3182</v>
      </c>
      <c r="G1104" s="82" t="s">
        <v>625</v>
      </c>
      <c r="H1104" s="82" t="s">
        <v>323</v>
      </c>
      <c r="I1104" s="79" t="s">
        <v>2669</v>
      </c>
      <c r="J1104" s="83">
        <v>119.21</v>
      </c>
      <c r="K1104" s="83">
        <v>90.826666666666668</v>
      </c>
      <c r="L1104" s="83">
        <v>90.826666666666668</v>
      </c>
      <c r="M1104" s="84">
        <v>90.826666666666682</v>
      </c>
      <c r="N1104" s="59">
        <f t="shared" si="17"/>
        <v>0.23809523809523792</v>
      </c>
      <c r="O1104" s="85" t="s">
        <v>2657</v>
      </c>
      <c r="P1104" s="86" t="s">
        <v>3196</v>
      </c>
      <c r="Q1104" s="87" t="s">
        <v>3207</v>
      </c>
      <c r="R1104" s="87">
        <v>14</v>
      </c>
      <c r="S1104" s="88">
        <v>8.5149999999999988</v>
      </c>
      <c r="T1104" s="88">
        <v>6.4876190476190478</v>
      </c>
      <c r="U1104" s="88">
        <v>6.4876190476190487</v>
      </c>
      <c r="V1104" s="87" t="s">
        <v>3061</v>
      </c>
      <c r="W1104" s="87" t="s">
        <v>3113</v>
      </c>
      <c r="X1104" s="90" t="s">
        <v>3477</v>
      </c>
      <c r="Y1104" s="89"/>
      <c r="Z1104" s="89">
        <v>3</v>
      </c>
      <c r="AA1104" s="89"/>
      <c r="AB1104" s="89"/>
    </row>
    <row r="1105" spans="1:28" s="31" customFormat="1" ht="60" customHeight="1" x14ac:dyDescent="0.2">
      <c r="A1105" s="76">
        <v>1104</v>
      </c>
      <c r="B1105" s="77">
        <v>50005237</v>
      </c>
      <c r="C1105" s="78" t="s">
        <v>3366</v>
      </c>
      <c r="D1105" s="79">
        <v>0.05</v>
      </c>
      <c r="E1105" s="80">
        <v>30049099</v>
      </c>
      <c r="F1105" s="81" t="s">
        <v>3383</v>
      </c>
      <c r="G1105" s="82" t="s">
        <v>3396</v>
      </c>
      <c r="H1105" s="82" t="s">
        <v>3688</v>
      </c>
      <c r="I1105" s="79" t="s">
        <v>2666</v>
      </c>
      <c r="J1105" s="83">
        <v>247.48</v>
      </c>
      <c r="K1105" s="83">
        <v>188.55619047619047</v>
      </c>
      <c r="L1105" s="83">
        <v>188.55619047619047</v>
      </c>
      <c r="M1105" s="84">
        <v>188.55619047619047</v>
      </c>
      <c r="N1105" s="59">
        <f t="shared" si="17"/>
        <v>0.23809523809523811</v>
      </c>
      <c r="O1105" s="85" t="s">
        <v>2657</v>
      </c>
      <c r="P1105" s="86" t="s">
        <v>123</v>
      </c>
      <c r="Q1105" s="87" t="s">
        <v>3208</v>
      </c>
      <c r="R1105" s="87">
        <v>10</v>
      </c>
      <c r="S1105" s="88">
        <v>24.747999999999998</v>
      </c>
      <c r="T1105" s="88">
        <v>18.855619047619047</v>
      </c>
      <c r="U1105" s="88">
        <v>18.855619047619047</v>
      </c>
      <c r="V1105" s="87" t="s">
        <v>3061</v>
      </c>
      <c r="W1105" s="87" t="s">
        <v>3116</v>
      </c>
      <c r="X1105" s="90" t="s">
        <v>3477</v>
      </c>
      <c r="Y1105" s="89"/>
      <c r="Z1105" s="89">
        <v>3</v>
      </c>
      <c r="AA1105" s="89"/>
      <c r="AB1105" s="89"/>
    </row>
    <row r="1106" spans="1:28" s="31" customFormat="1" ht="60" customHeight="1" x14ac:dyDescent="0.2">
      <c r="A1106" s="76">
        <v>1105</v>
      </c>
      <c r="B1106" s="77">
        <v>50005245</v>
      </c>
      <c r="C1106" s="78" t="s">
        <v>3295</v>
      </c>
      <c r="D1106" s="79">
        <v>0.05</v>
      </c>
      <c r="E1106" s="80">
        <v>30049099</v>
      </c>
      <c r="F1106" s="81" t="s">
        <v>3297</v>
      </c>
      <c r="G1106" s="82" t="s">
        <v>4719</v>
      </c>
      <c r="H1106" s="82" t="s">
        <v>3664</v>
      </c>
      <c r="I1106" s="79" t="s">
        <v>2666</v>
      </c>
      <c r="J1106" s="83">
        <v>423.83</v>
      </c>
      <c r="K1106" s="83">
        <v>322.91809523809525</v>
      </c>
      <c r="L1106" s="83">
        <v>322.91809523809525</v>
      </c>
      <c r="M1106" s="84">
        <v>322.91809523809525</v>
      </c>
      <c r="N1106" s="59">
        <f t="shared" si="17"/>
        <v>0.23809523809523805</v>
      </c>
      <c r="O1106" s="85" t="s">
        <v>2657</v>
      </c>
      <c r="P1106" s="86" t="s">
        <v>123</v>
      </c>
      <c r="Q1106" s="87" t="s">
        <v>3208</v>
      </c>
      <c r="R1106" s="87">
        <v>10</v>
      </c>
      <c r="S1106" s="88">
        <v>42.382999999999996</v>
      </c>
      <c r="T1106" s="88">
        <v>32.291809523809526</v>
      </c>
      <c r="U1106" s="88">
        <v>32.291809523809526</v>
      </c>
      <c r="V1106" s="87" t="s">
        <v>3061</v>
      </c>
      <c r="W1106" s="87" t="s">
        <v>3116</v>
      </c>
      <c r="X1106" s="90" t="s">
        <v>3477</v>
      </c>
      <c r="Y1106" s="89"/>
      <c r="Z1106" s="89">
        <v>3</v>
      </c>
      <c r="AA1106" s="89"/>
      <c r="AB1106" s="89" t="s">
        <v>4613</v>
      </c>
    </row>
    <row r="1107" spans="1:28" s="31" customFormat="1" ht="60" customHeight="1" x14ac:dyDescent="0.2">
      <c r="A1107" s="76">
        <v>1106</v>
      </c>
      <c r="B1107" s="77">
        <v>50005241</v>
      </c>
      <c r="C1107" s="78" t="s">
        <v>3367</v>
      </c>
      <c r="D1107" s="79">
        <v>0.05</v>
      </c>
      <c r="E1107" s="80">
        <v>30049099</v>
      </c>
      <c r="F1107" s="81" t="s">
        <v>3384</v>
      </c>
      <c r="G1107" s="82" t="s">
        <v>3397</v>
      </c>
      <c r="H1107" s="82" t="s">
        <v>1714</v>
      </c>
      <c r="I1107" s="79" t="s">
        <v>2666</v>
      </c>
      <c r="J1107" s="83">
        <v>371.23</v>
      </c>
      <c r="K1107" s="83">
        <v>282.84190476190474</v>
      </c>
      <c r="L1107" s="83">
        <v>282.84190476190474</v>
      </c>
      <c r="M1107" s="84">
        <v>282.84190476190474</v>
      </c>
      <c r="N1107" s="59">
        <f t="shared" si="17"/>
        <v>0.23809523809523819</v>
      </c>
      <c r="O1107" s="85" t="s">
        <v>2657</v>
      </c>
      <c r="P1107" s="86" t="s">
        <v>123</v>
      </c>
      <c r="Q1107" s="87" t="s">
        <v>3208</v>
      </c>
      <c r="R1107" s="87">
        <v>10</v>
      </c>
      <c r="S1107" s="88">
        <v>37.123000000000005</v>
      </c>
      <c r="T1107" s="88">
        <v>28.284190476190474</v>
      </c>
      <c r="U1107" s="88">
        <v>28.284190476190474</v>
      </c>
      <c r="V1107" s="87" t="s">
        <v>3061</v>
      </c>
      <c r="W1107" s="87" t="s">
        <v>3116</v>
      </c>
      <c r="X1107" s="90" t="s">
        <v>3477</v>
      </c>
      <c r="Y1107" s="89"/>
      <c r="Z1107" s="89">
        <v>3</v>
      </c>
      <c r="AA1107" s="89"/>
      <c r="AB1107" s="89" t="s">
        <v>4613</v>
      </c>
    </row>
    <row r="1108" spans="1:28" s="31" customFormat="1" ht="60" customHeight="1" x14ac:dyDescent="0.2">
      <c r="A1108" s="76">
        <v>1107</v>
      </c>
      <c r="B1108" s="77">
        <v>50005240</v>
      </c>
      <c r="C1108" s="78" t="s">
        <v>3296</v>
      </c>
      <c r="D1108" s="79">
        <v>0.05</v>
      </c>
      <c r="E1108" s="80">
        <v>30049099</v>
      </c>
      <c r="F1108" s="81" t="s">
        <v>3298</v>
      </c>
      <c r="G1108" s="82" t="s">
        <v>3420</v>
      </c>
      <c r="H1108" s="82" t="s">
        <v>3421</v>
      </c>
      <c r="I1108" s="79" t="s">
        <v>2666</v>
      </c>
      <c r="J1108" s="83">
        <v>546.54999999999995</v>
      </c>
      <c r="K1108" s="83">
        <v>416.41904761904755</v>
      </c>
      <c r="L1108" s="83">
        <v>416.41904761904755</v>
      </c>
      <c r="M1108" s="84">
        <v>416.41904761904749</v>
      </c>
      <c r="N1108" s="59">
        <f t="shared" si="17"/>
        <v>0.23809523809523828</v>
      </c>
      <c r="O1108" s="85" t="s">
        <v>2657</v>
      </c>
      <c r="P1108" s="86" t="s">
        <v>123</v>
      </c>
      <c r="Q1108" s="87" t="s">
        <v>3208</v>
      </c>
      <c r="R1108" s="87">
        <v>10</v>
      </c>
      <c r="S1108" s="88">
        <v>54.654999999999994</v>
      </c>
      <c r="T1108" s="88">
        <v>41.641904761904755</v>
      </c>
      <c r="U1108" s="88">
        <v>41.641904761904748</v>
      </c>
      <c r="V1108" s="87" t="s">
        <v>3061</v>
      </c>
      <c r="W1108" s="87" t="s">
        <v>3116</v>
      </c>
      <c r="X1108" s="90" t="s">
        <v>3477</v>
      </c>
      <c r="Y1108" s="89"/>
      <c r="Z1108" s="89">
        <v>3</v>
      </c>
      <c r="AA1108" s="89"/>
      <c r="AB1108" s="89" t="s">
        <v>4613</v>
      </c>
    </row>
    <row r="1109" spans="1:28" s="31" customFormat="1" ht="60" customHeight="1" x14ac:dyDescent="0.2">
      <c r="A1109" s="76">
        <v>1108</v>
      </c>
      <c r="B1109" s="77">
        <v>50005244</v>
      </c>
      <c r="C1109" s="78" t="s">
        <v>3368</v>
      </c>
      <c r="D1109" s="79">
        <v>0.05</v>
      </c>
      <c r="E1109" s="80">
        <v>30049099</v>
      </c>
      <c r="F1109" s="81" t="s">
        <v>3385</v>
      </c>
      <c r="G1109" s="82" t="s">
        <v>3398</v>
      </c>
      <c r="H1109" s="82" t="s">
        <v>3698</v>
      </c>
      <c r="I1109" s="79" t="s">
        <v>2666</v>
      </c>
      <c r="J1109" s="83">
        <v>178.12</v>
      </c>
      <c r="K1109" s="83">
        <v>135.71047619047619</v>
      </c>
      <c r="L1109" s="83">
        <v>135.71047619047619</v>
      </c>
      <c r="M1109" s="84">
        <v>135.71047619047619</v>
      </c>
      <c r="N1109" s="59">
        <f t="shared" si="17"/>
        <v>0.23809523809523814</v>
      </c>
      <c r="O1109" s="85" t="s">
        <v>2657</v>
      </c>
      <c r="P1109" s="86" t="s">
        <v>3196</v>
      </c>
      <c r="Q1109" s="87" t="s">
        <v>3208</v>
      </c>
      <c r="R1109" s="87">
        <v>10</v>
      </c>
      <c r="S1109" s="88">
        <v>17.812000000000001</v>
      </c>
      <c r="T1109" s="88">
        <v>13.571047619047619</v>
      </c>
      <c r="U1109" s="88">
        <v>13.571047619047619</v>
      </c>
      <c r="V1109" s="87" t="s">
        <v>3061</v>
      </c>
      <c r="W1109" s="87" t="s">
        <v>3116</v>
      </c>
      <c r="X1109" s="90" t="s">
        <v>3477</v>
      </c>
      <c r="Y1109" s="89"/>
      <c r="Z1109" s="89">
        <v>3</v>
      </c>
      <c r="AA1109" s="89"/>
      <c r="AB1109" s="89"/>
    </row>
    <row r="1110" spans="1:28" s="31" customFormat="1" ht="60" customHeight="1" x14ac:dyDescent="0.2">
      <c r="A1110" s="76">
        <v>1109</v>
      </c>
      <c r="B1110" s="77">
        <v>50005243</v>
      </c>
      <c r="C1110" s="78" t="s">
        <v>3369</v>
      </c>
      <c r="D1110" s="79">
        <v>0.05</v>
      </c>
      <c r="E1110" s="80">
        <v>30049099</v>
      </c>
      <c r="F1110" s="81" t="s">
        <v>3386</v>
      </c>
      <c r="G1110" s="82" t="s">
        <v>3399</v>
      </c>
      <c r="H1110" s="82" t="s">
        <v>3699</v>
      </c>
      <c r="I1110" s="79" t="s">
        <v>2666</v>
      </c>
      <c r="J1110" s="83">
        <v>309.36</v>
      </c>
      <c r="K1110" s="83">
        <v>235.70285714285714</v>
      </c>
      <c r="L1110" s="83">
        <v>235.70285714285714</v>
      </c>
      <c r="M1110" s="84">
        <v>235.70285714285711</v>
      </c>
      <c r="N1110" s="59">
        <f t="shared" si="17"/>
        <v>0.23809523809523822</v>
      </c>
      <c r="O1110" s="85" t="s">
        <v>2657</v>
      </c>
      <c r="P1110" s="86" t="s">
        <v>3196</v>
      </c>
      <c r="Q1110" s="87" t="s">
        <v>3208</v>
      </c>
      <c r="R1110" s="87">
        <v>10</v>
      </c>
      <c r="S1110" s="88">
        <v>30.936</v>
      </c>
      <c r="T1110" s="88">
        <v>23.570285714285713</v>
      </c>
      <c r="U1110" s="88">
        <v>23.57028571428571</v>
      </c>
      <c r="V1110" s="87" t="s">
        <v>3061</v>
      </c>
      <c r="W1110" s="87" t="s">
        <v>3116</v>
      </c>
      <c r="X1110" s="90" t="s">
        <v>3477</v>
      </c>
      <c r="Y1110" s="89"/>
      <c r="Z1110" s="89">
        <v>3</v>
      </c>
      <c r="AA1110" s="89"/>
      <c r="AB1110" s="89"/>
    </row>
    <row r="1111" spans="1:28" s="31" customFormat="1" ht="60" customHeight="1" x14ac:dyDescent="0.2">
      <c r="A1111" s="76">
        <v>1110</v>
      </c>
      <c r="B1111" s="77">
        <v>50005239</v>
      </c>
      <c r="C1111" s="78" t="s">
        <v>3426</v>
      </c>
      <c r="D1111" s="79">
        <v>0.05</v>
      </c>
      <c r="E1111" s="80">
        <v>30049099</v>
      </c>
      <c r="F1111" s="81" t="s">
        <v>3432</v>
      </c>
      <c r="G1111" s="82" t="s">
        <v>3453</v>
      </c>
      <c r="H1111" s="82" t="s">
        <v>3445</v>
      </c>
      <c r="I1111" s="79" t="s">
        <v>2666</v>
      </c>
      <c r="J1111" s="83">
        <v>453.73</v>
      </c>
      <c r="K1111" s="83">
        <v>345.69904761904763</v>
      </c>
      <c r="L1111" s="83">
        <v>345.69904761904763</v>
      </c>
      <c r="M1111" s="84">
        <v>345.69904761904758</v>
      </c>
      <c r="N1111" s="59">
        <f t="shared" si="17"/>
        <v>0.23809523809523822</v>
      </c>
      <c r="O1111" s="85" t="s">
        <v>2657</v>
      </c>
      <c r="P1111" s="86" t="s">
        <v>3435</v>
      </c>
      <c r="Q1111" s="87" t="s">
        <v>3208</v>
      </c>
      <c r="R1111" s="87">
        <v>10</v>
      </c>
      <c r="S1111" s="88">
        <v>45.373000000000005</v>
      </c>
      <c r="T1111" s="88">
        <v>34.569904761904766</v>
      </c>
      <c r="U1111" s="88">
        <v>34.569904761904759</v>
      </c>
      <c r="V1111" s="87" t="s">
        <v>3061</v>
      </c>
      <c r="W1111" s="87" t="s">
        <v>3116</v>
      </c>
      <c r="X1111" s="90" t="s">
        <v>3477</v>
      </c>
      <c r="Y1111" s="89"/>
      <c r="Z1111" s="89">
        <v>3</v>
      </c>
      <c r="AA1111" s="89"/>
      <c r="AB1111" s="89"/>
    </row>
    <row r="1112" spans="1:28" s="31" customFormat="1" ht="60" customHeight="1" x14ac:dyDescent="0.2">
      <c r="A1112" s="76">
        <v>1111</v>
      </c>
      <c r="B1112" s="77">
        <v>50005238</v>
      </c>
      <c r="C1112" s="78" t="s">
        <v>3408</v>
      </c>
      <c r="D1112" s="79">
        <v>0.05</v>
      </c>
      <c r="E1112" s="80">
        <v>30049099</v>
      </c>
      <c r="F1112" s="81" t="s">
        <v>3411</v>
      </c>
      <c r="G1112" s="82" t="s">
        <v>3413</v>
      </c>
      <c r="H1112" s="82" t="s">
        <v>3414</v>
      </c>
      <c r="I1112" s="79" t="s">
        <v>2666</v>
      </c>
      <c r="J1112" s="83">
        <v>412.49</v>
      </c>
      <c r="K1112" s="83">
        <v>314.27809523809526</v>
      </c>
      <c r="L1112" s="83">
        <v>314.27809523809526</v>
      </c>
      <c r="M1112" s="84">
        <v>314.2780952380952</v>
      </c>
      <c r="N1112" s="59">
        <f t="shared" si="17"/>
        <v>0.23809523809523819</v>
      </c>
      <c r="O1112" s="85" t="s">
        <v>2657</v>
      </c>
      <c r="P1112" s="86" t="s">
        <v>3333</v>
      </c>
      <c r="Q1112" s="87" t="s">
        <v>3208</v>
      </c>
      <c r="R1112" s="87">
        <v>10</v>
      </c>
      <c r="S1112" s="88">
        <v>41.249000000000002</v>
      </c>
      <c r="T1112" s="88">
        <v>31.427809523809525</v>
      </c>
      <c r="U1112" s="88">
        <v>31.427809523809522</v>
      </c>
      <c r="V1112" s="87" t="s">
        <v>3061</v>
      </c>
      <c r="W1112" s="87" t="s">
        <v>3116</v>
      </c>
      <c r="X1112" s="90" t="s">
        <v>3477</v>
      </c>
      <c r="Y1112" s="89"/>
      <c r="Z1112" s="89">
        <v>3</v>
      </c>
      <c r="AA1112" s="89"/>
      <c r="AB1112" s="89"/>
    </row>
    <row r="1113" spans="1:28" s="31" customFormat="1" ht="60" customHeight="1" x14ac:dyDescent="0.2">
      <c r="A1113" s="76">
        <v>1112</v>
      </c>
      <c r="B1113" s="77">
        <v>50005242</v>
      </c>
      <c r="C1113" s="78" t="s">
        <v>3427</v>
      </c>
      <c r="D1113" s="79">
        <v>0.05</v>
      </c>
      <c r="E1113" s="80">
        <v>30049099</v>
      </c>
      <c r="F1113" s="81" t="s">
        <v>3433</v>
      </c>
      <c r="G1113" s="82" t="s">
        <v>3454</v>
      </c>
      <c r="H1113" s="82" t="s">
        <v>3446</v>
      </c>
      <c r="I1113" s="79" t="s">
        <v>2666</v>
      </c>
      <c r="J1113" s="83">
        <v>506.24</v>
      </c>
      <c r="K1113" s="83">
        <v>385.70666666666665</v>
      </c>
      <c r="L1113" s="83">
        <v>385.70666666666665</v>
      </c>
      <c r="M1113" s="84">
        <v>385.70666666666665</v>
      </c>
      <c r="N1113" s="59">
        <f t="shared" si="17"/>
        <v>0.23809523809523814</v>
      </c>
      <c r="O1113" s="85" t="s">
        <v>2657</v>
      </c>
      <c r="P1113" s="86" t="s">
        <v>3333</v>
      </c>
      <c r="Q1113" s="87" t="s">
        <v>3208</v>
      </c>
      <c r="R1113" s="87">
        <v>10</v>
      </c>
      <c r="S1113" s="88">
        <v>50.624000000000002</v>
      </c>
      <c r="T1113" s="88">
        <v>38.570666666666668</v>
      </c>
      <c r="U1113" s="88">
        <v>38.570666666666668</v>
      </c>
      <c r="V1113" s="87" t="s">
        <v>3061</v>
      </c>
      <c r="W1113" s="87" t="s">
        <v>3116</v>
      </c>
      <c r="X1113" s="90" t="s">
        <v>3477</v>
      </c>
      <c r="Y1113" s="89"/>
      <c r="Z1113" s="89">
        <v>3</v>
      </c>
      <c r="AA1113" s="89"/>
      <c r="AB1113" s="89"/>
    </row>
    <row r="1114" spans="1:28" s="31" customFormat="1" ht="60" customHeight="1" x14ac:dyDescent="0.2">
      <c r="A1114" s="76">
        <v>1113</v>
      </c>
      <c r="B1114" s="77">
        <v>50005609</v>
      </c>
      <c r="C1114" s="78" t="s">
        <v>4205</v>
      </c>
      <c r="D1114" s="79">
        <v>0.05</v>
      </c>
      <c r="E1114" s="80">
        <v>21069099</v>
      </c>
      <c r="F1114" s="81" t="s">
        <v>4206</v>
      </c>
      <c r="G1114" s="82" t="s">
        <v>4206</v>
      </c>
      <c r="H1114" s="82"/>
      <c r="I1114" s="79" t="s">
        <v>4207</v>
      </c>
      <c r="J1114" s="83">
        <v>799</v>
      </c>
      <c r="K1114" s="83">
        <v>608.76190476190482</v>
      </c>
      <c r="L1114" s="83">
        <v>608.76190476190482</v>
      </c>
      <c r="M1114" s="84">
        <v>608.76190476190482</v>
      </c>
      <c r="N1114" s="59">
        <f t="shared" si="17"/>
        <v>0.23809523809523803</v>
      </c>
      <c r="O1114" s="85" t="s">
        <v>4208</v>
      </c>
      <c r="P1114" s="86" t="s">
        <v>4210</v>
      </c>
      <c r="Q1114" s="87" t="s">
        <v>3208</v>
      </c>
      <c r="R1114" s="87">
        <v>1</v>
      </c>
      <c r="S1114" s="88">
        <v>799</v>
      </c>
      <c r="T1114" s="88">
        <v>608.76190476190482</v>
      </c>
      <c r="U1114" s="88">
        <v>608.76190476190482</v>
      </c>
      <c r="V1114" s="87" t="s">
        <v>3064</v>
      </c>
      <c r="W1114" s="87" t="s">
        <v>3108</v>
      </c>
      <c r="X1114" s="90" t="s">
        <v>3490</v>
      </c>
      <c r="Y1114" s="89"/>
      <c r="Z1114" s="89"/>
      <c r="AA1114" s="89"/>
      <c r="AB1114" s="89"/>
    </row>
    <row r="1115" spans="1:28" s="31" customFormat="1" ht="60" customHeight="1" x14ac:dyDescent="0.2">
      <c r="A1115" s="76">
        <v>1114</v>
      </c>
      <c r="B1115" s="77">
        <v>50005607</v>
      </c>
      <c r="C1115" s="78" t="s">
        <v>4230</v>
      </c>
      <c r="D1115" s="79">
        <v>0.05</v>
      </c>
      <c r="E1115" s="80">
        <v>21069099</v>
      </c>
      <c r="F1115" s="81" t="s">
        <v>4242</v>
      </c>
      <c r="G1115" s="82" t="s">
        <v>4242</v>
      </c>
      <c r="H1115" s="82"/>
      <c r="I1115" s="79" t="s">
        <v>2871</v>
      </c>
      <c r="J1115" s="83">
        <v>355</v>
      </c>
      <c r="K1115" s="83">
        <v>270.47619047619048</v>
      </c>
      <c r="L1115" s="83">
        <v>270.47619047619048</v>
      </c>
      <c r="M1115" s="84">
        <v>270.47619047619048</v>
      </c>
      <c r="N1115" s="59">
        <f t="shared" si="17"/>
        <v>0.23809523809523808</v>
      </c>
      <c r="O1115" s="85" t="s">
        <v>4208</v>
      </c>
      <c r="P1115" s="86" t="s">
        <v>4210</v>
      </c>
      <c r="Q1115" s="87" t="s">
        <v>3208</v>
      </c>
      <c r="R1115" s="87">
        <v>1</v>
      </c>
      <c r="S1115" s="88">
        <v>355</v>
      </c>
      <c r="T1115" s="88">
        <v>270.47619047619048</v>
      </c>
      <c r="U1115" s="88">
        <v>270.47619047619048</v>
      </c>
      <c r="V1115" s="87" t="s">
        <v>3064</v>
      </c>
      <c r="W1115" s="87" t="s">
        <v>3108</v>
      </c>
      <c r="X1115" s="90" t="s">
        <v>3490</v>
      </c>
      <c r="Y1115" s="89"/>
      <c r="Z1115" s="89"/>
      <c r="AA1115" s="89"/>
      <c r="AB1115" s="89"/>
    </row>
    <row r="1116" spans="1:28" s="31" customFormat="1" ht="60" customHeight="1" x14ac:dyDescent="0.2">
      <c r="A1116" s="76">
        <v>1115</v>
      </c>
      <c r="B1116" s="77">
        <v>50005606</v>
      </c>
      <c r="C1116" s="78" t="s">
        <v>4230</v>
      </c>
      <c r="D1116" s="79">
        <v>0.05</v>
      </c>
      <c r="E1116" s="80">
        <v>21069099</v>
      </c>
      <c r="F1116" s="81" t="s">
        <v>4243</v>
      </c>
      <c r="G1116" s="82" t="s">
        <v>4243</v>
      </c>
      <c r="H1116" s="82"/>
      <c r="I1116" s="79" t="s">
        <v>4207</v>
      </c>
      <c r="J1116" s="83">
        <v>621</v>
      </c>
      <c r="K1116" s="83">
        <v>473.14285714285717</v>
      </c>
      <c r="L1116" s="83">
        <v>473.14285714285717</v>
      </c>
      <c r="M1116" s="84">
        <v>473.14285714285717</v>
      </c>
      <c r="N1116" s="59">
        <f t="shared" si="17"/>
        <v>0.23809523809523805</v>
      </c>
      <c r="O1116" s="85" t="s">
        <v>4208</v>
      </c>
      <c r="P1116" s="86" t="s">
        <v>4210</v>
      </c>
      <c r="Q1116" s="87" t="s">
        <v>3208</v>
      </c>
      <c r="R1116" s="87">
        <v>1</v>
      </c>
      <c r="S1116" s="88">
        <v>621</v>
      </c>
      <c r="T1116" s="88">
        <v>473.14285714285717</v>
      </c>
      <c r="U1116" s="88">
        <v>473.14285714285717</v>
      </c>
      <c r="V1116" s="87" t="s">
        <v>3064</v>
      </c>
      <c r="W1116" s="87" t="s">
        <v>3108</v>
      </c>
      <c r="X1116" s="90" t="s">
        <v>3490</v>
      </c>
      <c r="Y1116" s="89"/>
      <c r="Z1116" s="89"/>
      <c r="AA1116" s="89"/>
      <c r="AB1116" s="89"/>
    </row>
    <row r="1117" spans="1:28" s="31" customFormat="1" ht="60" customHeight="1" x14ac:dyDescent="0.2">
      <c r="A1117" s="76">
        <v>1116</v>
      </c>
      <c r="B1117" s="77">
        <v>50005602</v>
      </c>
      <c r="C1117" s="78" t="s">
        <v>4231</v>
      </c>
      <c r="D1117" s="79">
        <v>0.05</v>
      </c>
      <c r="E1117" s="80">
        <v>21069099</v>
      </c>
      <c r="F1117" s="81" t="s">
        <v>4244</v>
      </c>
      <c r="G1117" s="82" t="s">
        <v>4244</v>
      </c>
      <c r="H1117" s="82"/>
      <c r="I1117" s="79" t="s">
        <v>4207</v>
      </c>
      <c r="J1117" s="83">
        <v>1155</v>
      </c>
      <c r="K1117" s="83">
        <v>880</v>
      </c>
      <c r="L1117" s="83">
        <v>880</v>
      </c>
      <c r="M1117" s="84">
        <v>880</v>
      </c>
      <c r="N1117" s="59">
        <f t="shared" si="17"/>
        <v>0.23809523809523808</v>
      </c>
      <c r="O1117" s="85" t="s">
        <v>4208</v>
      </c>
      <c r="P1117" s="86" t="s">
        <v>4210</v>
      </c>
      <c r="Q1117" s="87" t="s">
        <v>3208</v>
      </c>
      <c r="R1117" s="87">
        <v>1</v>
      </c>
      <c r="S1117" s="88">
        <v>1155</v>
      </c>
      <c r="T1117" s="88">
        <v>880</v>
      </c>
      <c r="U1117" s="88">
        <v>880</v>
      </c>
      <c r="V1117" s="87" t="s">
        <v>3064</v>
      </c>
      <c r="W1117" s="87" t="s">
        <v>3108</v>
      </c>
      <c r="X1117" s="90" t="s">
        <v>3490</v>
      </c>
      <c r="Y1117" s="89"/>
      <c r="Z1117" s="89"/>
      <c r="AA1117" s="89"/>
      <c r="AB1117" s="89"/>
    </row>
    <row r="1118" spans="1:28" s="31" customFormat="1" ht="60" customHeight="1" x14ac:dyDescent="0.2">
      <c r="A1118" s="76">
        <v>1117</v>
      </c>
      <c r="B1118" s="77">
        <v>50005948</v>
      </c>
      <c r="C1118" s="78" t="s">
        <v>4693</v>
      </c>
      <c r="D1118" s="79">
        <v>0.05</v>
      </c>
      <c r="E1118" s="80">
        <v>21069099</v>
      </c>
      <c r="F1118" s="81" t="s">
        <v>4694</v>
      </c>
      <c r="G1118" s="82" t="str">
        <f>F1118</f>
        <v>Each serving per 30gm contains: (approx.)
Vitamins
Vitamin A......270.00 mcg
Vitamin D3......4.50mcg
VitaminE.....1.50 mg
Vitamin K2.....8.40 mcg
Vitamin B1.....0.60 mg
Vitamin B2......0.81mg
Niacin...........3.90 mg
Vitamin B6.....0.69 mg
Folic Acid......102.60 mcg
PantothenicAcid....1.50 mg
Biotin.......12.00 mcg
Vitamin B12......0.74 mcg
Vitamin C.......24.00 mg
Minerals
Calcium......315.00 mg
Phosphorous.......214.50 mg
Potasium.......339.00 mg
Chloride........153.00 mg
Magnesium....132.00 mg
Iron..........8.10 mg
Zinc........4.35 mg
Manganese......0.60 mg
Copper......0.26 mg
Iodine......33.00 mcg
Selenium......12.00mcg
Chromium.....7.50 mcg
Molybdenum.....6.90 mcg
Others
DHA........30.00mg
Choline.....75.00 mg</v>
      </c>
      <c r="H1118" s="82"/>
      <c r="I1118" s="79" t="s">
        <v>2871</v>
      </c>
      <c r="J1118" s="83">
        <v>500</v>
      </c>
      <c r="K1118" s="83">
        <v>380.95238095238096</v>
      </c>
      <c r="L1118" s="83">
        <v>380.95238095238096</v>
      </c>
      <c r="M1118" s="84">
        <v>380.95238095238096</v>
      </c>
      <c r="N1118" s="59">
        <f t="shared" si="17"/>
        <v>0.23809523809523808</v>
      </c>
      <c r="O1118" s="85" t="s">
        <v>4208</v>
      </c>
      <c r="P1118" s="86" t="s">
        <v>4210</v>
      </c>
      <c r="Q1118" s="87" t="s">
        <v>3208</v>
      </c>
      <c r="R1118" s="87">
        <v>1</v>
      </c>
      <c r="S1118" s="88">
        <v>500</v>
      </c>
      <c r="T1118" s="88">
        <v>380.95238095238096</v>
      </c>
      <c r="U1118" s="88">
        <v>380.95238095238096</v>
      </c>
      <c r="V1118" s="87" t="s">
        <v>3064</v>
      </c>
      <c r="W1118" s="87" t="s">
        <v>3108</v>
      </c>
      <c r="X1118" s="90" t="s">
        <v>3490</v>
      </c>
      <c r="Y1118" s="89"/>
      <c r="Z1118" s="89"/>
      <c r="AA1118" s="89"/>
      <c r="AB1118" s="89"/>
    </row>
    <row r="1119" spans="1:28" s="31" customFormat="1" ht="60" customHeight="1" x14ac:dyDescent="0.2">
      <c r="A1119" s="76">
        <v>1118</v>
      </c>
      <c r="B1119" s="77">
        <v>50005944</v>
      </c>
      <c r="C1119" s="78" t="s">
        <v>4693</v>
      </c>
      <c r="D1119" s="79">
        <v>0.05</v>
      </c>
      <c r="E1119" s="80">
        <v>21069099</v>
      </c>
      <c r="F1119" s="81" t="s">
        <v>4695</v>
      </c>
      <c r="G1119" s="82" t="str">
        <f>F1119</f>
        <v>Each serving per 30gm contains: (approx.)
Vitamins
Vitamin......A270.00 mcg
Vitamin D3......4.50 mcg
VitaminE.........1.50 mg
Vitamin K2......8.40 mcg
Vitamin B1......0.60 mg
Vitamin B2......0.81mg
Niacin............3.90 mg
Vitamin B6......0.69 mg
Folic Acid.......102.60 mcg
PantothenicAcid...1.50 mg
Biotin..............12.00 mcg
Vitamin B12.....0.74 mcg
Vitamin C........24.00mg
Minerals
Calcium...........315.00 mg
Phosphorous....214.50 mg
Potasium.........339.00mg
Chloride..........153.00 mg
Magnesium......132.00 mg
Iron.................8.10 mg
Zinc.................4.35mg
Manganese.......0.60 mg
Copper.............0.26 mg
Iodine...............33.00 mcg
Selenium..........12.00mcg
Chromium.........7.50 mcg
Molybdenum......6.90 mcg
Others
DHA.................30.00mg
Choline.............75.00 mg</v>
      </c>
      <c r="H1119" s="82"/>
      <c r="I1119" s="79" t="s">
        <v>4207</v>
      </c>
      <c r="J1119" s="83">
        <v>850</v>
      </c>
      <c r="K1119" s="83">
        <v>647.61904761904759</v>
      </c>
      <c r="L1119" s="83">
        <v>647.61904761904759</v>
      </c>
      <c r="M1119" s="84">
        <v>647.61904761904759</v>
      </c>
      <c r="N1119" s="59">
        <f t="shared" si="17"/>
        <v>0.23809523809523814</v>
      </c>
      <c r="O1119" s="85" t="s">
        <v>4208</v>
      </c>
      <c r="P1119" s="86" t="s">
        <v>4210</v>
      </c>
      <c r="Q1119" s="87" t="s">
        <v>3208</v>
      </c>
      <c r="R1119" s="87">
        <v>1</v>
      </c>
      <c r="S1119" s="88">
        <v>850</v>
      </c>
      <c r="T1119" s="88">
        <v>647.61904761904759</v>
      </c>
      <c r="U1119" s="88">
        <v>647.61904761904759</v>
      </c>
      <c r="V1119" s="87" t="s">
        <v>3064</v>
      </c>
      <c r="W1119" s="87" t="s">
        <v>3108</v>
      </c>
      <c r="X1119" s="90" t="s">
        <v>3490</v>
      </c>
      <c r="Y1119" s="89"/>
      <c r="Z1119" s="89"/>
      <c r="AA1119" s="89"/>
      <c r="AB1119" s="89"/>
    </row>
    <row r="1120" spans="1:28" s="31" customFormat="1" ht="60" customHeight="1" x14ac:dyDescent="0.2">
      <c r="A1120" s="76">
        <v>1119</v>
      </c>
      <c r="B1120" s="77">
        <v>50005947</v>
      </c>
      <c r="C1120" s="78" t="s">
        <v>4295</v>
      </c>
      <c r="D1120" s="79">
        <v>0.05</v>
      </c>
      <c r="E1120" s="80">
        <v>21069099</v>
      </c>
      <c r="F1120" s="81" t="s">
        <v>4296</v>
      </c>
      <c r="G1120" s="82" t="s">
        <v>4296</v>
      </c>
      <c r="H1120" s="82"/>
      <c r="I1120" s="79" t="s">
        <v>4207</v>
      </c>
      <c r="J1120" s="83">
        <v>842</v>
      </c>
      <c r="K1120" s="83">
        <v>641.52380952380952</v>
      </c>
      <c r="L1120" s="83">
        <v>641.52380952380952</v>
      </c>
      <c r="M1120" s="84">
        <v>641.52380952380952</v>
      </c>
      <c r="N1120" s="59">
        <f t="shared" si="17"/>
        <v>0.23809523809523811</v>
      </c>
      <c r="O1120" s="85" t="s">
        <v>4208</v>
      </c>
      <c r="P1120" s="86" t="s">
        <v>4210</v>
      </c>
      <c r="Q1120" s="87" t="s">
        <v>3208</v>
      </c>
      <c r="R1120" s="87">
        <v>1</v>
      </c>
      <c r="S1120" s="88">
        <v>842</v>
      </c>
      <c r="T1120" s="88">
        <v>641.52380952380952</v>
      </c>
      <c r="U1120" s="88">
        <v>641.52380952380952</v>
      </c>
      <c r="V1120" s="87" t="s">
        <v>3064</v>
      </c>
      <c r="W1120" s="87" t="s">
        <v>3108</v>
      </c>
      <c r="X1120" s="90" t="s">
        <v>3490</v>
      </c>
      <c r="Y1120" s="89"/>
      <c r="Z1120" s="89"/>
      <c r="AA1120" s="89"/>
      <c r="AB1120" s="89"/>
    </row>
    <row r="1121" spans="1:28" s="31" customFormat="1" ht="60" customHeight="1" x14ac:dyDescent="0.2">
      <c r="A1121" s="76">
        <v>1120</v>
      </c>
      <c r="B1121" s="77">
        <v>50005945</v>
      </c>
      <c r="C1121" s="78" t="s">
        <v>4481</v>
      </c>
      <c r="D1121" s="79">
        <v>0.05</v>
      </c>
      <c r="E1121" s="80">
        <v>21069099</v>
      </c>
      <c r="F1121" s="81" t="s">
        <v>4542</v>
      </c>
      <c r="G1121" s="82" t="s">
        <v>4542</v>
      </c>
      <c r="H1121" s="82"/>
      <c r="I1121" s="79" t="s">
        <v>2871</v>
      </c>
      <c r="J1121" s="83">
        <v>465</v>
      </c>
      <c r="K1121" s="83">
        <v>354.28571428571428</v>
      </c>
      <c r="L1121" s="83">
        <v>354.28571428571428</v>
      </c>
      <c r="M1121" s="84">
        <v>354.28571428571428</v>
      </c>
      <c r="N1121" s="59">
        <f t="shared" si="17"/>
        <v>0.23809523809523811</v>
      </c>
      <c r="O1121" s="85" t="s">
        <v>4208</v>
      </c>
      <c r="P1121" s="86" t="s">
        <v>4210</v>
      </c>
      <c r="Q1121" s="87" t="s">
        <v>3208</v>
      </c>
      <c r="R1121" s="87">
        <v>1</v>
      </c>
      <c r="S1121" s="88">
        <v>465</v>
      </c>
      <c r="T1121" s="88">
        <v>354.28571428571428</v>
      </c>
      <c r="U1121" s="88">
        <v>354.28571428571428</v>
      </c>
      <c r="V1121" s="87" t="s">
        <v>3064</v>
      </c>
      <c r="W1121" s="87" t="s">
        <v>3108</v>
      </c>
      <c r="X1121" s="90" t="s">
        <v>3490</v>
      </c>
      <c r="Y1121" s="89"/>
      <c r="Z1121" s="89"/>
      <c r="AA1121" s="89"/>
      <c r="AB1121" s="89"/>
    </row>
    <row r="1122" spans="1:28" s="31" customFormat="1" ht="60" customHeight="1" x14ac:dyDescent="0.2">
      <c r="A1122" s="76">
        <v>1121</v>
      </c>
      <c r="B1122" s="77">
        <v>50005850</v>
      </c>
      <c r="C1122" s="78" t="s">
        <v>4482</v>
      </c>
      <c r="D1122" s="79">
        <v>0.05</v>
      </c>
      <c r="E1122" s="80">
        <v>30049099</v>
      </c>
      <c r="F1122" s="81" t="s">
        <v>4543</v>
      </c>
      <c r="G1122" s="82" t="s">
        <v>4543</v>
      </c>
      <c r="H1122" s="82"/>
      <c r="I1122" s="79" t="s">
        <v>4544</v>
      </c>
      <c r="J1122" s="83">
        <v>928.12</v>
      </c>
      <c r="K1122" s="83">
        <v>707.13904761904757</v>
      </c>
      <c r="L1122" s="83">
        <v>530.35428571428565</v>
      </c>
      <c r="M1122" s="84">
        <v>477.3188571428571</v>
      </c>
      <c r="N1122" s="59">
        <f t="shared" si="17"/>
        <v>0.48571428571428577</v>
      </c>
      <c r="O1122" s="85" t="s">
        <v>4604</v>
      </c>
      <c r="P1122" s="86" t="s">
        <v>4605</v>
      </c>
      <c r="Q1122" s="87" t="s">
        <v>3208</v>
      </c>
      <c r="R1122" s="87">
        <v>10</v>
      </c>
      <c r="S1122" s="88">
        <v>92.811999999999998</v>
      </c>
      <c r="T1122" s="88">
        <v>53.035428571428568</v>
      </c>
      <c r="U1122" s="88">
        <v>47.73188571428571</v>
      </c>
      <c r="V1122" s="87" t="s">
        <v>3061</v>
      </c>
      <c r="W1122" s="87" t="s">
        <v>3112</v>
      </c>
      <c r="X1122" s="90" t="s">
        <v>3478</v>
      </c>
      <c r="Y1122" s="89"/>
      <c r="Z1122" s="89"/>
      <c r="AA1122" s="89"/>
      <c r="AB1122" s="89"/>
    </row>
    <row r="1123" spans="1:28" s="31" customFormat="1" ht="60" customHeight="1" x14ac:dyDescent="0.2">
      <c r="A1123" s="76">
        <v>1122</v>
      </c>
      <c r="B1123" s="77">
        <v>50005848</v>
      </c>
      <c r="C1123" s="78" t="s">
        <v>4483</v>
      </c>
      <c r="D1123" s="79">
        <v>0.05</v>
      </c>
      <c r="E1123" s="80">
        <v>30049099</v>
      </c>
      <c r="F1123" s="81" t="s">
        <v>4545</v>
      </c>
      <c r="G1123" s="82" t="s">
        <v>4545</v>
      </c>
      <c r="H1123" s="82"/>
      <c r="I1123" s="79" t="s">
        <v>4546</v>
      </c>
      <c r="J1123" s="83">
        <v>436.97</v>
      </c>
      <c r="K1123" s="83">
        <v>332.9295238095238</v>
      </c>
      <c r="L1123" s="83">
        <v>249.69714285714286</v>
      </c>
      <c r="M1123" s="84">
        <v>224.72742857142859</v>
      </c>
      <c r="N1123" s="59">
        <f t="shared" si="17"/>
        <v>0.48571428571428571</v>
      </c>
      <c r="O1123" s="85" t="s">
        <v>4604</v>
      </c>
      <c r="P1123" s="86" t="s">
        <v>4605</v>
      </c>
      <c r="Q1123" s="87" t="s">
        <v>3208</v>
      </c>
      <c r="R1123" s="87">
        <v>10</v>
      </c>
      <c r="S1123" s="88">
        <v>43.697000000000003</v>
      </c>
      <c r="T1123" s="88">
        <v>24.969714285714286</v>
      </c>
      <c r="U1123" s="88">
        <v>22.472742857142858</v>
      </c>
      <c r="V1123" s="87" t="s">
        <v>3061</v>
      </c>
      <c r="W1123" s="87" t="s">
        <v>3112</v>
      </c>
      <c r="X1123" s="90" t="s">
        <v>3477</v>
      </c>
      <c r="Y1123" s="89"/>
      <c r="Z1123" s="89"/>
      <c r="AA1123" s="89"/>
      <c r="AB1123" s="89"/>
    </row>
    <row r="1124" spans="1:28" s="31" customFormat="1" ht="60" customHeight="1" x14ac:dyDescent="0.2">
      <c r="A1124" s="76">
        <v>1123</v>
      </c>
      <c r="B1124" s="77">
        <v>50006099</v>
      </c>
      <c r="C1124" s="78" t="s">
        <v>4484</v>
      </c>
      <c r="D1124" s="79">
        <v>0.05</v>
      </c>
      <c r="E1124" s="80">
        <v>30049099</v>
      </c>
      <c r="F1124" s="81" t="s">
        <v>4547</v>
      </c>
      <c r="G1124" s="82" t="s">
        <v>4547</v>
      </c>
      <c r="H1124" s="82"/>
      <c r="I1124" s="79" t="s">
        <v>4548</v>
      </c>
      <c r="J1124" s="83">
        <v>1500</v>
      </c>
      <c r="K1124" s="83">
        <v>1142.8571428571429</v>
      </c>
      <c r="L1124" s="83">
        <v>952.38095238095241</v>
      </c>
      <c r="M1124" s="84">
        <v>857.14285714285722</v>
      </c>
      <c r="N1124" s="59">
        <f t="shared" si="17"/>
        <v>0.42857142857142849</v>
      </c>
      <c r="O1124" s="85" t="s">
        <v>4604</v>
      </c>
      <c r="P1124" s="86" t="s">
        <v>4605</v>
      </c>
      <c r="Q1124" s="87" t="s">
        <v>3208</v>
      </c>
      <c r="R1124" s="87">
        <v>55</v>
      </c>
      <c r="S1124" s="88">
        <v>27.272727272727273</v>
      </c>
      <c r="T1124" s="88">
        <v>17.316017316017316</v>
      </c>
      <c r="U1124" s="88">
        <v>15.584415584415586</v>
      </c>
      <c r="V1124" s="87" t="s">
        <v>3492</v>
      </c>
      <c r="W1124" s="87" t="s">
        <v>3112</v>
      </c>
      <c r="X1124" s="90" t="s">
        <v>3477</v>
      </c>
      <c r="Y1124" s="89"/>
      <c r="Z1124" s="89"/>
      <c r="AA1124" s="89"/>
      <c r="AB1124" s="89"/>
    </row>
    <row r="1125" spans="1:28" s="31" customFormat="1" ht="60" customHeight="1" x14ac:dyDescent="0.2">
      <c r="A1125" s="76">
        <v>1124</v>
      </c>
      <c r="B1125" s="77">
        <v>50005851</v>
      </c>
      <c r="C1125" s="78" t="s">
        <v>4485</v>
      </c>
      <c r="D1125" s="79">
        <v>0.05</v>
      </c>
      <c r="E1125" s="80">
        <v>30049099</v>
      </c>
      <c r="F1125" s="81" t="s">
        <v>4549</v>
      </c>
      <c r="G1125" s="82" t="s">
        <v>4549</v>
      </c>
      <c r="H1125" s="82"/>
      <c r="I1125" s="79" t="s">
        <v>4546</v>
      </c>
      <c r="J1125" s="83">
        <v>349.38</v>
      </c>
      <c r="K1125" s="83">
        <v>266.19428571428568</v>
      </c>
      <c r="L1125" s="83">
        <v>244.01142857142852</v>
      </c>
      <c r="M1125" s="84">
        <v>219.61028571428568</v>
      </c>
      <c r="N1125" s="59">
        <f t="shared" si="17"/>
        <v>0.3714285714285715</v>
      </c>
      <c r="O1125" s="85" t="s">
        <v>4604</v>
      </c>
      <c r="P1125" s="86" t="s">
        <v>4606</v>
      </c>
      <c r="Q1125" s="87" t="s">
        <v>3208</v>
      </c>
      <c r="R1125" s="87">
        <v>10</v>
      </c>
      <c r="S1125" s="88">
        <v>34.938000000000002</v>
      </c>
      <c r="T1125" s="88">
        <v>24.401142857142851</v>
      </c>
      <c r="U1125" s="88">
        <v>21.961028571428567</v>
      </c>
      <c r="V1125" s="87" t="s">
        <v>3061</v>
      </c>
      <c r="W1125" s="87" t="s">
        <v>3112</v>
      </c>
      <c r="X1125" s="90" t="s">
        <v>3477</v>
      </c>
      <c r="Y1125" s="89"/>
      <c r="Z1125" s="89"/>
      <c r="AA1125" s="89"/>
      <c r="AB1125" s="89"/>
    </row>
    <row r="1126" spans="1:28" s="31" customFormat="1" ht="60" customHeight="1" x14ac:dyDescent="0.2">
      <c r="A1126" s="76">
        <v>1125</v>
      </c>
      <c r="B1126" s="77">
        <v>50005860</v>
      </c>
      <c r="C1126" s="78" t="s">
        <v>4486</v>
      </c>
      <c r="D1126" s="79">
        <v>0.05</v>
      </c>
      <c r="E1126" s="80">
        <v>30049039</v>
      </c>
      <c r="F1126" s="81" t="s">
        <v>4550</v>
      </c>
      <c r="G1126" s="82" t="s">
        <v>4550</v>
      </c>
      <c r="H1126" s="82" t="s">
        <v>4720</v>
      </c>
      <c r="I1126" s="79" t="s">
        <v>2687</v>
      </c>
      <c r="J1126" s="83">
        <v>220.85</v>
      </c>
      <c r="K1126" s="83">
        <v>168.26666666666668</v>
      </c>
      <c r="L1126" s="83">
        <v>134.61333333333334</v>
      </c>
      <c r="M1126" s="84">
        <v>121.15200000000002</v>
      </c>
      <c r="N1126" s="59">
        <f t="shared" si="17"/>
        <v>0.45142857142857135</v>
      </c>
      <c r="O1126" s="85" t="s">
        <v>4604</v>
      </c>
      <c r="P1126" s="86" t="s">
        <v>4605</v>
      </c>
      <c r="Q1126" s="87" t="s">
        <v>3208</v>
      </c>
      <c r="R1126" s="87">
        <v>1</v>
      </c>
      <c r="S1126" s="88">
        <v>220.85</v>
      </c>
      <c r="T1126" s="88">
        <v>134.61333333333334</v>
      </c>
      <c r="U1126" s="88">
        <v>121.15200000000002</v>
      </c>
      <c r="V1126" s="87" t="s">
        <v>3062</v>
      </c>
      <c r="W1126" s="87" t="s">
        <v>3112</v>
      </c>
      <c r="X1126" s="90" t="s">
        <v>3484</v>
      </c>
      <c r="Y1126" s="89"/>
      <c r="Z1126" s="89"/>
      <c r="AA1126" s="89"/>
      <c r="AB1126" s="89"/>
    </row>
    <row r="1127" spans="1:28" s="31" customFormat="1" ht="60" customHeight="1" x14ac:dyDescent="0.2">
      <c r="A1127" s="76">
        <v>1126</v>
      </c>
      <c r="B1127" s="77">
        <v>50005849</v>
      </c>
      <c r="C1127" s="78" t="s">
        <v>4487</v>
      </c>
      <c r="D1127" s="79">
        <v>0.05</v>
      </c>
      <c r="E1127" s="80">
        <v>30049099</v>
      </c>
      <c r="F1127" s="81" t="s">
        <v>4551</v>
      </c>
      <c r="G1127" s="82" t="s">
        <v>4551</v>
      </c>
      <c r="H1127" s="82" t="s">
        <v>4721</v>
      </c>
      <c r="I1127" s="79" t="s">
        <v>2687</v>
      </c>
      <c r="J1127" s="83">
        <v>316.94</v>
      </c>
      <c r="K1127" s="83">
        <v>241.47809523809525</v>
      </c>
      <c r="L1127" s="83">
        <v>193.18247619047619</v>
      </c>
      <c r="M1127" s="84">
        <v>173.86422857142858</v>
      </c>
      <c r="N1127" s="59">
        <f t="shared" si="17"/>
        <v>0.4514285714285714</v>
      </c>
      <c r="O1127" s="85" t="s">
        <v>4604</v>
      </c>
      <c r="P1127" s="86" t="s">
        <v>4605</v>
      </c>
      <c r="Q1127" s="87" t="s">
        <v>3208</v>
      </c>
      <c r="R1127" s="87">
        <v>1</v>
      </c>
      <c r="S1127" s="88">
        <v>316.94</v>
      </c>
      <c r="T1127" s="88">
        <v>193.18247619047619</v>
      </c>
      <c r="U1127" s="88">
        <v>173.86422857142858</v>
      </c>
      <c r="V1127" s="87" t="s">
        <v>3062</v>
      </c>
      <c r="W1127" s="87" t="s">
        <v>3112</v>
      </c>
      <c r="X1127" s="90" t="s">
        <v>3484</v>
      </c>
      <c r="Y1127" s="89"/>
      <c r="Z1127" s="89"/>
      <c r="AA1127" s="89"/>
      <c r="AB1127" s="89"/>
    </row>
    <row r="1128" spans="1:28" s="31" customFormat="1" ht="60" customHeight="1" x14ac:dyDescent="0.2">
      <c r="A1128" s="76">
        <v>1127</v>
      </c>
      <c r="B1128" s="77">
        <v>50005861</v>
      </c>
      <c r="C1128" s="78" t="s">
        <v>4488</v>
      </c>
      <c r="D1128" s="79">
        <v>0.05</v>
      </c>
      <c r="E1128" s="80">
        <v>30049099</v>
      </c>
      <c r="F1128" s="81" t="s">
        <v>4552</v>
      </c>
      <c r="G1128" s="82" t="s">
        <v>4552</v>
      </c>
      <c r="H1128" s="82" t="s">
        <v>4722</v>
      </c>
      <c r="I1128" s="79" t="s">
        <v>4553</v>
      </c>
      <c r="J1128" s="83">
        <v>448.59</v>
      </c>
      <c r="K1128" s="83">
        <v>341.78285714285715</v>
      </c>
      <c r="L1128" s="83">
        <v>256.33714285714285</v>
      </c>
      <c r="M1128" s="84">
        <v>230.70342857142856</v>
      </c>
      <c r="N1128" s="59">
        <f t="shared" si="17"/>
        <v>0.48571428571428571</v>
      </c>
      <c r="O1128" s="85" t="s">
        <v>4604</v>
      </c>
      <c r="P1128" s="86" t="s">
        <v>4605</v>
      </c>
      <c r="Q1128" s="87" t="s">
        <v>3208</v>
      </c>
      <c r="R1128" s="87">
        <v>30</v>
      </c>
      <c r="S1128" s="88">
        <v>14.952999999999999</v>
      </c>
      <c r="T1128" s="88">
        <v>8.5445714285714285</v>
      </c>
      <c r="U1128" s="88">
        <v>7.6901142857142855</v>
      </c>
      <c r="V1128" s="87" t="s">
        <v>3061</v>
      </c>
      <c r="W1128" s="87" t="s">
        <v>3112</v>
      </c>
      <c r="X1128" s="90" t="s">
        <v>3477</v>
      </c>
      <c r="Y1128" s="89"/>
      <c r="Z1128" s="89"/>
      <c r="AA1128" s="89"/>
      <c r="AB1128" s="89"/>
    </row>
    <row r="1129" spans="1:28" s="31" customFormat="1" ht="60" customHeight="1" x14ac:dyDescent="0.2">
      <c r="A1129" s="76">
        <v>1128</v>
      </c>
      <c r="B1129" s="77">
        <v>50005855</v>
      </c>
      <c r="C1129" s="78" t="s">
        <v>4489</v>
      </c>
      <c r="D1129" s="79">
        <v>0.05</v>
      </c>
      <c r="E1129" s="80">
        <v>30049099</v>
      </c>
      <c r="F1129" s="81" t="s">
        <v>4554</v>
      </c>
      <c r="G1129" s="82" t="s">
        <v>4554</v>
      </c>
      <c r="H1129" s="82" t="s">
        <v>4723</v>
      </c>
      <c r="I1129" s="79" t="s">
        <v>4553</v>
      </c>
      <c r="J1129" s="83">
        <v>273.95</v>
      </c>
      <c r="K1129" s="83">
        <v>208.72380952380954</v>
      </c>
      <c r="L1129" s="83">
        <v>156.54285714285714</v>
      </c>
      <c r="M1129" s="84">
        <v>140.88857142857142</v>
      </c>
      <c r="N1129" s="59">
        <f t="shared" si="17"/>
        <v>0.48571428571428571</v>
      </c>
      <c r="O1129" s="85" t="s">
        <v>4604</v>
      </c>
      <c r="P1129" s="86" t="s">
        <v>4745</v>
      </c>
      <c r="Q1129" s="87" t="s">
        <v>3208</v>
      </c>
      <c r="R1129" s="87">
        <v>30</v>
      </c>
      <c r="S1129" s="88">
        <v>9.1316666666666659</v>
      </c>
      <c r="T1129" s="88">
        <v>5.2180952380952386</v>
      </c>
      <c r="U1129" s="88">
        <v>4.6962857142857137</v>
      </c>
      <c r="V1129" s="87" t="s">
        <v>3061</v>
      </c>
      <c r="W1129" s="87" t="s">
        <v>3112</v>
      </c>
      <c r="X1129" s="90" t="s">
        <v>3477</v>
      </c>
      <c r="Y1129" s="89"/>
      <c r="Z1129" s="89"/>
      <c r="AA1129" s="89"/>
      <c r="AB1129" s="89"/>
    </row>
    <row r="1130" spans="1:28" s="31" customFormat="1" ht="60" customHeight="1" x14ac:dyDescent="0.2">
      <c r="A1130" s="76">
        <v>1129</v>
      </c>
      <c r="B1130" s="77">
        <v>50006040</v>
      </c>
      <c r="C1130" s="78" t="s">
        <v>4648</v>
      </c>
      <c r="D1130" s="79">
        <v>0.05</v>
      </c>
      <c r="E1130" s="80">
        <v>30043919</v>
      </c>
      <c r="F1130" s="81" t="s">
        <v>4649</v>
      </c>
      <c r="G1130" s="82" t="s">
        <v>1443</v>
      </c>
      <c r="H1130" s="82" t="s">
        <v>30</v>
      </c>
      <c r="I1130" s="79" t="s">
        <v>4546</v>
      </c>
      <c r="J1130" s="83">
        <v>735.06</v>
      </c>
      <c r="K1130" s="83">
        <v>560.04571428571421</v>
      </c>
      <c r="L1130" s="83">
        <v>280.02285714285711</v>
      </c>
      <c r="M1130" s="84">
        <v>280.02285714285711</v>
      </c>
      <c r="N1130" s="59">
        <f t="shared" si="17"/>
        <v>0.61904761904761907</v>
      </c>
      <c r="O1130" s="85" t="s">
        <v>4604</v>
      </c>
      <c r="P1130" s="86" t="s">
        <v>4746</v>
      </c>
      <c r="Q1130" s="87" t="s">
        <v>3208</v>
      </c>
      <c r="R1130" s="87">
        <v>10</v>
      </c>
      <c r="S1130" s="88">
        <v>73.506</v>
      </c>
      <c r="T1130" s="88">
        <v>28.002285714285712</v>
      </c>
      <c r="U1130" s="88">
        <v>28.002285714285712</v>
      </c>
      <c r="V1130" s="87" t="s">
        <v>3061</v>
      </c>
      <c r="W1130" s="87" t="s">
        <v>3112</v>
      </c>
      <c r="X1130" s="90" t="s">
        <v>3477</v>
      </c>
      <c r="Y1130" s="89"/>
      <c r="Z1130" s="89"/>
      <c r="AA1130" s="89"/>
      <c r="AB1130" s="89"/>
    </row>
    <row r="1131" spans="1:28" s="31" customFormat="1" ht="60" customHeight="1" x14ac:dyDescent="0.2">
      <c r="A1131" s="76">
        <v>1130</v>
      </c>
      <c r="B1131" s="77">
        <v>50005857</v>
      </c>
      <c r="C1131" s="78" t="s">
        <v>4490</v>
      </c>
      <c r="D1131" s="79">
        <v>0.05</v>
      </c>
      <c r="E1131" s="80">
        <v>30049011</v>
      </c>
      <c r="F1131" s="81" t="s">
        <v>4555</v>
      </c>
      <c r="G1131" s="82" t="s">
        <v>4555</v>
      </c>
      <c r="H1131" s="82"/>
      <c r="I1131" s="79" t="s">
        <v>3037</v>
      </c>
      <c r="J1131" s="83">
        <v>139.5</v>
      </c>
      <c r="K1131" s="83">
        <v>106.28571428571429</v>
      </c>
      <c r="L1131" s="83">
        <v>85.028571428571425</v>
      </c>
      <c r="M1131" s="84">
        <v>76.525714285714287</v>
      </c>
      <c r="N1131" s="59">
        <f t="shared" si="17"/>
        <v>0.4514285714285714</v>
      </c>
      <c r="O1131" s="85" t="s">
        <v>4604</v>
      </c>
      <c r="P1131" s="86" t="s">
        <v>4605</v>
      </c>
      <c r="Q1131" s="87" t="s">
        <v>3208</v>
      </c>
      <c r="R1131" s="87">
        <v>1</v>
      </c>
      <c r="S1131" s="88">
        <v>139.5</v>
      </c>
      <c r="T1131" s="88">
        <v>85.028571428571425</v>
      </c>
      <c r="U1131" s="88">
        <v>76.525714285714287</v>
      </c>
      <c r="V1131" s="87" t="s">
        <v>3062</v>
      </c>
      <c r="W1131" s="87" t="s">
        <v>3112</v>
      </c>
      <c r="X1131" s="90" t="s">
        <v>4611</v>
      </c>
      <c r="Y1131" s="89"/>
      <c r="Z1131" s="89"/>
      <c r="AA1131" s="89"/>
      <c r="AB1131" s="89"/>
    </row>
    <row r="1132" spans="1:28" s="31" customFormat="1" ht="60" customHeight="1" x14ac:dyDescent="0.2">
      <c r="A1132" s="76">
        <v>1131</v>
      </c>
      <c r="B1132" s="77">
        <v>50005852</v>
      </c>
      <c r="C1132" s="78" t="s">
        <v>4491</v>
      </c>
      <c r="D1132" s="79">
        <v>0.05</v>
      </c>
      <c r="E1132" s="80">
        <v>30049099</v>
      </c>
      <c r="F1132" s="81" t="s">
        <v>4556</v>
      </c>
      <c r="G1132" s="82" t="s">
        <v>4556</v>
      </c>
      <c r="H1132" s="82" t="s">
        <v>4724</v>
      </c>
      <c r="I1132" s="79" t="s">
        <v>2711</v>
      </c>
      <c r="J1132" s="83">
        <v>32.590000000000003</v>
      </c>
      <c r="K1132" s="83">
        <v>24.830476190476194</v>
      </c>
      <c r="L1132" s="83">
        <v>19.864380952380955</v>
      </c>
      <c r="M1132" s="84">
        <v>17.877942857142859</v>
      </c>
      <c r="N1132" s="59">
        <f t="shared" si="17"/>
        <v>0.45142857142857146</v>
      </c>
      <c r="O1132" s="85" t="s">
        <v>4604</v>
      </c>
      <c r="P1132" s="86" t="s">
        <v>4867</v>
      </c>
      <c r="Q1132" s="87" t="s">
        <v>3208</v>
      </c>
      <c r="R1132" s="87">
        <v>1</v>
      </c>
      <c r="S1132" s="88">
        <v>32.590000000000003</v>
      </c>
      <c r="T1132" s="88">
        <v>19.864380952380955</v>
      </c>
      <c r="U1132" s="88">
        <v>17.877942857142859</v>
      </c>
      <c r="V1132" s="87" t="s">
        <v>3067</v>
      </c>
      <c r="W1132" s="87" t="s">
        <v>3112</v>
      </c>
      <c r="X1132" s="90" t="s">
        <v>3610</v>
      </c>
      <c r="Y1132" s="89"/>
      <c r="Z1132" s="89"/>
      <c r="AA1132" s="89"/>
      <c r="AB1132" s="89"/>
    </row>
    <row r="1133" spans="1:28" s="31" customFormat="1" ht="60" customHeight="1" x14ac:dyDescent="0.2">
      <c r="A1133" s="76">
        <v>1132</v>
      </c>
      <c r="B1133" s="77">
        <v>50005859</v>
      </c>
      <c r="C1133" s="78" t="s">
        <v>4492</v>
      </c>
      <c r="D1133" s="79">
        <v>0.05</v>
      </c>
      <c r="E1133" s="80">
        <v>30049099</v>
      </c>
      <c r="F1133" s="81" t="s">
        <v>4557</v>
      </c>
      <c r="G1133" s="82" t="s">
        <v>4557</v>
      </c>
      <c r="H1133" s="82" t="s">
        <v>4725</v>
      </c>
      <c r="I1133" s="79" t="s">
        <v>4546</v>
      </c>
      <c r="J1133" s="83">
        <v>49.65</v>
      </c>
      <c r="K1133" s="83">
        <v>37.828571428571429</v>
      </c>
      <c r="L1133" s="83">
        <v>31.523809523809526</v>
      </c>
      <c r="M1133" s="84">
        <v>28.371428571428574</v>
      </c>
      <c r="N1133" s="59">
        <f t="shared" si="17"/>
        <v>0.42857142857142849</v>
      </c>
      <c r="O1133" s="85" t="s">
        <v>4604</v>
      </c>
      <c r="P1133" s="86" t="s">
        <v>4779</v>
      </c>
      <c r="Q1133" s="87" t="s">
        <v>3208</v>
      </c>
      <c r="R1133" s="87">
        <v>10</v>
      </c>
      <c r="S1133" s="88">
        <v>4.9649999999999999</v>
      </c>
      <c r="T1133" s="88">
        <v>3.1523809523809527</v>
      </c>
      <c r="U1133" s="88">
        <v>2.8371428571428572</v>
      </c>
      <c r="V1133" s="87" t="s">
        <v>3061</v>
      </c>
      <c r="W1133" s="87" t="s">
        <v>3112</v>
      </c>
      <c r="X1133" s="90" t="s">
        <v>3477</v>
      </c>
      <c r="Y1133" s="89"/>
      <c r="Z1133" s="89"/>
      <c r="AA1133" s="89"/>
      <c r="AB1133" s="89"/>
    </row>
    <row r="1134" spans="1:28" s="31" customFormat="1" ht="60" customHeight="1" x14ac:dyDescent="0.2">
      <c r="A1134" s="76">
        <v>1133</v>
      </c>
      <c r="B1134" s="77">
        <v>50006073</v>
      </c>
      <c r="C1134" s="78" t="s">
        <v>4493</v>
      </c>
      <c r="D1134" s="79">
        <v>0.05</v>
      </c>
      <c r="E1134" s="80">
        <v>30043919</v>
      </c>
      <c r="F1134" s="81" t="s">
        <v>4558</v>
      </c>
      <c r="G1134" s="82" t="s">
        <v>4558</v>
      </c>
      <c r="H1134" s="82" t="s">
        <v>343</v>
      </c>
      <c r="I1134" s="79" t="s">
        <v>4546</v>
      </c>
      <c r="J1134" s="83">
        <v>608.63</v>
      </c>
      <c r="K1134" s="83">
        <v>463.71809523809526</v>
      </c>
      <c r="L1134" s="83">
        <v>347.78857142857146</v>
      </c>
      <c r="M1134" s="84">
        <v>313.00971428571432</v>
      </c>
      <c r="N1134" s="59">
        <f t="shared" si="17"/>
        <v>0.48571428571428565</v>
      </c>
      <c r="O1134" s="85" t="s">
        <v>4604</v>
      </c>
      <c r="P1134" s="86" t="s">
        <v>4699</v>
      </c>
      <c r="Q1134" s="87" t="s">
        <v>3208</v>
      </c>
      <c r="R1134" s="87">
        <v>10</v>
      </c>
      <c r="S1134" s="88">
        <v>60.863</v>
      </c>
      <c r="T1134" s="88">
        <v>34.778857142857149</v>
      </c>
      <c r="U1134" s="88">
        <v>31.300971428571433</v>
      </c>
      <c r="V1134" s="87" t="s">
        <v>3061</v>
      </c>
      <c r="W1134" s="87" t="s">
        <v>3112</v>
      </c>
      <c r="X1134" s="90" t="s">
        <v>3477</v>
      </c>
      <c r="Y1134" s="89"/>
      <c r="Z1134" s="89"/>
      <c r="AA1134" s="89"/>
      <c r="AB1134" s="89"/>
    </row>
    <row r="1135" spans="1:28" s="31" customFormat="1" ht="60" customHeight="1" x14ac:dyDescent="0.2">
      <c r="A1135" s="76">
        <v>1134</v>
      </c>
      <c r="B1135" s="77">
        <v>50005867</v>
      </c>
      <c r="C1135" s="78" t="s">
        <v>4494</v>
      </c>
      <c r="D1135" s="79">
        <v>0.05</v>
      </c>
      <c r="E1135" s="80">
        <v>30049099</v>
      </c>
      <c r="F1135" s="81" t="s">
        <v>4696</v>
      </c>
      <c r="G1135" s="82" t="s">
        <v>4559</v>
      </c>
      <c r="H1135" s="82"/>
      <c r="I1135" s="79" t="s">
        <v>4546</v>
      </c>
      <c r="J1135" s="83">
        <v>820.8</v>
      </c>
      <c r="K1135" s="83">
        <v>625.37142857142851</v>
      </c>
      <c r="L1135" s="83">
        <v>481.05494505494499</v>
      </c>
      <c r="M1135" s="84">
        <v>432.94945054945049</v>
      </c>
      <c r="N1135" s="59">
        <f t="shared" si="17"/>
        <v>0.47252747252747257</v>
      </c>
      <c r="O1135" s="85" t="s">
        <v>4604</v>
      </c>
      <c r="P1135" s="86" t="s">
        <v>4607</v>
      </c>
      <c r="Q1135" s="87" t="s">
        <v>3208</v>
      </c>
      <c r="R1135" s="87">
        <v>10</v>
      </c>
      <c r="S1135" s="88">
        <v>82.08</v>
      </c>
      <c r="T1135" s="88">
        <v>48.105494505494498</v>
      </c>
      <c r="U1135" s="88">
        <v>43.294945054945046</v>
      </c>
      <c r="V1135" s="87" t="s">
        <v>3061</v>
      </c>
      <c r="W1135" s="87" t="s">
        <v>3112</v>
      </c>
      <c r="X1135" s="90" t="s">
        <v>3477</v>
      </c>
      <c r="Y1135" s="89"/>
      <c r="Z1135" s="89"/>
      <c r="AA1135" s="89"/>
      <c r="AB1135" s="89"/>
    </row>
    <row r="1136" spans="1:28" s="31" customFormat="1" ht="60" customHeight="1" x14ac:dyDescent="0.2">
      <c r="A1136" s="76">
        <v>1135</v>
      </c>
      <c r="B1136" s="77">
        <v>50005864</v>
      </c>
      <c r="C1136" s="78" t="s">
        <v>4495</v>
      </c>
      <c r="D1136" s="79">
        <v>0.05</v>
      </c>
      <c r="E1136" s="80">
        <v>30045020</v>
      </c>
      <c r="F1136" s="81" t="s">
        <v>4560</v>
      </c>
      <c r="G1136" s="82" t="s">
        <v>4560</v>
      </c>
      <c r="H1136" s="82" t="s">
        <v>4726</v>
      </c>
      <c r="I1136" s="79" t="s">
        <v>2869</v>
      </c>
      <c r="J1136" s="83">
        <v>4218.74</v>
      </c>
      <c r="K1136" s="83">
        <v>3214.2780952380954</v>
      </c>
      <c r="L1136" s="83">
        <v>964.28342857142854</v>
      </c>
      <c r="M1136" s="84">
        <v>867.85508571428568</v>
      </c>
      <c r="N1136" s="59">
        <f t="shared" si="17"/>
        <v>0.79428571428571437</v>
      </c>
      <c r="O1136" s="85" t="s">
        <v>4604</v>
      </c>
      <c r="P1136" s="86" t="s">
        <v>4605</v>
      </c>
      <c r="Q1136" s="87" t="s">
        <v>3208</v>
      </c>
      <c r="R1136" s="87">
        <v>1</v>
      </c>
      <c r="S1136" s="88">
        <v>4218.74</v>
      </c>
      <c r="T1136" s="88">
        <v>964.28342857142854</v>
      </c>
      <c r="U1136" s="88">
        <v>867.85508571428568</v>
      </c>
      <c r="V1136" s="87" t="s">
        <v>3067</v>
      </c>
      <c r="W1136" s="87" t="s">
        <v>3112</v>
      </c>
      <c r="X1136" s="90" t="s">
        <v>3610</v>
      </c>
      <c r="Y1136" s="89"/>
      <c r="Z1136" s="89"/>
      <c r="AA1136" s="89"/>
      <c r="AB1136" s="89"/>
    </row>
    <row r="1137" spans="1:28" s="31" customFormat="1" ht="60" customHeight="1" x14ac:dyDescent="0.2">
      <c r="A1137" s="76">
        <v>1136</v>
      </c>
      <c r="B1137" s="77">
        <v>50005865</v>
      </c>
      <c r="C1137" s="78" t="s">
        <v>4496</v>
      </c>
      <c r="D1137" s="79">
        <v>0.05</v>
      </c>
      <c r="E1137" s="80">
        <v>30045020</v>
      </c>
      <c r="F1137" s="81" t="s">
        <v>4561</v>
      </c>
      <c r="G1137" s="82" t="s">
        <v>4561</v>
      </c>
      <c r="H1137" s="82" t="s">
        <v>4726</v>
      </c>
      <c r="I1137" s="79" t="s">
        <v>2672</v>
      </c>
      <c r="J1137" s="83">
        <v>2526.56</v>
      </c>
      <c r="K1137" s="83">
        <v>1924.9980952380952</v>
      </c>
      <c r="L1137" s="83">
        <v>769.99923809523807</v>
      </c>
      <c r="M1137" s="84">
        <v>692.99931428571426</v>
      </c>
      <c r="N1137" s="59">
        <f t="shared" si="17"/>
        <v>0.72571428571428576</v>
      </c>
      <c r="O1137" s="85" t="s">
        <v>4604</v>
      </c>
      <c r="P1137" s="86" t="s">
        <v>4605</v>
      </c>
      <c r="Q1137" s="87" t="s">
        <v>3208</v>
      </c>
      <c r="R1137" s="87">
        <v>1</v>
      </c>
      <c r="S1137" s="88">
        <v>2526.56</v>
      </c>
      <c r="T1137" s="88">
        <v>769.99923809523807</v>
      </c>
      <c r="U1137" s="88">
        <v>692.99931428571426</v>
      </c>
      <c r="V1137" s="87" t="s">
        <v>3067</v>
      </c>
      <c r="W1137" s="87" t="s">
        <v>3112</v>
      </c>
      <c r="X1137" s="90" t="s">
        <v>3610</v>
      </c>
      <c r="Y1137" s="89"/>
      <c r="Z1137" s="89"/>
      <c r="AA1137" s="89"/>
      <c r="AB1137" s="89"/>
    </row>
    <row r="1138" spans="1:28" s="31" customFormat="1" ht="60" customHeight="1" x14ac:dyDescent="0.2">
      <c r="A1138" s="76">
        <v>1137</v>
      </c>
      <c r="B1138" s="77">
        <v>50005853</v>
      </c>
      <c r="C1138" s="78" t="s">
        <v>4497</v>
      </c>
      <c r="D1138" s="79">
        <v>0.05</v>
      </c>
      <c r="E1138" s="80">
        <v>30045010</v>
      </c>
      <c r="F1138" s="81" t="s">
        <v>4562</v>
      </c>
      <c r="G1138" s="82" t="s">
        <v>4562</v>
      </c>
      <c r="H1138" s="82" t="s">
        <v>4727</v>
      </c>
      <c r="I1138" s="79" t="s">
        <v>4546</v>
      </c>
      <c r="J1138" s="83">
        <v>144.37</v>
      </c>
      <c r="K1138" s="83">
        <v>109.99619047619049</v>
      </c>
      <c r="L1138" s="83">
        <v>91.663492063492086</v>
      </c>
      <c r="M1138" s="84">
        <v>82.497142857142876</v>
      </c>
      <c r="N1138" s="59">
        <f t="shared" si="17"/>
        <v>0.42857142857142844</v>
      </c>
      <c r="O1138" s="85" t="s">
        <v>4604</v>
      </c>
      <c r="P1138" s="86" t="s">
        <v>4605</v>
      </c>
      <c r="Q1138" s="87" t="s">
        <v>3208</v>
      </c>
      <c r="R1138" s="87">
        <v>10</v>
      </c>
      <c r="S1138" s="88">
        <v>14.437000000000001</v>
      </c>
      <c r="T1138" s="88">
        <v>9.1663492063492082</v>
      </c>
      <c r="U1138" s="88">
        <v>8.2497142857142869</v>
      </c>
      <c r="V1138" s="87" t="s">
        <v>3061</v>
      </c>
      <c r="W1138" s="87" t="s">
        <v>3112</v>
      </c>
      <c r="X1138" s="90" t="s">
        <v>3477</v>
      </c>
      <c r="Y1138" s="89"/>
      <c r="Z1138" s="89"/>
      <c r="AA1138" s="89"/>
      <c r="AB1138" s="89"/>
    </row>
    <row r="1139" spans="1:28" s="31" customFormat="1" ht="60" customHeight="1" x14ac:dyDescent="0.2">
      <c r="A1139" s="76">
        <v>1138</v>
      </c>
      <c r="B1139" s="77">
        <v>50005866</v>
      </c>
      <c r="C1139" s="78" t="s">
        <v>4498</v>
      </c>
      <c r="D1139" s="79">
        <v>0.05</v>
      </c>
      <c r="E1139" s="80">
        <v>30049011</v>
      </c>
      <c r="F1139" s="81" t="s">
        <v>4563</v>
      </c>
      <c r="G1139" s="82" t="s">
        <v>4563</v>
      </c>
      <c r="H1139" s="82"/>
      <c r="I1139" s="79" t="s">
        <v>4564</v>
      </c>
      <c r="J1139" s="83">
        <v>300</v>
      </c>
      <c r="K1139" s="83">
        <v>228.57142857142858</v>
      </c>
      <c r="L1139" s="83">
        <v>228.57142857142858</v>
      </c>
      <c r="M1139" s="84">
        <v>205.71428571428572</v>
      </c>
      <c r="N1139" s="59">
        <f t="shared" si="17"/>
        <v>0.31428571428571428</v>
      </c>
      <c r="O1139" s="85" t="s">
        <v>4604</v>
      </c>
      <c r="P1139" s="86" t="s">
        <v>4605</v>
      </c>
      <c r="Q1139" s="87" t="s">
        <v>3208</v>
      </c>
      <c r="R1139" s="87">
        <v>30</v>
      </c>
      <c r="S1139" s="88">
        <v>10</v>
      </c>
      <c r="T1139" s="88">
        <v>7.6190476190476195</v>
      </c>
      <c r="U1139" s="88">
        <v>6.8571428571428577</v>
      </c>
      <c r="V1139" s="87" t="s">
        <v>3061</v>
      </c>
      <c r="W1139" s="87" t="s">
        <v>3112</v>
      </c>
      <c r="X1139" s="90" t="s">
        <v>3478</v>
      </c>
      <c r="Y1139" s="89"/>
      <c r="Z1139" s="89"/>
      <c r="AA1139" s="89"/>
      <c r="AB1139" s="89"/>
    </row>
    <row r="1140" spans="1:28" s="31" customFormat="1" ht="60" customHeight="1" x14ac:dyDescent="0.2">
      <c r="A1140" s="76">
        <v>1139</v>
      </c>
      <c r="B1140" s="77">
        <v>50005863</v>
      </c>
      <c r="C1140" s="78" t="s">
        <v>4499</v>
      </c>
      <c r="D1140" s="79">
        <v>0.05</v>
      </c>
      <c r="E1140" s="80">
        <v>30049011</v>
      </c>
      <c r="F1140" s="81" t="s">
        <v>4565</v>
      </c>
      <c r="G1140" s="82" t="s">
        <v>4565</v>
      </c>
      <c r="H1140" s="82"/>
      <c r="I1140" s="79" t="s">
        <v>4566</v>
      </c>
      <c r="J1140" s="83">
        <v>443</v>
      </c>
      <c r="K1140" s="83">
        <v>337.52380952380952</v>
      </c>
      <c r="L1140" s="83">
        <v>241.08843537414967</v>
      </c>
      <c r="M1140" s="84">
        <v>216.9795918367347</v>
      </c>
      <c r="N1140" s="59">
        <f t="shared" si="17"/>
        <v>0.51020408163265307</v>
      </c>
      <c r="O1140" s="85" t="s">
        <v>4604</v>
      </c>
      <c r="P1140" s="86" t="s">
        <v>3304</v>
      </c>
      <c r="Q1140" s="87" t="s">
        <v>3208</v>
      </c>
      <c r="R1140" s="87">
        <v>1</v>
      </c>
      <c r="S1140" s="88">
        <v>443</v>
      </c>
      <c r="T1140" s="88">
        <v>241.08843537414967</v>
      </c>
      <c r="U1140" s="88">
        <v>216.9795918367347</v>
      </c>
      <c r="V1140" s="87" t="s">
        <v>3064</v>
      </c>
      <c r="W1140" s="87" t="s">
        <v>3112</v>
      </c>
      <c r="X1140" s="90" t="s">
        <v>4612</v>
      </c>
      <c r="Y1140" s="89"/>
      <c r="Z1140" s="89"/>
      <c r="AA1140" s="89"/>
      <c r="AB1140" s="89"/>
    </row>
    <row r="1141" spans="1:28" s="31" customFormat="1" ht="60" customHeight="1" x14ac:dyDescent="0.2">
      <c r="A1141" s="76">
        <v>1140</v>
      </c>
      <c r="B1141" s="77">
        <v>50005854</v>
      </c>
      <c r="C1141" s="78" t="s">
        <v>4500</v>
      </c>
      <c r="D1141" s="79">
        <v>0.05</v>
      </c>
      <c r="E1141" s="80">
        <v>30049011</v>
      </c>
      <c r="F1141" s="81" t="s">
        <v>4567</v>
      </c>
      <c r="G1141" s="82" t="s">
        <v>4567</v>
      </c>
      <c r="H1141" s="82"/>
      <c r="I1141" s="79" t="s">
        <v>4566</v>
      </c>
      <c r="J1141" s="83">
        <v>443</v>
      </c>
      <c r="K1141" s="83">
        <v>337.52380952380952</v>
      </c>
      <c r="L1141" s="83">
        <v>241.08843537414967</v>
      </c>
      <c r="M1141" s="84">
        <v>216.9795918367347</v>
      </c>
      <c r="N1141" s="59">
        <f t="shared" si="17"/>
        <v>0.51020408163265307</v>
      </c>
      <c r="O1141" s="85" t="s">
        <v>4604</v>
      </c>
      <c r="P1141" s="86" t="s">
        <v>3304</v>
      </c>
      <c r="Q1141" s="87" t="s">
        <v>3208</v>
      </c>
      <c r="R1141" s="87">
        <v>1</v>
      </c>
      <c r="S1141" s="88">
        <v>443</v>
      </c>
      <c r="T1141" s="88">
        <v>241.08843537414967</v>
      </c>
      <c r="U1141" s="88">
        <v>216.9795918367347</v>
      </c>
      <c r="V1141" s="87" t="s">
        <v>3064</v>
      </c>
      <c r="W1141" s="87" t="s">
        <v>3112</v>
      </c>
      <c r="X1141" s="90" t="s">
        <v>4612</v>
      </c>
      <c r="Y1141" s="89"/>
      <c r="Z1141" s="89"/>
      <c r="AA1141" s="89"/>
      <c r="AB1141" s="89"/>
    </row>
    <row r="1142" spans="1:28" s="31" customFormat="1" ht="60" customHeight="1" x14ac:dyDescent="0.2">
      <c r="A1142" s="76">
        <v>1141</v>
      </c>
      <c r="B1142" s="77">
        <v>50005858</v>
      </c>
      <c r="C1142" s="78" t="s">
        <v>4501</v>
      </c>
      <c r="D1142" s="79">
        <v>0.05</v>
      </c>
      <c r="E1142" s="80">
        <v>30049011</v>
      </c>
      <c r="F1142" s="81" t="s">
        <v>4568</v>
      </c>
      <c r="G1142" s="82" t="s">
        <v>4568</v>
      </c>
      <c r="H1142" s="82"/>
      <c r="I1142" s="79" t="s">
        <v>4566</v>
      </c>
      <c r="J1142" s="83">
        <v>487.5</v>
      </c>
      <c r="K1142" s="83">
        <v>371.42857142857144</v>
      </c>
      <c r="L1142" s="83">
        <v>306.42857142857144</v>
      </c>
      <c r="M1142" s="84">
        <v>275.78571428571433</v>
      </c>
      <c r="N1142" s="59">
        <f t="shared" si="17"/>
        <v>0.43428571428571416</v>
      </c>
      <c r="O1142" s="85" t="s">
        <v>4604</v>
      </c>
      <c r="P1142" s="86" t="s">
        <v>4608</v>
      </c>
      <c r="Q1142" s="87" t="s">
        <v>3208</v>
      </c>
      <c r="R1142" s="87">
        <v>1</v>
      </c>
      <c r="S1142" s="88">
        <v>487.5</v>
      </c>
      <c r="T1142" s="88">
        <v>306.42857142857144</v>
      </c>
      <c r="U1142" s="88">
        <v>275.78571428571433</v>
      </c>
      <c r="V1142" s="87" t="s">
        <v>3064</v>
      </c>
      <c r="W1142" s="87" t="s">
        <v>3112</v>
      </c>
      <c r="X1142" s="90" t="s">
        <v>4612</v>
      </c>
      <c r="Y1142" s="89"/>
      <c r="Z1142" s="89"/>
      <c r="AA1142" s="89"/>
      <c r="AB1142" s="89"/>
    </row>
    <row r="1143" spans="1:28" s="31" customFormat="1" ht="60" customHeight="1" x14ac:dyDescent="0.2">
      <c r="A1143" s="76">
        <v>1142</v>
      </c>
      <c r="B1143" s="77">
        <v>50005856</v>
      </c>
      <c r="C1143" s="78" t="s">
        <v>4502</v>
      </c>
      <c r="D1143" s="79">
        <v>0.05</v>
      </c>
      <c r="E1143" s="80">
        <v>30049011</v>
      </c>
      <c r="F1143" s="81" t="s">
        <v>4569</v>
      </c>
      <c r="G1143" s="82" t="s">
        <v>4569</v>
      </c>
      <c r="H1143" s="82"/>
      <c r="I1143" s="79" t="s">
        <v>4566</v>
      </c>
      <c r="J1143" s="83">
        <v>487.5</v>
      </c>
      <c r="K1143" s="83">
        <v>371.42857142857144</v>
      </c>
      <c r="L1143" s="83">
        <v>306.42857142857144</v>
      </c>
      <c r="M1143" s="84">
        <v>275.78571428571433</v>
      </c>
      <c r="N1143" s="59">
        <f t="shared" si="17"/>
        <v>0.43428571428571416</v>
      </c>
      <c r="O1143" s="85" t="s">
        <v>4604</v>
      </c>
      <c r="P1143" s="86" t="s">
        <v>4605</v>
      </c>
      <c r="Q1143" s="87" t="s">
        <v>3208</v>
      </c>
      <c r="R1143" s="87">
        <v>1</v>
      </c>
      <c r="S1143" s="88">
        <v>487.5</v>
      </c>
      <c r="T1143" s="88">
        <v>306.42857142857144</v>
      </c>
      <c r="U1143" s="88">
        <v>275.78571428571433</v>
      </c>
      <c r="V1143" s="87" t="s">
        <v>3064</v>
      </c>
      <c r="W1143" s="87" t="s">
        <v>3112</v>
      </c>
      <c r="X1143" s="90" t="s">
        <v>4612</v>
      </c>
      <c r="Y1143" s="89"/>
      <c r="Z1143" s="89"/>
      <c r="AA1143" s="89"/>
      <c r="AB1143" s="89"/>
    </row>
    <row r="1144" spans="1:28" s="31" customFormat="1" ht="60" customHeight="1" x14ac:dyDescent="0.2">
      <c r="A1144" s="76">
        <v>1143</v>
      </c>
      <c r="B1144" s="77">
        <v>50006150</v>
      </c>
      <c r="C1144" s="78" t="s">
        <v>4503</v>
      </c>
      <c r="D1144" s="79">
        <v>0.05</v>
      </c>
      <c r="E1144" s="80">
        <v>30049011</v>
      </c>
      <c r="F1144" s="81" t="s">
        <v>4570</v>
      </c>
      <c r="G1144" s="82" t="s">
        <v>4570</v>
      </c>
      <c r="H1144" s="82"/>
      <c r="I1144" s="79" t="s">
        <v>4564</v>
      </c>
      <c r="J1144" s="83">
        <v>446</v>
      </c>
      <c r="K1144" s="83">
        <v>339.8095238095238</v>
      </c>
      <c r="L1144" s="83">
        <v>339.8095238095238</v>
      </c>
      <c r="M1144" s="84">
        <v>305.82857142857142</v>
      </c>
      <c r="N1144" s="59">
        <f t="shared" si="17"/>
        <v>0.31428571428571428</v>
      </c>
      <c r="O1144" s="85" t="s">
        <v>4604</v>
      </c>
      <c r="P1144" s="86" t="s">
        <v>4605</v>
      </c>
      <c r="Q1144" s="87" t="s">
        <v>3208</v>
      </c>
      <c r="R1144" s="87">
        <v>30</v>
      </c>
      <c r="S1144" s="88">
        <v>14.866666666666667</v>
      </c>
      <c r="T1144" s="88">
        <v>11.326984126984126</v>
      </c>
      <c r="U1144" s="88">
        <v>10.194285714285714</v>
      </c>
      <c r="V1144" s="87" t="s">
        <v>3061</v>
      </c>
      <c r="W1144" s="87" t="s">
        <v>3112</v>
      </c>
      <c r="X1144" s="90" t="s">
        <v>3478</v>
      </c>
      <c r="Y1144" s="89"/>
      <c r="Z1144" s="89"/>
      <c r="AA1144" s="89"/>
      <c r="AB1144" s="89"/>
    </row>
    <row r="1145" spans="1:28" s="31" customFormat="1" ht="60" customHeight="1" x14ac:dyDescent="0.2">
      <c r="A1145" s="76">
        <v>1144</v>
      </c>
      <c r="B1145" s="77">
        <v>50006159</v>
      </c>
      <c r="C1145" s="78" t="s">
        <v>4504</v>
      </c>
      <c r="D1145" s="79">
        <v>0.05</v>
      </c>
      <c r="E1145" s="80">
        <v>30049011</v>
      </c>
      <c r="F1145" s="81" t="s">
        <v>4571</v>
      </c>
      <c r="G1145" s="82" t="s">
        <v>4571</v>
      </c>
      <c r="H1145" s="82"/>
      <c r="I1145" s="79" t="s">
        <v>4553</v>
      </c>
      <c r="J1145" s="83">
        <v>327.5</v>
      </c>
      <c r="K1145" s="83">
        <v>249.52380952380955</v>
      </c>
      <c r="L1145" s="83">
        <v>249.52380952380955</v>
      </c>
      <c r="M1145" s="84">
        <v>224.57142857142858</v>
      </c>
      <c r="N1145" s="59">
        <f t="shared" si="17"/>
        <v>0.31428571428571422</v>
      </c>
      <c r="O1145" s="85" t="s">
        <v>4604</v>
      </c>
      <c r="P1145" s="86" t="s">
        <v>4605</v>
      </c>
      <c r="Q1145" s="87" t="s">
        <v>3208</v>
      </c>
      <c r="R1145" s="87">
        <v>30</v>
      </c>
      <c r="S1145" s="88">
        <v>10.916666666666666</v>
      </c>
      <c r="T1145" s="88">
        <v>8.3174603174603181</v>
      </c>
      <c r="U1145" s="88">
        <v>7.4857142857142858</v>
      </c>
      <c r="V1145" s="87" t="s">
        <v>3061</v>
      </c>
      <c r="W1145" s="87" t="s">
        <v>3112</v>
      </c>
      <c r="X1145" s="90" t="s">
        <v>3477</v>
      </c>
      <c r="Y1145" s="89"/>
      <c r="Z1145" s="89"/>
      <c r="AA1145" s="89"/>
      <c r="AB1145" s="89"/>
    </row>
    <row r="1146" spans="1:28" s="31" customFormat="1" ht="60" customHeight="1" x14ac:dyDescent="0.2">
      <c r="A1146" s="76">
        <v>1145</v>
      </c>
      <c r="B1146" s="77">
        <v>50005873</v>
      </c>
      <c r="C1146" s="78" t="s">
        <v>4505</v>
      </c>
      <c r="D1146" s="79">
        <v>0.05</v>
      </c>
      <c r="E1146" s="80">
        <v>30049099</v>
      </c>
      <c r="F1146" s="81" t="s">
        <v>4572</v>
      </c>
      <c r="G1146" s="82" t="s">
        <v>4572</v>
      </c>
      <c r="H1146" s="82"/>
      <c r="I1146" s="79" t="s">
        <v>4544</v>
      </c>
      <c r="J1146" s="83">
        <v>740.74</v>
      </c>
      <c r="K1146" s="83">
        <v>564.37333333333333</v>
      </c>
      <c r="L1146" s="83">
        <v>434.13333333333333</v>
      </c>
      <c r="M1146" s="84">
        <v>390.72</v>
      </c>
      <c r="N1146" s="59">
        <f t="shared" si="17"/>
        <v>0.47252747252747251</v>
      </c>
      <c r="O1146" s="85" t="s">
        <v>4604</v>
      </c>
      <c r="P1146" s="86" t="s">
        <v>4609</v>
      </c>
      <c r="Q1146" s="87" t="s">
        <v>3208</v>
      </c>
      <c r="R1146" s="87">
        <v>10</v>
      </c>
      <c r="S1146" s="88">
        <v>74.073999999999998</v>
      </c>
      <c r="T1146" s="88">
        <v>43.413333333333334</v>
      </c>
      <c r="U1146" s="88">
        <v>39.072000000000003</v>
      </c>
      <c r="V1146" s="87" t="s">
        <v>3061</v>
      </c>
      <c r="W1146" s="87" t="s">
        <v>3112</v>
      </c>
      <c r="X1146" s="90" t="s">
        <v>3478</v>
      </c>
      <c r="Y1146" s="89"/>
      <c r="Z1146" s="89"/>
      <c r="AA1146" s="89"/>
      <c r="AB1146" s="89"/>
    </row>
    <row r="1147" spans="1:28" s="31" customFormat="1" ht="60" customHeight="1" x14ac:dyDescent="0.2">
      <c r="A1147" s="76">
        <v>1146</v>
      </c>
      <c r="B1147" s="77">
        <v>50005876</v>
      </c>
      <c r="C1147" s="78" t="s">
        <v>4506</v>
      </c>
      <c r="D1147" s="79">
        <v>0.05</v>
      </c>
      <c r="E1147" s="80">
        <v>30043919</v>
      </c>
      <c r="F1147" s="81" t="s">
        <v>4573</v>
      </c>
      <c r="G1147" s="82" t="s">
        <v>4573</v>
      </c>
      <c r="H1147" s="82" t="s">
        <v>4725</v>
      </c>
      <c r="I1147" s="79" t="s">
        <v>4546</v>
      </c>
      <c r="J1147" s="83">
        <v>219.86</v>
      </c>
      <c r="K1147" s="83">
        <v>167.51238095238097</v>
      </c>
      <c r="L1147" s="83">
        <v>125.63428571428571</v>
      </c>
      <c r="M1147" s="84">
        <v>113.07085714285714</v>
      </c>
      <c r="N1147" s="59">
        <f t="shared" si="17"/>
        <v>0.48571428571428577</v>
      </c>
      <c r="O1147" s="85" t="s">
        <v>4604</v>
      </c>
      <c r="P1147" s="86" t="s">
        <v>4605</v>
      </c>
      <c r="Q1147" s="87" t="s">
        <v>3207</v>
      </c>
      <c r="R1147" s="87">
        <v>10</v>
      </c>
      <c r="S1147" s="88">
        <v>21.986000000000001</v>
      </c>
      <c r="T1147" s="88">
        <v>12.56342857142857</v>
      </c>
      <c r="U1147" s="88">
        <v>11.307085714285714</v>
      </c>
      <c r="V1147" s="87" t="s">
        <v>3061</v>
      </c>
      <c r="W1147" s="87" t="s">
        <v>3112</v>
      </c>
      <c r="X1147" s="90" t="s">
        <v>3477</v>
      </c>
      <c r="Y1147" s="89"/>
      <c r="Z1147" s="89"/>
      <c r="AA1147" s="89"/>
      <c r="AB1147" s="89"/>
    </row>
    <row r="1148" spans="1:28" s="31" customFormat="1" ht="60" customHeight="1" x14ac:dyDescent="0.2">
      <c r="A1148" s="76">
        <v>1147</v>
      </c>
      <c r="B1148" s="77">
        <v>50005871</v>
      </c>
      <c r="C1148" s="78" t="s">
        <v>4507</v>
      </c>
      <c r="D1148" s="79">
        <v>0.05</v>
      </c>
      <c r="E1148" s="80">
        <v>30043919</v>
      </c>
      <c r="F1148" s="81" t="s">
        <v>4574</v>
      </c>
      <c r="G1148" s="82" t="s">
        <v>4574</v>
      </c>
      <c r="H1148" s="82" t="s">
        <v>4728</v>
      </c>
      <c r="I1148" s="79" t="s">
        <v>4546</v>
      </c>
      <c r="J1148" s="83">
        <v>550.02</v>
      </c>
      <c r="K1148" s="83">
        <v>419.06285714285713</v>
      </c>
      <c r="L1148" s="83">
        <v>314.29714285714283</v>
      </c>
      <c r="M1148" s="84">
        <v>282.86742857142855</v>
      </c>
      <c r="N1148" s="59">
        <f t="shared" si="17"/>
        <v>0.48571428571428577</v>
      </c>
      <c r="O1148" s="85" t="s">
        <v>4604</v>
      </c>
      <c r="P1148" s="86" t="s">
        <v>4605</v>
      </c>
      <c r="Q1148" s="87" t="s">
        <v>3207</v>
      </c>
      <c r="R1148" s="87">
        <v>10</v>
      </c>
      <c r="S1148" s="88">
        <v>55.001999999999995</v>
      </c>
      <c r="T1148" s="88">
        <v>31.429714285714283</v>
      </c>
      <c r="U1148" s="88">
        <v>28.286742857142855</v>
      </c>
      <c r="V1148" s="87" t="s">
        <v>3061</v>
      </c>
      <c r="W1148" s="87" t="s">
        <v>3112</v>
      </c>
      <c r="X1148" s="90" t="s">
        <v>3477</v>
      </c>
      <c r="Y1148" s="89"/>
      <c r="Z1148" s="89"/>
      <c r="AA1148" s="89"/>
      <c r="AB1148" s="89"/>
    </row>
    <row r="1149" spans="1:28" s="31" customFormat="1" ht="60" customHeight="1" x14ac:dyDescent="0.2">
      <c r="A1149" s="76">
        <v>1148</v>
      </c>
      <c r="B1149" s="77">
        <v>50005896</v>
      </c>
      <c r="C1149" s="78" t="s">
        <v>4508</v>
      </c>
      <c r="D1149" s="79">
        <v>0.05</v>
      </c>
      <c r="E1149" s="80">
        <v>30043919</v>
      </c>
      <c r="F1149" s="81" t="s">
        <v>4575</v>
      </c>
      <c r="G1149" s="82" t="s">
        <v>4575</v>
      </c>
      <c r="H1149" s="82" t="s">
        <v>4706</v>
      </c>
      <c r="I1149" s="79" t="s">
        <v>4544</v>
      </c>
      <c r="J1149" s="83">
        <v>204.63</v>
      </c>
      <c r="K1149" s="83">
        <v>155.90857142857141</v>
      </c>
      <c r="L1149" s="83">
        <v>103.9390476190476</v>
      </c>
      <c r="M1149" s="84">
        <v>93.545142857142835</v>
      </c>
      <c r="N1149" s="59">
        <f t="shared" si="17"/>
        <v>0.54285714285714293</v>
      </c>
      <c r="O1149" s="85" t="s">
        <v>4604</v>
      </c>
      <c r="P1149" s="86" t="s">
        <v>4605</v>
      </c>
      <c r="Q1149" s="87" t="s">
        <v>3208</v>
      </c>
      <c r="R1149" s="87">
        <v>10</v>
      </c>
      <c r="S1149" s="88">
        <v>20.463000000000001</v>
      </c>
      <c r="T1149" s="88">
        <v>10.393904761904761</v>
      </c>
      <c r="U1149" s="88">
        <v>9.3545142857142842</v>
      </c>
      <c r="V1149" s="87" t="s">
        <v>3061</v>
      </c>
      <c r="W1149" s="87" t="s">
        <v>3112</v>
      </c>
      <c r="X1149" s="90" t="s">
        <v>3478</v>
      </c>
      <c r="Y1149" s="89"/>
      <c r="Z1149" s="89"/>
      <c r="AA1149" s="89"/>
      <c r="AB1149" s="89"/>
    </row>
    <row r="1150" spans="1:28" s="31" customFormat="1" ht="60" customHeight="1" x14ac:dyDescent="0.2">
      <c r="A1150" s="76">
        <v>1149</v>
      </c>
      <c r="B1150" s="77">
        <v>50005898</v>
      </c>
      <c r="C1150" s="78" t="s">
        <v>4509</v>
      </c>
      <c r="D1150" s="79">
        <v>0.05</v>
      </c>
      <c r="E1150" s="80">
        <v>30043919</v>
      </c>
      <c r="F1150" s="81" t="s">
        <v>4576</v>
      </c>
      <c r="G1150" s="82" t="s">
        <v>4576</v>
      </c>
      <c r="H1150" s="82" t="s">
        <v>4729</v>
      </c>
      <c r="I1150" s="79" t="s">
        <v>4544</v>
      </c>
      <c r="J1150" s="83">
        <v>343.14</v>
      </c>
      <c r="K1150" s="83">
        <v>261.44</v>
      </c>
      <c r="L1150" s="83">
        <v>174.29333333333335</v>
      </c>
      <c r="M1150" s="84">
        <v>156.86400000000003</v>
      </c>
      <c r="N1150" s="59">
        <f t="shared" si="17"/>
        <v>0.5428571428571427</v>
      </c>
      <c r="O1150" s="85" t="s">
        <v>4604</v>
      </c>
      <c r="P1150" s="86" t="s">
        <v>4605</v>
      </c>
      <c r="Q1150" s="87" t="s">
        <v>3208</v>
      </c>
      <c r="R1150" s="87">
        <v>10</v>
      </c>
      <c r="S1150" s="88">
        <v>34.314</v>
      </c>
      <c r="T1150" s="88">
        <v>17.429333333333336</v>
      </c>
      <c r="U1150" s="88">
        <v>15.686400000000003</v>
      </c>
      <c r="V1150" s="87" t="s">
        <v>3061</v>
      </c>
      <c r="W1150" s="87" t="s">
        <v>3112</v>
      </c>
      <c r="X1150" s="90" t="s">
        <v>3478</v>
      </c>
      <c r="Y1150" s="89"/>
      <c r="Z1150" s="89"/>
      <c r="AA1150" s="89"/>
      <c r="AB1150" s="89"/>
    </row>
    <row r="1151" spans="1:28" s="31" customFormat="1" ht="60" customHeight="1" x14ac:dyDescent="0.2">
      <c r="A1151" s="76">
        <v>1150</v>
      </c>
      <c r="B1151" s="77">
        <v>50005899</v>
      </c>
      <c r="C1151" s="78" t="s">
        <v>4510</v>
      </c>
      <c r="D1151" s="79">
        <v>0.05</v>
      </c>
      <c r="E1151" s="80">
        <v>30043919</v>
      </c>
      <c r="F1151" s="81" t="s">
        <v>4577</v>
      </c>
      <c r="G1151" s="82" t="s">
        <v>4577</v>
      </c>
      <c r="H1151" s="82" t="s">
        <v>4729</v>
      </c>
      <c r="I1151" s="79" t="s">
        <v>4546</v>
      </c>
      <c r="J1151" s="83">
        <v>404.89</v>
      </c>
      <c r="K1151" s="83">
        <v>308.48761904761903</v>
      </c>
      <c r="L1151" s="83">
        <v>205.65841269841269</v>
      </c>
      <c r="M1151" s="84">
        <v>185.09257142857143</v>
      </c>
      <c r="N1151" s="59">
        <f t="shared" si="17"/>
        <v>0.54285714285714282</v>
      </c>
      <c r="O1151" s="85" t="s">
        <v>4604</v>
      </c>
      <c r="P1151" s="86" t="s">
        <v>4747</v>
      </c>
      <c r="Q1151" s="87" t="s">
        <v>3208</v>
      </c>
      <c r="R1151" s="87">
        <v>10</v>
      </c>
      <c r="S1151" s="88">
        <v>40.488999999999997</v>
      </c>
      <c r="T1151" s="88">
        <v>20.565841269841268</v>
      </c>
      <c r="U1151" s="88">
        <v>18.509257142857145</v>
      </c>
      <c r="V1151" s="87" t="s">
        <v>3061</v>
      </c>
      <c r="W1151" s="87" t="s">
        <v>3112</v>
      </c>
      <c r="X1151" s="90" t="s">
        <v>3477</v>
      </c>
      <c r="Y1151" s="89"/>
      <c r="Z1151" s="89"/>
      <c r="AA1151" s="89"/>
      <c r="AB1151" s="89"/>
    </row>
    <row r="1152" spans="1:28" s="31" customFormat="1" ht="60" customHeight="1" x14ac:dyDescent="0.2">
      <c r="A1152" s="76">
        <v>1151</v>
      </c>
      <c r="B1152" s="77">
        <v>50005895</v>
      </c>
      <c r="C1152" s="78" t="s">
        <v>4511</v>
      </c>
      <c r="D1152" s="79">
        <v>0.05</v>
      </c>
      <c r="E1152" s="80">
        <v>30043919</v>
      </c>
      <c r="F1152" s="81" t="s">
        <v>4578</v>
      </c>
      <c r="G1152" s="82" t="s">
        <v>4578</v>
      </c>
      <c r="H1152" s="82" t="s">
        <v>4730</v>
      </c>
      <c r="I1152" s="79" t="s">
        <v>4546</v>
      </c>
      <c r="J1152" s="83">
        <v>526.57000000000005</v>
      </c>
      <c r="K1152" s="83">
        <v>401.19619047619051</v>
      </c>
      <c r="L1152" s="83">
        <v>267.46412698412701</v>
      </c>
      <c r="M1152" s="84">
        <v>240.71771428571432</v>
      </c>
      <c r="N1152" s="59">
        <f t="shared" si="17"/>
        <v>0.54285714285714282</v>
      </c>
      <c r="O1152" s="85" t="s">
        <v>4604</v>
      </c>
      <c r="P1152" s="86" t="s">
        <v>4605</v>
      </c>
      <c r="Q1152" s="87" t="s">
        <v>3208</v>
      </c>
      <c r="R1152" s="87">
        <v>10</v>
      </c>
      <c r="S1152" s="88">
        <v>52.657000000000004</v>
      </c>
      <c r="T1152" s="88">
        <v>26.746412698412701</v>
      </c>
      <c r="U1152" s="88">
        <v>24.071771428571431</v>
      </c>
      <c r="V1152" s="87" t="s">
        <v>3061</v>
      </c>
      <c r="W1152" s="87" t="s">
        <v>3112</v>
      </c>
      <c r="X1152" s="90" t="s">
        <v>3477</v>
      </c>
      <c r="Y1152" s="89"/>
      <c r="Z1152" s="89"/>
      <c r="AA1152" s="89"/>
      <c r="AB1152" s="89"/>
    </row>
    <row r="1153" spans="1:28" s="31" customFormat="1" ht="60" customHeight="1" x14ac:dyDescent="0.2">
      <c r="A1153" s="76">
        <v>1152</v>
      </c>
      <c r="B1153" s="77">
        <v>50005877</v>
      </c>
      <c r="C1153" s="78" t="s">
        <v>4512</v>
      </c>
      <c r="D1153" s="79">
        <v>0.05</v>
      </c>
      <c r="E1153" s="80">
        <v>30043919</v>
      </c>
      <c r="F1153" s="81" t="s">
        <v>4579</v>
      </c>
      <c r="G1153" s="82" t="s">
        <v>4579</v>
      </c>
      <c r="H1153" s="82"/>
      <c r="I1153" s="79" t="s">
        <v>2921</v>
      </c>
      <c r="J1153" s="83">
        <v>51</v>
      </c>
      <c r="K1153" s="83">
        <v>38.857142857142854</v>
      </c>
      <c r="L1153" s="83">
        <v>29.142857142857142</v>
      </c>
      <c r="M1153" s="84">
        <v>26.228571428571428</v>
      </c>
      <c r="N1153" s="59">
        <f t="shared" ref="N1153:N1184" si="18">(J1153-M1153)/J1153</f>
        <v>0.48571428571428571</v>
      </c>
      <c r="O1153" s="85" t="s">
        <v>4604</v>
      </c>
      <c r="P1153" s="86" t="s">
        <v>4605</v>
      </c>
      <c r="Q1153" s="87" t="s">
        <v>3208</v>
      </c>
      <c r="R1153" s="87">
        <v>1</v>
      </c>
      <c r="S1153" s="88">
        <v>51</v>
      </c>
      <c r="T1153" s="88">
        <v>29.142857142857142</v>
      </c>
      <c r="U1153" s="88">
        <v>26.228571428571428</v>
      </c>
      <c r="V1153" s="87" t="s">
        <v>3064</v>
      </c>
      <c r="W1153" s="87" t="s">
        <v>3112</v>
      </c>
      <c r="X1153" s="90" t="s">
        <v>3490</v>
      </c>
      <c r="Y1153" s="89"/>
      <c r="Z1153" s="89"/>
      <c r="AA1153" s="89"/>
      <c r="AB1153" s="89"/>
    </row>
    <row r="1154" spans="1:28" s="31" customFormat="1" ht="60" customHeight="1" x14ac:dyDescent="0.2">
      <c r="A1154" s="76">
        <v>1153</v>
      </c>
      <c r="B1154" s="77">
        <v>50005878</v>
      </c>
      <c r="C1154" s="78" t="s">
        <v>4513</v>
      </c>
      <c r="D1154" s="79">
        <v>0.05</v>
      </c>
      <c r="E1154" s="80">
        <v>30043919</v>
      </c>
      <c r="F1154" s="81" t="s">
        <v>4580</v>
      </c>
      <c r="G1154" s="82" t="s">
        <v>4580</v>
      </c>
      <c r="H1154" s="82" t="s">
        <v>4731</v>
      </c>
      <c r="I1154" s="79" t="s">
        <v>4546</v>
      </c>
      <c r="J1154" s="83">
        <v>321.17</v>
      </c>
      <c r="K1154" s="83">
        <v>244.70095238095237</v>
      </c>
      <c r="L1154" s="83">
        <v>183.52571428571429</v>
      </c>
      <c r="M1154" s="84">
        <v>165.17314285714286</v>
      </c>
      <c r="N1154" s="59">
        <f t="shared" si="18"/>
        <v>0.48571428571428571</v>
      </c>
      <c r="O1154" s="85" t="s">
        <v>4604</v>
      </c>
      <c r="P1154" s="86" t="s">
        <v>4605</v>
      </c>
      <c r="Q1154" s="87" t="s">
        <v>3208</v>
      </c>
      <c r="R1154" s="87">
        <v>10</v>
      </c>
      <c r="S1154" s="88">
        <v>32.117000000000004</v>
      </c>
      <c r="T1154" s="88">
        <v>18.35257142857143</v>
      </c>
      <c r="U1154" s="88">
        <v>16.517314285714285</v>
      </c>
      <c r="V1154" s="87" t="s">
        <v>3061</v>
      </c>
      <c r="W1154" s="87" t="s">
        <v>3112</v>
      </c>
      <c r="X1154" s="90" t="s">
        <v>3477</v>
      </c>
      <c r="Y1154" s="89"/>
      <c r="Z1154" s="89"/>
      <c r="AA1154" s="89"/>
      <c r="AB1154" s="89"/>
    </row>
    <row r="1155" spans="1:28" s="31" customFormat="1" ht="60" customHeight="1" x14ac:dyDescent="0.2">
      <c r="A1155" s="76">
        <v>1154</v>
      </c>
      <c r="B1155" s="77">
        <v>50005869</v>
      </c>
      <c r="C1155" s="78" t="s">
        <v>4514</v>
      </c>
      <c r="D1155" s="79">
        <v>0.05</v>
      </c>
      <c r="E1155" s="80">
        <v>30043919</v>
      </c>
      <c r="F1155" s="81" t="s">
        <v>4581</v>
      </c>
      <c r="G1155" s="82" t="s">
        <v>4581</v>
      </c>
      <c r="H1155" s="82" t="s">
        <v>4725</v>
      </c>
      <c r="I1155" s="79" t="s">
        <v>4546</v>
      </c>
      <c r="J1155" s="83">
        <v>210.61</v>
      </c>
      <c r="K1155" s="83">
        <v>160.4647619047619</v>
      </c>
      <c r="L1155" s="83">
        <v>120.34857142857143</v>
      </c>
      <c r="M1155" s="84">
        <v>108.31371428571431</v>
      </c>
      <c r="N1155" s="59">
        <f t="shared" si="18"/>
        <v>0.4857142857142856</v>
      </c>
      <c r="O1155" s="85" t="s">
        <v>4604</v>
      </c>
      <c r="P1155" s="86" t="s">
        <v>4605</v>
      </c>
      <c r="Q1155" s="87" t="s">
        <v>3208</v>
      </c>
      <c r="R1155" s="87">
        <v>10</v>
      </c>
      <c r="S1155" s="88">
        <v>21.061</v>
      </c>
      <c r="T1155" s="88">
        <v>12.034857142857144</v>
      </c>
      <c r="U1155" s="88">
        <v>10.831371428571432</v>
      </c>
      <c r="V1155" s="87" t="s">
        <v>3061</v>
      </c>
      <c r="W1155" s="87" t="s">
        <v>3112</v>
      </c>
      <c r="X1155" s="90" t="s">
        <v>3477</v>
      </c>
      <c r="Y1155" s="89"/>
      <c r="Z1155" s="89"/>
      <c r="AA1155" s="89"/>
      <c r="AB1155" s="89"/>
    </row>
    <row r="1156" spans="1:28" s="31" customFormat="1" ht="60" customHeight="1" x14ac:dyDescent="0.2">
      <c r="A1156" s="76">
        <v>1155</v>
      </c>
      <c r="B1156" s="77">
        <v>50005891</v>
      </c>
      <c r="C1156" s="78" t="s">
        <v>4515</v>
      </c>
      <c r="D1156" s="79">
        <v>0.05</v>
      </c>
      <c r="E1156" s="80">
        <v>30049099</v>
      </c>
      <c r="F1156" s="81" t="s">
        <v>4582</v>
      </c>
      <c r="G1156" s="82" t="s">
        <v>4582</v>
      </c>
      <c r="H1156" s="82"/>
      <c r="I1156" s="79" t="s">
        <v>4544</v>
      </c>
      <c r="J1156" s="83">
        <v>452.95</v>
      </c>
      <c r="K1156" s="83">
        <v>345.10476190476192</v>
      </c>
      <c r="L1156" s="83">
        <v>265.46520146520146</v>
      </c>
      <c r="M1156" s="84">
        <v>238.91868131868131</v>
      </c>
      <c r="N1156" s="59">
        <f t="shared" si="18"/>
        <v>0.47252747252747251</v>
      </c>
      <c r="O1156" s="85" t="s">
        <v>4604</v>
      </c>
      <c r="P1156" s="86" t="s">
        <v>4605</v>
      </c>
      <c r="Q1156" s="87" t="s">
        <v>3208</v>
      </c>
      <c r="R1156" s="87">
        <v>10</v>
      </c>
      <c r="S1156" s="88">
        <v>45.295000000000002</v>
      </c>
      <c r="T1156" s="88">
        <v>26.546520146520145</v>
      </c>
      <c r="U1156" s="88">
        <v>23.891868131868129</v>
      </c>
      <c r="V1156" s="87" t="s">
        <v>3061</v>
      </c>
      <c r="W1156" s="87" t="s">
        <v>3112</v>
      </c>
      <c r="X1156" s="90" t="s">
        <v>3478</v>
      </c>
      <c r="Y1156" s="89"/>
      <c r="Z1156" s="89"/>
      <c r="AA1156" s="89"/>
      <c r="AB1156" s="89"/>
    </row>
    <row r="1157" spans="1:28" s="31" customFormat="1" ht="60" customHeight="1" x14ac:dyDescent="0.2">
      <c r="A1157" s="76">
        <v>1156</v>
      </c>
      <c r="B1157" s="77">
        <v>50005872</v>
      </c>
      <c r="C1157" s="78" t="s">
        <v>4516</v>
      </c>
      <c r="D1157" s="79">
        <v>0.05</v>
      </c>
      <c r="E1157" s="80">
        <v>30049099</v>
      </c>
      <c r="F1157" s="81" t="s">
        <v>4583</v>
      </c>
      <c r="G1157" s="82" t="s">
        <v>4583</v>
      </c>
      <c r="H1157" s="82" t="s">
        <v>3752</v>
      </c>
      <c r="I1157" s="79" t="s">
        <v>4546</v>
      </c>
      <c r="J1157" s="83">
        <v>198.26</v>
      </c>
      <c r="K1157" s="83">
        <v>151.05523809523808</v>
      </c>
      <c r="L1157" s="83">
        <v>113.29142857142855</v>
      </c>
      <c r="M1157" s="84">
        <v>101.9622857142857</v>
      </c>
      <c r="N1157" s="59">
        <f t="shared" si="18"/>
        <v>0.48571428571428577</v>
      </c>
      <c r="O1157" s="85" t="s">
        <v>4604</v>
      </c>
      <c r="P1157" s="86" t="s">
        <v>4605</v>
      </c>
      <c r="Q1157" s="87" t="s">
        <v>3208</v>
      </c>
      <c r="R1157" s="87">
        <v>10</v>
      </c>
      <c r="S1157" s="88">
        <v>19.826000000000001</v>
      </c>
      <c r="T1157" s="88">
        <v>11.329142857142855</v>
      </c>
      <c r="U1157" s="88">
        <v>10.19622857142857</v>
      </c>
      <c r="V1157" s="87" t="s">
        <v>3061</v>
      </c>
      <c r="W1157" s="87" t="s">
        <v>3112</v>
      </c>
      <c r="X1157" s="90" t="s">
        <v>3477</v>
      </c>
      <c r="Y1157" s="89"/>
      <c r="Z1157" s="89"/>
      <c r="AA1157" s="89"/>
      <c r="AB1157" s="89"/>
    </row>
    <row r="1158" spans="1:28" s="31" customFormat="1" ht="60" customHeight="1" x14ac:dyDescent="0.2">
      <c r="A1158" s="76">
        <v>1157</v>
      </c>
      <c r="B1158" s="77">
        <v>50005893</v>
      </c>
      <c r="C1158" s="78" t="s">
        <v>4517</v>
      </c>
      <c r="D1158" s="79">
        <v>0.05</v>
      </c>
      <c r="E1158" s="80">
        <v>30049099</v>
      </c>
      <c r="F1158" s="81" t="s">
        <v>4584</v>
      </c>
      <c r="G1158" s="82" t="s">
        <v>4584</v>
      </c>
      <c r="H1158" s="82" t="s">
        <v>4732</v>
      </c>
      <c r="I1158" s="79" t="s">
        <v>2682</v>
      </c>
      <c r="J1158" s="83">
        <v>97.32</v>
      </c>
      <c r="K1158" s="83">
        <v>74.148571428571429</v>
      </c>
      <c r="L1158" s="83">
        <v>55.611428571428569</v>
      </c>
      <c r="M1158" s="84">
        <v>50.050285714285714</v>
      </c>
      <c r="N1158" s="59">
        <f t="shared" si="18"/>
        <v>0.48571428571428571</v>
      </c>
      <c r="O1158" s="85" t="s">
        <v>4604</v>
      </c>
      <c r="P1158" s="86" t="s">
        <v>4605</v>
      </c>
      <c r="Q1158" s="87" t="s">
        <v>3208</v>
      </c>
      <c r="R1158" s="87">
        <v>1</v>
      </c>
      <c r="S1158" s="88">
        <v>97.32</v>
      </c>
      <c r="T1158" s="88">
        <v>55.611428571428569</v>
      </c>
      <c r="U1158" s="88">
        <v>50.050285714285714</v>
      </c>
      <c r="V1158" s="87" t="s">
        <v>3062</v>
      </c>
      <c r="W1158" s="87" t="s">
        <v>3112</v>
      </c>
      <c r="X1158" s="90" t="s">
        <v>4611</v>
      </c>
      <c r="Y1158" s="89"/>
      <c r="Z1158" s="89"/>
      <c r="AA1158" s="89"/>
      <c r="AB1158" s="89"/>
    </row>
    <row r="1159" spans="1:28" s="31" customFormat="1" ht="60" customHeight="1" x14ac:dyDescent="0.2">
      <c r="A1159" s="76">
        <v>1158</v>
      </c>
      <c r="B1159" s="77">
        <v>50005870</v>
      </c>
      <c r="C1159" s="78" t="s">
        <v>4518</v>
      </c>
      <c r="D1159" s="79">
        <v>0.05</v>
      </c>
      <c r="E1159" s="80">
        <v>30045090</v>
      </c>
      <c r="F1159" s="81" t="s">
        <v>4585</v>
      </c>
      <c r="G1159" s="82" t="s">
        <v>4585</v>
      </c>
      <c r="H1159" s="82"/>
      <c r="I1159" s="79" t="s">
        <v>4586</v>
      </c>
      <c r="J1159" s="83">
        <v>49.45</v>
      </c>
      <c r="K1159" s="83">
        <v>37.676190476190477</v>
      </c>
      <c r="L1159" s="83">
        <v>28.257142857142856</v>
      </c>
      <c r="M1159" s="84">
        <v>25.431428571428572</v>
      </c>
      <c r="N1159" s="59">
        <f t="shared" si="18"/>
        <v>0.48571428571428571</v>
      </c>
      <c r="O1159" s="85" t="s">
        <v>4604</v>
      </c>
      <c r="P1159" s="86" t="s">
        <v>4605</v>
      </c>
      <c r="Q1159" s="87" t="s">
        <v>3208</v>
      </c>
      <c r="R1159" s="87">
        <v>15</v>
      </c>
      <c r="S1159" s="88">
        <v>3.2966666666666669</v>
      </c>
      <c r="T1159" s="88">
        <v>1.8838095238095238</v>
      </c>
      <c r="U1159" s="88">
        <v>1.6954285714285715</v>
      </c>
      <c r="V1159" s="87" t="s">
        <v>3061</v>
      </c>
      <c r="W1159" s="87" t="s">
        <v>3112</v>
      </c>
      <c r="X1159" s="90" t="s">
        <v>3477</v>
      </c>
      <c r="Y1159" s="89"/>
      <c r="Z1159" s="89"/>
      <c r="AA1159" s="89"/>
      <c r="AB1159" s="89"/>
    </row>
    <row r="1160" spans="1:28" s="31" customFormat="1" ht="60" customHeight="1" x14ac:dyDescent="0.2">
      <c r="A1160" s="76">
        <v>1159</v>
      </c>
      <c r="B1160" s="77">
        <v>50005882</v>
      </c>
      <c r="C1160" s="78" t="s">
        <v>4519</v>
      </c>
      <c r="D1160" s="79">
        <v>0.05</v>
      </c>
      <c r="E1160" s="80">
        <v>30045090</v>
      </c>
      <c r="F1160" s="81" t="s">
        <v>4587</v>
      </c>
      <c r="G1160" s="82" t="s">
        <v>4587</v>
      </c>
      <c r="H1160" s="82"/>
      <c r="I1160" s="79" t="s">
        <v>4586</v>
      </c>
      <c r="J1160" s="83">
        <v>126.27</v>
      </c>
      <c r="K1160" s="83">
        <v>96.205714285714279</v>
      </c>
      <c r="L1160" s="83">
        <v>72.154285714285706</v>
      </c>
      <c r="M1160" s="84">
        <v>64.938857142857131</v>
      </c>
      <c r="N1160" s="59">
        <f t="shared" si="18"/>
        <v>0.48571428571428577</v>
      </c>
      <c r="O1160" s="85" t="s">
        <v>4604</v>
      </c>
      <c r="P1160" s="86" t="s">
        <v>4605</v>
      </c>
      <c r="Q1160" s="87" t="s">
        <v>3208</v>
      </c>
      <c r="R1160" s="87">
        <v>15</v>
      </c>
      <c r="S1160" s="88">
        <v>8.4179999999999993</v>
      </c>
      <c r="T1160" s="88">
        <v>4.8102857142857136</v>
      </c>
      <c r="U1160" s="88">
        <v>4.3292571428571422</v>
      </c>
      <c r="V1160" s="87" t="s">
        <v>3061</v>
      </c>
      <c r="W1160" s="87" t="s">
        <v>3112</v>
      </c>
      <c r="X1160" s="90" t="s">
        <v>3477</v>
      </c>
      <c r="Y1160" s="89"/>
      <c r="Z1160" s="89"/>
      <c r="AA1160" s="89"/>
      <c r="AB1160" s="89"/>
    </row>
    <row r="1161" spans="1:28" s="31" customFormat="1" ht="60" customHeight="1" x14ac:dyDescent="0.2">
      <c r="A1161" s="76">
        <v>1160</v>
      </c>
      <c r="B1161" s="77">
        <v>50005868</v>
      </c>
      <c r="C1161" s="78" t="s">
        <v>4520</v>
      </c>
      <c r="D1161" s="79">
        <v>0.05</v>
      </c>
      <c r="E1161" s="80">
        <v>30045090</v>
      </c>
      <c r="F1161" s="81" t="s">
        <v>4588</v>
      </c>
      <c r="G1161" s="82" t="s">
        <v>4588</v>
      </c>
      <c r="H1161" s="82"/>
      <c r="I1161" s="79" t="s">
        <v>4546</v>
      </c>
      <c r="J1161" s="83">
        <v>179.29</v>
      </c>
      <c r="K1161" s="83">
        <v>136.60190476190476</v>
      </c>
      <c r="L1161" s="83">
        <v>102.45142857142858</v>
      </c>
      <c r="M1161" s="84">
        <v>92.206285714285713</v>
      </c>
      <c r="N1161" s="59">
        <f t="shared" si="18"/>
        <v>0.48571428571428571</v>
      </c>
      <c r="O1161" s="85" t="s">
        <v>4604</v>
      </c>
      <c r="P1161" s="86" t="s">
        <v>4605</v>
      </c>
      <c r="Q1161" s="87" t="s">
        <v>3208</v>
      </c>
      <c r="R1161" s="87">
        <v>10</v>
      </c>
      <c r="S1161" s="88">
        <v>17.928999999999998</v>
      </c>
      <c r="T1161" s="88">
        <v>10.245142857142858</v>
      </c>
      <c r="U1161" s="88">
        <v>9.2206285714285716</v>
      </c>
      <c r="V1161" s="87" t="s">
        <v>3061</v>
      </c>
      <c r="W1161" s="87" t="s">
        <v>3112</v>
      </c>
      <c r="X1161" s="90" t="s">
        <v>3477</v>
      </c>
      <c r="Y1161" s="89"/>
      <c r="Z1161" s="89"/>
      <c r="AA1161" s="89"/>
      <c r="AB1161" s="89"/>
    </row>
    <row r="1162" spans="1:28" s="31" customFormat="1" ht="60" customHeight="1" x14ac:dyDescent="0.2">
      <c r="A1162" s="76">
        <v>1161</v>
      </c>
      <c r="B1162" s="77">
        <v>50006149</v>
      </c>
      <c r="C1162" s="78" t="s">
        <v>4521</v>
      </c>
      <c r="D1162" s="79">
        <v>0.05</v>
      </c>
      <c r="E1162" s="80">
        <v>30045090</v>
      </c>
      <c r="F1162" s="81" t="s">
        <v>4589</v>
      </c>
      <c r="G1162" s="82" t="s">
        <v>4589</v>
      </c>
      <c r="H1162" s="82"/>
      <c r="I1162" s="79" t="s">
        <v>4553</v>
      </c>
      <c r="J1162" s="83">
        <v>402.16</v>
      </c>
      <c r="K1162" s="83">
        <v>306.40761904761905</v>
      </c>
      <c r="L1162" s="83">
        <v>255.33968253968254</v>
      </c>
      <c r="M1162" s="84">
        <v>229.80571428571429</v>
      </c>
      <c r="N1162" s="59">
        <f t="shared" si="18"/>
        <v>0.4285714285714286</v>
      </c>
      <c r="O1162" s="85" t="s">
        <v>4604</v>
      </c>
      <c r="P1162" s="86" t="s">
        <v>4605</v>
      </c>
      <c r="Q1162" s="87" t="s">
        <v>3208</v>
      </c>
      <c r="R1162" s="87">
        <v>30</v>
      </c>
      <c r="S1162" s="88">
        <v>13.405333333333335</v>
      </c>
      <c r="T1162" s="88">
        <v>8.5113227513227514</v>
      </c>
      <c r="U1162" s="88">
        <v>7.6601904761904764</v>
      </c>
      <c r="V1162" s="87" t="s">
        <v>3061</v>
      </c>
      <c r="W1162" s="87" t="s">
        <v>3112</v>
      </c>
      <c r="X1162" s="90" t="s">
        <v>3477</v>
      </c>
      <c r="Y1162" s="89"/>
      <c r="Z1162" s="89"/>
      <c r="AA1162" s="89"/>
      <c r="AB1162" s="89"/>
    </row>
    <row r="1163" spans="1:28" s="31" customFormat="1" ht="60" customHeight="1" x14ac:dyDescent="0.2">
      <c r="A1163" s="76">
        <v>1162</v>
      </c>
      <c r="B1163" s="77">
        <v>50005880</v>
      </c>
      <c r="C1163" s="78" t="s">
        <v>4522</v>
      </c>
      <c r="D1163" s="79">
        <v>0.05</v>
      </c>
      <c r="E1163" s="80">
        <v>30045090</v>
      </c>
      <c r="F1163" s="81" t="s">
        <v>4590</v>
      </c>
      <c r="G1163" s="82" t="s">
        <v>4590</v>
      </c>
      <c r="H1163" s="82"/>
      <c r="I1163" s="79" t="s">
        <v>4586</v>
      </c>
      <c r="J1163" s="83">
        <v>425.38</v>
      </c>
      <c r="K1163" s="83">
        <v>324.09904761904761</v>
      </c>
      <c r="L1163" s="83">
        <v>243.07428571428574</v>
      </c>
      <c r="M1163" s="84">
        <v>218.76685714285716</v>
      </c>
      <c r="N1163" s="59">
        <f t="shared" si="18"/>
        <v>0.48571428571428565</v>
      </c>
      <c r="O1163" s="85" t="s">
        <v>4604</v>
      </c>
      <c r="P1163" s="86" t="s">
        <v>4605</v>
      </c>
      <c r="Q1163" s="87" t="s">
        <v>3208</v>
      </c>
      <c r="R1163" s="87">
        <v>15</v>
      </c>
      <c r="S1163" s="88">
        <v>28.358666666666668</v>
      </c>
      <c r="T1163" s="88">
        <v>16.204952380952381</v>
      </c>
      <c r="U1163" s="88">
        <v>14.584457142857143</v>
      </c>
      <c r="V1163" s="87" t="s">
        <v>3061</v>
      </c>
      <c r="W1163" s="87" t="s">
        <v>3112</v>
      </c>
      <c r="X1163" s="90" t="s">
        <v>3477</v>
      </c>
      <c r="Y1163" s="89"/>
      <c r="Z1163" s="89"/>
      <c r="AA1163" s="89"/>
      <c r="AB1163" s="89"/>
    </row>
    <row r="1164" spans="1:28" s="31" customFormat="1" ht="60" customHeight="1" x14ac:dyDescent="0.2">
      <c r="A1164" s="76">
        <v>1163</v>
      </c>
      <c r="B1164" s="77">
        <v>50005884</v>
      </c>
      <c r="C1164" s="78" t="s">
        <v>4523</v>
      </c>
      <c r="D1164" s="79">
        <v>0.05</v>
      </c>
      <c r="E1164" s="80">
        <v>21069099</v>
      </c>
      <c r="F1164" s="81" t="s">
        <v>4591</v>
      </c>
      <c r="G1164" s="82" t="s">
        <v>4591</v>
      </c>
      <c r="H1164" s="82"/>
      <c r="I1164" s="79" t="s">
        <v>4546</v>
      </c>
      <c r="J1164" s="83">
        <v>478.5</v>
      </c>
      <c r="K1164" s="83">
        <v>364.57142857142856</v>
      </c>
      <c r="L1164" s="83">
        <v>303.8095238095238</v>
      </c>
      <c r="M1164" s="84">
        <v>273.42857142857144</v>
      </c>
      <c r="N1164" s="59">
        <f t="shared" si="18"/>
        <v>0.42857142857142855</v>
      </c>
      <c r="O1164" s="85" t="s">
        <v>4604</v>
      </c>
      <c r="P1164" s="86" t="s">
        <v>4605</v>
      </c>
      <c r="Q1164" s="87" t="s">
        <v>3208</v>
      </c>
      <c r="R1164" s="87">
        <v>10</v>
      </c>
      <c r="S1164" s="88">
        <v>47.85</v>
      </c>
      <c r="T1164" s="88">
        <v>30.38095238095238</v>
      </c>
      <c r="U1164" s="88">
        <v>27.342857142857145</v>
      </c>
      <c r="V1164" s="87" t="s">
        <v>3061</v>
      </c>
      <c r="W1164" s="87" t="s">
        <v>3112</v>
      </c>
      <c r="X1164" s="90" t="s">
        <v>3477</v>
      </c>
      <c r="Y1164" s="89"/>
      <c r="Z1164" s="89"/>
      <c r="AA1164" s="89"/>
      <c r="AB1164" s="89"/>
    </row>
    <row r="1165" spans="1:28" s="31" customFormat="1" ht="60" customHeight="1" x14ac:dyDescent="0.2">
      <c r="A1165" s="76">
        <v>1164</v>
      </c>
      <c r="B1165" s="77">
        <v>50005881</v>
      </c>
      <c r="C1165" s="78" t="s">
        <v>4524</v>
      </c>
      <c r="D1165" s="79">
        <v>0.05</v>
      </c>
      <c r="E1165" s="80">
        <v>30043919</v>
      </c>
      <c r="F1165" s="81" t="s">
        <v>4592</v>
      </c>
      <c r="G1165" s="82" t="s">
        <v>4592</v>
      </c>
      <c r="H1165" s="82" t="s">
        <v>4733</v>
      </c>
      <c r="I1165" s="79" t="s">
        <v>4546</v>
      </c>
      <c r="J1165" s="83">
        <v>165.61</v>
      </c>
      <c r="K1165" s="83">
        <v>126.17904761904762</v>
      </c>
      <c r="L1165" s="83">
        <v>97.060805860805857</v>
      </c>
      <c r="M1165" s="84">
        <v>87.354725274725268</v>
      </c>
      <c r="N1165" s="59">
        <f t="shared" si="18"/>
        <v>0.47252747252747263</v>
      </c>
      <c r="O1165" s="85" t="s">
        <v>4604</v>
      </c>
      <c r="P1165" s="86" t="s">
        <v>4605</v>
      </c>
      <c r="Q1165" s="87" t="s">
        <v>3208</v>
      </c>
      <c r="R1165" s="87">
        <v>10</v>
      </c>
      <c r="S1165" s="88">
        <v>16.561</v>
      </c>
      <c r="T1165" s="88">
        <v>9.706080586080585</v>
      </c>
      <c r="U1165" s="88">
        <v>8.7354725274725276</v>
      </c>
      <c r="V1165" s="87" t="s">
        <v>3061</v>
      </c>
      <c r="W1165" s="87" t="s">
        <v>3112</v>
      </c>
      <c r="X1165" s="90" t="s">
        <v>3477</v>
      </c>
      <c r="Y1165" s="89"/>
      <c r="Z1165" s="89"/>
      <c r="AA1165" s="89"/>
      <c r="AB1165" s="89"/>
    </row>
    <row r="1166" spans="1:28" s="31" customFormat="1" ht="60" customHeight="1" x14ac:dyDescent="0.2">
      <c r="A1166" s="76">
        <v>1165</v>
      </c>
      <c r="B1166" s="77">
        <v>50005879</v>
      </c>
      <c r="C1166" s="78" t="s">
        <v>4525</v>
      </c>
      <c r="D1166" s="79">
        <v>0.05</v>
      </c>
      <c r="E1166" s="80">
        <v>30043919</v>
      </c>
      <c r="F1166" s="81" t="s">
        <v>4593</v>
      </c>
      <c r="G1166" s="82" t="s">
        <v>4593</v>
      </c>
      <c r="H1166" s="82" t="s">
        <v>339</v>
      </c>
      <c r="I1166" s="79" t="s">
        <v>4546</v>
      </c>
      <c r="J1166" s="83">
        <v>364.97</v>
      </c>
      <c r="K1166" s="83">
        <v>278.07238095238097</v>
      </c>
      <c r="L1166" s="83">
        <v>213.90183150183154</v>
      </c>
      <c r="M1166" s="84">
        <v>192.51164835164838</v>
      </c>
      <c r="N1166" s="59">
        <f t="shared" si="18"/>
        <v>0.47252747252747251</v>
      </c>
      <c r="O1166" s="85" t="s">
        <v>4604</v>
      </c>
      <c r="P1166" s="86" t="s">
        <v>4605</v>
      </c>
      <c r="Q1166" s="87" t="s">
        <v>3208</v>
      </c>
      <c r="R1166" s="87">
        <v>10</v>
      </c>
      <c r="S1166" s="88">
        <v>36.497</v>
      </c>
      <c r="T1166" s="88">
        <v>21.390183150183155</v>
      </c>
      <c r="U1166" s="88">
        <v>19.251164835164836</v>
      </c>
      <c r="V1166" s="87" t="s">
        <v>3061</v>
      </c>
      <c r="W1166" s="87" t="s">
        <v>3112</v>
      </c>
      <c r="X1166" s="90" t="s">
        <v>3477</v>
      </c>
      <c r="Y1166" s="89"/>
      <c r="Z1166" s="89"/>
      <c r="AA1166" s="89"/>
      <c r="AB1166" s="89"/>
    </row>
    <row r="1167" spans="1:28" s="31" customFormat="1" ht="60" customHeight="1" x14ac:dyDescent="0.2">
      <c r="A1167" s="76">
        <v>1166</v>
      </c>
      <c r="B1167" s="77">
        <v>50005875</v>
      </c>
      <c r="C1167" s="78" t="s">
        <v>4526</v>
      </c>
      <c r="D1167" s="79">
        <v>0.05</v>
      </c>
      <c r="E1167" s="80">
        <v>30049099</v>
      </c>
      <c r="F1167" s="81" t="s">
        <v>4594</v>
      </c>
      <c r="G1167" s="82" t="s">
        <v>4594</v>
      </c>
      <c r="H1167" s="82" t="s">
        <v>4728</v>
      </c>
      <c r="I1167" s="79" t="s">
        <v>4546</v>
      </c>
      <c r="J1167" s="83">
        <v>272.01</v>
      </c>
      <c r="K1167" s="83">
        <v>207.24571428571431</v>
      </c>
      <c r="L1167" s="83">
        <v>159.41978021978025</v>
      </c>
      <c r="M1167" s="84">
        <v>143.47780219780222</v>
      </c>
      <c r="N1167" s="59">
        <f t="shared" si="18"/>
        <v>0.4725274725274724</v>
      </c>
      <c r="O1167" s="85" t="s">
        <v>4604</v>
      </c>
      <c r="P1167" s="86" t="s">
        <v>4605</v>
      </c>
      <c r="Q1167" s="87" t="s">
        <v>3208</v>
      </c>
      <c r="R1167" s="87">
        <v>10</v>
      </c>
      <c r="S1167" s="88">
        <v>27.201000000000001</v>
      </c>
      <c r="T1167" s="88">
        <v>15.941978021978025</v>
      </c>
      <c r="U1167" s="88">
        <v>14.347780219780223</v>
      </c>
      <c r="V1167" s="87" t="s">
        <v>3061</v>
      </c>
      <c r="W1167" s="87" t="s">
        <v>3112</v>
      </c>
      <c r="X1167" s="90" t="s">
        <v>3477</v>
      </c>
      <c r="Y1167" s="89"/>
      <c r="Z1167" s="89"/>
      <c r="AA1167" s="89"/>
      <c r="AB1167" s="89"/>
    </row>
    <row r="1168" spans="1:28" s="31" customFormat="1" ht="60" customHeight="1" x14ac:dyDescent="0.2">
      <c r="A1168" s="76">
        <v>1167</v>
      </c>
      <c r="B1168" s="77">
        <v>50006146</v>
      </c>
      <c r="C1168" s="78" t="s">
        <v>4650</v>
      </c>
      <c r="D1168" s="79">
        <v>0.05</v>
      </c>
      <c r="E1168" s="80">
        <v>21069099</v>
      </c>
      <c r="F1168" s="81" t="s">
        <v>4651</v>
      </c>
      <c r="G1168" s="82" t="str">
        <f>F1168</f>
        <v>Composition
Each capsule contains
Saccharomyces cerevisiae CNCM I-3856...2.5 Billion CFU
Zinc as Zinc sulphate monohydrate…..1.32mg</v>
      </c>
      <c r="H1168" s="82"/>
      <c r="I1168" s="79" t="s">
        <v>4544</v>
      </c>
      <c r="J1168" s="83">
        <v>489</v>
      </c>
      <c r="K1168" s="83">
        <v>372.57142857142856</v>
      </c>
      <c r="L1168" s="83">
        <v>372.57142857142856</v>
      </c>
      <c r="M1168" s="84">
        <v>335.31428571428569</v>
      </c>
      <c r="N1168" s="59">
        <f t="shared" si="18"/>
        <v>0.31428571428571433</v>
      </c>
      <c r="O1168" s="85" t="s">
        <v>4604</v>
      </c>
      <c r="P1168" s="86" t="s">
        <v>4605</v>
      </c>
      <c r="Q1168" s="87" t="s">
        <v>3208</v>
      </c>
      <c r="R1168" s="87">
        <v>10</v>
      </c>
      <c r="S1168" s="88">
        <v>48.9</v>
      </c>
      <c r="T1168" s="88">
        <v>37.257142857142853</v>
      </c>
      <c r="U1168" s="88">
        <v>33.53142857142857</v>
      </c>
      <c r="V1168" s="87" t="s">
        <v>3061</v>
      </c>
      <c r="W1168" s="87" t="s">
        <v>3112</v>
      </c>
      <c r="X1168" s="90" t="s">
        <v>3478</v>
      </c>
      <c r="Y1168" s="89"/>
      <c r="Z1168" s="89"/>
      <c r="AA1168" s="89"/>
      <c r="AB1168" s="89"/>
    </row>
    <row r="1169" spans="1:28" s="31" customFormat="1" ht="60" customHeight="1" x14ac:dyDescent="0.2">
      <c r="A1169" s="76">
        <v>1168</v>
      </c>
      <c r="B1169" s="77">
        <v>50005874</v>
      </c>
      <c r="C1169" s="78" t="s">
        <v>4527</v>
      </c>
      <c r="D1169" s="79">
        <v>0.05</v>
      </c>
      <c r="E1169" s="80">
        <v>30049084</v>
      </c>
      <c r="F1169" s="81" t="s">
        <v>4595</v>
      </c>
      <c r="G1169" s="82" t="s">
        <v>4595</v>
      </c>
      <c r="H1169" s="82"/>
      <c r="I1169" s="79" t="s">
        <v>4546</v>
      </c>
      <c r="J1169" s="83">
        <v>167.99</v>
      </c>
      <c r="K1169" s="83">
        <v>127.99238095238096</v>
      </c>
      <c r="L1169" s="83">
        <v>127.99238095238096</v>
      </c>
      <c r="M1169" s="84">
        <v>115.19314285714285</v>
      </c>
      <c r="N1169" s="59">
        <f t="shared" si="18"/>
        <v>0.31428571428571439</v>
      </c>
      <c r="O1169" s="85" t="s">
        <v>4604</v>
      </c>
      <c r="P1169" s="86" t="s">
        <v>4605</v>
      </c>
      <c r="Q1169" s="87" t="s">
        <v>3208</v>
      </c>
      <c r="R1169" s="87">
        <v>10</v>
      </c>
      <c r="S1169" s="88">
        <v>16.798999999999999</v>
      </c>
      <c r="T1169" s="88">
        <v>12.799238095238096</v>
      </c>
      <c r="U1169" s="88">
        <v>11.519314285714284</v>
      </c>
      <c r="V1169" s="87" t="s">
        <v>3061</v>
      </c>
      <c r="W1169" s="87" t="s">
        <v>3112</v>
      </c>
      <c r="X1169" s="90" t="s">
        <v>3477</v>
      </c>
      <c r="Y1169" s="89"/>
      <c r="Z1169" s="89"/>
      <c r="AA1169" s="89"/>
      <c r="AB1169" s="89"/>
    </row>
    <row r="1170" spans="1:28" s="31" customFormat="1" ht="60" customHeight="1" x14ac:dyDescent="0.2">
      <c r="A1170" s="76">
        <v>1169</v>
      </c>
      <c r="B1170" s="77">
        <v>50005889</v>
      </c>
      <c r="C1170" s="78" t="s">
        <v>4530</v>
      </c>
      <c r="D1170" s="79">
        <v>0.05</v>
      </c>
      <c r="E1170" s="80">
        <v>30049099</v>
      </c>
      <c r="F1170" s="81" t="s">
        <v>4599</v>
      </c>
      <c r="G1170" s="82" t="s">
        <v>4599</v>
      </c>
      <c r="H1170" s="82"/>
      <c r="I1170" s="79" t="s">
        <v>2682</v>
      </c>
      <c r="J1170" s="83">
        <v>148.22</v>
      </c>
      <c r="K1170" s="83">
        <v>112.92952380952381</v>
      </c>
      <c r="L1170" s="83">
        <v>90.343619047619043</v>
      </c>
      <c r="M1170" s="84">
        <v>81.309257142857135</v>
      </c>
      <c r="N1170" s="59">
        <f t="shared" si="18"/>
        <v>0.45142857142857146</v>
      </c>
      <c r="O1170" s="85" t="s">
        <v>4604</v>
      </c>
      <c r="P1170" s="86" t="s">
        <v>4605</v>
      </c>
      <c r="Q1170" s="87" t="s">
        <v>3208</v>
      </c>
      <c r="R1170" s="87">
        <v>1</v>
      </c>
      <c r="S1170" s="88">
        <v>148.22</v>
      </c>
      <c r="T1170" s="88">
        <v>90.343619047619043</v>
      </c>
      <c r="U1170" s="88">
        <v>81.309257142857135</v>
      </c>
      <c r="V1170" s="87" t="s">
        <v>3062</v>
      </c>
      <c r="W1170" s="87" t="s">
        <v>3112</v>
      </c>
      <c r="X1170" s="90" t="s">
        <v>4611</v>
      </c>
      <c r="Y1170" s="89"/>
      <c r="Z1170" s="89"/>
      <c r="AA1170" s="89"/>
      <c r="AB1170" s="89"/>
    </row>
    <row r="1171" spans="1:28" s="31" customFormat="1" ht="60" customHeight="1" x14ac:dyDescent="0.2">
      <c r="A1171" s="76">
        <v>1170</v>
      </c>
      <c r="B1171" s="77">
        <v>50005886</v>
      </c>
      <c r="C1171" s="78" t="s">
        <v>4531</v>
      </c>
      <c r="D1171" s="79">
        <v>0.05</v>
      </c>
      <c r="E1171" s="80">
        <v>21069099</v>
      </c>
      <c r="F1171" s="81" t="s">
        <v>4600</v>
      </c>
      <c r="G1171" s="82" t="s">
        <v>4600</v>
      </c>
      <c r="H1171" s="82"/>
      <c r="I1171" s="79" t="s">
        <v>2682</v>
      </c>
      <c r="J1171" s="83">
        <v>222</v>
      </c>
      <c r="K1171" s="83">
        <v>169.14285714285714</v>
      </c>
      <c r="L1171" s="83">
        <v>135.31428571428572</v>
      </c>
      <c r="M1171" s="84">
        <v>121.78285714285715</v>
      </c>
      <c r="N1171" s="59">
        <f t="shared" si="18"/>
        <v>0.4514285714285714</v>
      </c>
      <c r="O1171" s="85" t="s">
        <v>4604</v>
      </c>
      <c r="P1171" s="86" t="s">
        <v>4605</v>
      </c>
      <c r="Q1171" s="87" t="s">
        <v>3208</v>
      </c>
      <c r="R1171" s="87">
        <v>1</v>
      </c>
      <c r="S1171" s="88">
        <v>222</v>
      </c>
      <c r="T1171" s="88">
        <v>135.31428571428572</v>
      </c>
      <c r="U1171" s="88">
        <v>121.78285714285715</v>
      </c>
      <c r="V1171" s="87" t="s">
        <v>3062</v>
      </c>
      <c r="W1171" s="87" t="s">
        <v>3112</v>
      </c>
      <c r="X1171" s="90" t="s">
        <v>3484</v>
      </c>
      <c r="Y1171" s="89"/>
      <c r="Z1171" s="89"/>
      <c r="AA1171" s="89"/>
      <c r="AB1171" s="89"/>
    </row>
    <row r="1172" spans="1:28" s="31" customFormat="1" ht="60" customHeight="1" x14ac:dyDescent="0.2">
      <c r="A1172" s="76">
        <v>1171</v>
      </c>
      <c r="B1172" s="77">
        <v>50005894</v>
      </c>
      <c r="C1172" s="78" t="s">
        <v>4532</v>
      </c>
      <c r="D1172" s="79">
        <v>0.05</v>
      </c>
      <c r="E1172" s="80">
        <v>30049011</v>
      </c>
      <c r="F1172" s="81" t="s">
        <v>4601</v>
      </c>
      <c r="G1172" s="82" t="s">
        <v>4601</v>
      </c>
      <c r="H1172" s="82"/>
      <c r="I1172" s="79" t="s">
        <v>2687</v>
      </c>
      <c r="J1172" s="83">
        <v>194</v>
      </c>
      <c r="K1172" s="83">
        <v>147.8095238095238</v>
      </c>
      <c r="L1172" s="83">
        <v>147.8095238095238</v>
      </c>
      <c r="M1172" s="84">
        <v>133.02857142857141</v>
      </c>
      <c r="N1172" s="59">
        <f t="shared" si="18"/>
        <v>0.31428571428571439</v>
      </c>
      <c r="O1172" s="85" t="s">
        <v>4604</v>
      </c>
      <c r="P1172" s="86" t="s">
        <v>4605</v>
      </c>
      <c r="Q1172" s="87" t="s">
        <v>3208</v>
      </c>
      <c r="R1172" s="87">
        <v>1</v>
      </c>
      <c r="S1172" s="88">
        <v>194</v>
      </c>
      <c r="T1172" s="88">
        <v>147.8095238095238</v>
      </c>
      <c r="U1172" s="88">
        <v>133.02857142857141</v>
      </c>
      <c r="V1172" s="87" t="s">
        <v>3062</v>
      </c>
      <c r="W1172" s="87" t="s">
        <v>3112</v>
      </c>
      <c r="X1172" s="90" t="s">
        <v>3484</v>
      </c>
      <c r="Y1172" s="89"/>
      <c r="Z1172" s="89"/>
      <c r="AA1172" s="89"/>
      <c r="AB1172" s="89"/>
    </row>
    <row r="1173" spans="1:28" s="31" customFormat="1" ht="60" customHeight="1" x14ac:dyDescent="0.2">
      <c r="A1173" s="76">
        <v>1172</v>
      </c>
      <c r="B1173" s="77">
        <v>50005897</v>
      </c>
      <c r="C1173" s="78" t="s">
        <v>4533</v>
      </c>
      <c r="D1173" s="79">
        <v>0.05</v>
      </c>
      <c r="E1173" s="80">
        <v>30049099</v>
      </c>
      <c r="F1173" s="81" t="s">
        <v>4602</v>
      </c>
      <c r="G1173" s="82" t="s">
        <v>4602</v>
      </c>
      <c r="H1173" s="82"/>
      <c r="I1173" s="79" t="s">
        <v>2771</v>
      </c>
      <c r="J1173" s="83">
        <v>68.62</v>
      </c>
      <c r="K1173" s="83">
        <v>52.281904761904762</v>
      </c>
      <c r="L1173" s="83">
        <v>34.85460317460317</v>
      </c>
      <c r="M1173" s="84">
        <v>31.369142857142855</v>
      </c>
      <c r="N1173" s="59">
        <f t="shared" si="18"/>
        <v>0.54285714285714293</v>
      </c>
      <c r="O1173" s="85" t="s">
        <v>4604</v>
      </c>
      <c r="P1173" s="86" t="s">
        <v>3196</v>
      </c>
      <c r="Q1173" s="87" t="s">
        <v>3208</v>
      </c>
      <c r="R1173" s="87">
        <v>1</v>
      </c>
      <c r="S1173" s="88">
        <v>68.62</v>
      </c>
      <c r="T1173" s="88">
        <v>34.85460317460317</v>
      </c>
      <c r="U1173" s="88">
        <v>31.369142857142855</v>
      </c>
      <c r="V1173" s="87" t="s">
        <v>3064</v>
      </c>
      <c r="W1173" s="87" t="s">
        <v>3112</v>
      </c>
      <c r="X1173" s="90" t="s">
        <v>3490</v>
      </c>
      <c r="Y1173" s="89"/>
      <c r="Z1173" s="89"/>
      <c r="AA1173" s="89"/>
      <c r="AB1173" s="89"/>
    </row>
    <row r="1174" spans="1:28" s="31" customFormat="1" ht="60" customHeight="1" x14ac:dyDescent="0.2">
      <c r="A1174" s="76">
        <v>1173</v>
      </c>
      <c r="B1174" s="77">
        <v>50005888</v>
      </c>
      <c r="C1174" s="78" t="s">
        <v>4534</v>
      </c>
      <c r="D1174" s="79">
        <v>0.05</v>
      </c>
      <c r="E1174" s="80">
        <v>30049099</v>
      </c>
      <c r="F1174" s="81" t="s">
        <v>4603</v>
      </c>
      <c r="G1174" s="82" t="s">
        <v>4603</v>
      </c>
      <c r="H1174" s="82" t="s">
        <v>4734</v>
      </c>
      <c r="I1174" s="79" t="s">
        <v>2724</v>
      </c>
      <c r="J1174" s="83">
        <v>67.239999999999995</v>
      </c>
      <c r="K1174" s="83">
        <v>51.230476190476182</v>
      </c>
      <c r="L1174" s="83">
        <v>19.922962962962959</v>
      </c>
      <c r="M1174" s="84">
        <v>17.930666666666664</v>
      </c>
      <c r="N1174" s="59">
        <f t="shared" si="18"/>
        <v>0.73333333333333328</v>
      </c>
      <c r="O1174" s="85" t="s">
        <v>4604</v>
      </c>
      <c r="P1174" s="86" t="s">
        <v>3196</v>
      </c>
      <c r="Q1174" s="87" t="s">
        <v>3208</v>
      </c>
      <c r="R1174" s="87">
        <v>1</v>
      </c>
      <c r="S1174" s="88">
        <v>67.239999999999995</v>
      </c>
      <c r="T1174" s="88">
        <v>19.922962962962959</v>
      </c>
      <c r="U1174" s="88">
        <v>17.930666666666664</v>
      </c>
      <c r="V1174" s="87" t="s">
        <v>3064</v>
      </c>
      <c r="W1174" s="87" t="s">
        <v>3112</v>
      </c>
      <c r="X1174" s="90" t="s">
        <v>3490</v>
      </c>
      <c r="Y1174" s="89"/>
      <c r="Z1174" s="89"/>
      <c r="AA1174" s="89"/>
      <c r="AB1174" s="89"/>
    </row>
    <row r="1175" spans="1:28" s="31" customFormat="1" ht="60" customHeight="1" x14ac:dyDescent="0.2">
      <c r="A1175" s="76">
        <v>1174</v>
      </c>
      <c r="B1175" s="77">
        <v>50005294</v>
      </c>
      <c r="C1175" s="78" t="s">
        <v>3360</v>
      </c>
      <c r="D1175" s="79">
        <v>0.05</v>
      </c>
      <c r="E1175" s="80">
        <v>30049099</v>
      </c>
      <c r="F1175" s="81" t="s">
        <v>3377</v>
      </c>
      <c r="G1175" s="82" t="s">
        <v>3390</v>
      </c>
      <c r="H1175" s="82" t="s">
        <v>158</v>
      </c>
      <c r="I1175" s="79" t="s">
        <v>2663</v>
      </c>
      <c r="J1175" s="83">
        <v>158.22999999999999</v>
      </c>
      <c r="K1175" s="83">
        <v>120.55619047619045</v>
      </c>
      <c r="L1175" s="83">
        <v>120.55619047619045</v>
      </c>
      <c r="M1175" s="84">
        <v>96.444952380952373</v>
      </c>
      <c r="N1175" s="59">
        <f t="shared" si="18"/>
        <v>0.39047619047619048</v>
      </c>
      <c r="O1175" s="85" t="s">
        <v>4868</v>
      </c>
      <c r="P1175" s="86" t="s">
        <v>37</v>
      </c>
      <c r="Q1175" s="87" t="s">
        <v>3208</v>
      </c>
      <c r="R1175" s="87">
        <v>15</v>
      </c>
      <c r="S1175" s="88">
        <v>10.548666666666666</v>
      </c>
      <c r="T1175" s="88">
        <v>8.0370793650793626</v>
      </c>
      <c r="U1175" s="88">
        <v>6.4296634920634919</v>
      </c>
      <c r="V1175" s="87" t="s">
        <v>3061</v>
      </c>
      <c r="W1175" s="87" t="s">
        <v>3114</v>
      </c>
      <c r="X1175" s="90" t="s">
        <v>3477</v>
      </c>
      <c r="Y1175" s="89"/>
      <c r="Z1175" s="89">
        <v>4</v>
      </c>
      <c r="AA1175" s="89"/>
      <c r="AB1175" s="89" t="s">
        <v>4613</v>
      </c>
    </row>
    <row r="1176" spans="1:28" s="31" customFormat="1" ht="60" customHeight="1" x14ac:dyDescent="0.2">
      <c r="A1176" s="76">
        <v>1175</v>
      </c>
      <c r="B1176" s="77">
        <v>50005295</v>
      </c>
      <c r="C1176" s="78" t="s">
        <v>3361</v>
      </c>
      <c r="D1176" s="79">
        <v>0.05</v>
      </c>
      <c r="E1176" s="80">
        <v>30049099</v>
      </c>
      <c r="F1176" s="81" t="s">
        <v>3378</v>
      </c>
      <c r="G1176" s="82" t="s">
        <v>3391</v>
      </c>
      <c r="H1176" s="82" t="s">
        <v>323</v>
      </c>
      <c r="I1176" s="79" t="s">
        <v>2663</v>
      </c>
      <c r="J1176" s="83">
        <v>215</v>
      </c>
      <c r="K1176" s="83">
        <v>163.8095238095238</v>
      </c>
      <c r="L1176" s="83">
        <v>163.8095238095238</v>
      </c>
      <c r="M1176" s="84">
        <v>131.04761904761904</v>
      </c>
      <c r="N1176" s="59">
        <f t="shared" si="18"/>
        <v>0.39047619047619053</v>
      </c>
      <c r="O1176" s="85" t="s">
        <v>4868</v>
      </c>
      <c r="P1176" s="86" t="s">
        <v>37</v>
      </c>
      <c r="Q1176" s="87" t="s">
        <v>3208</v>
      </c>
      <c r="R1176" s="87">
        <v>15</v>
      </c>
      <c r="S1176" s="88">
        <v>14.333333333333334</v>
      </c>
      <c r="T1176" s="88">
        <v>10.920634920634919</v>
      </c>
      <c r="U1176" s="88">
        <v>8.7365079365079357</v>
      </c>
      <c r="V1176" s="87" t="s">
        <v>3061</v>
      </c>
      <c r="W1176" s="87" t="s">
        <v>3114</v>
      </c>
      <c r="X1176" s="90" t="s">
        <v>3477</v>
      </c>
      <c r="Y1176" s="89"/>
      <c r="Z1176" s="89">
        <v>4</v>
      </c>
      <c r="AA1176" s="89"/>
      <c r="AB1176" s="89"/>
    </row>
    <row r="1177" spans="1:28" s="31" customFormat="1" ht="60" customHeight="1" x14ac:dyDescent="0.2">
      <c r="A1177" s="76">
        <v>1176</v>
      </c>
      <c r="B1177" s="77">
        <v>50005297</v>
      </c>
      <c r="C1177" s="78" t="s">
        <v>3362</v>
      </c>
      <c r="D1177" s="79">
        <v>0.05</v>
      </c>
      <c r="E1177" s="80">
        <v>30049099</v>
      </c>
      <c r="F1177" s="81" t="s">
        <v>3379</v>
      </c>
      <c r="G1177" s="82" t="s">
        <v>3392</v>
      </c>
      <c r="H1177" s="82" t="s">
        <v>4068</v>
      </c>
      <c r="I1177" s="79" t="s">
        <v>2663</v>
      </c>
      <c r="J1177" s="83">
        <v>177.88</v>
      </c>
      <c r="K1177" s="83">
        <v>135.52761904761905</v>
      </c>
      <c r="L1177" s="83">
        <v>135.52761904761905</v>
      </c>
      <c r="M1177" s="84">
        <v>108.42209523809525</v>
      </c>
      <c r="N1177" s="59">
        <f t="shared" si="18"/>
        <v>0.39047619047619037</v>
      </c>
      <c r="O1177" s="85" t="s">
        <v>4868</v>
      </c>
      <c r="P1177" s="86" t="s">
        <v>37</v>
      </c>
      <c r="Q1177" s="87" t="s">
        <v>3208</v>
      </c>
      <c r="R1177" s="87">
        <v>15</v>
      </c>
      <c r="S1177" s="88">
        <v>11.858666666666666</v>
      </c>
      <c r="T1177" s="88">
        <v>9.0351746031746032</v>
      </c>
      <c r="U1177" s="88">
        <v>7.2281396825396831</v>
      </c>
      <c r="V1177" s="87" t="s">
        <v>3061</v>
      </c>
      <c r="W1177" s="87" t="s">
        <v>3114</v>
      </c>
      <c r="X1177" s="90" t="s">
        <v>3477</v>
      </c>
      <c r="Y1177" s="89"/>
      <c r="Z1177" s="89">
        <v>4</v>
      </c>
      <c r="AA1177" s="89"/>
      <c r="AB1177" s="89"/>
    </row>
    <row r="1178" spans="1:28" s="31" customFormat="1" ht="60" customHeight="1" x14ac:dyDescent="0.2">
      <c r="A1178" s="76">
        <v>1177</v>
      </c>
      <c r="B1178" s="77">
        <v>50005296</v>
      </c>
      <c r="C1178" s="78" t="s">
        <v>3363</v>
      </c>
      <c r="D1178" s="79">
        <v>0.05</v>
      </c>
      <c r="E1178" s="80">
        <v>30049099</v>
      </c>
      <c r="F1178" s="81" t="s">
        <v>3380</v>
      </c>
      <c r="G1178" s="82" t="s">
        <v>3393</v>
      </c>
      <c r="H1178" s="82" t="s">
        <v>4069</v>
      </c>
      <c r="I1178" s="79" t="s">
        <v>2663</v>
      </c>
      <c r="J1178" s="83">
        <v>173.38</v>
      </c>
      <c r="K1178" s="83">
        <v>132.09904761904761</v>
      </c>
      <c r="L1178" s="83">
        <v>132.09904761904761</v>
      </c>
      <c r="M1178" s="84">
        <v>105.67923809523809</v>
      </c>
      <c r="N1178" s="59">
        <f t="shared" si="18"/>
        <v>0.39047619047619048</v>
      </c>
      <c r="O1178" s="85" t="s">
        <v>4868</v>
      </c>
      <c r="P1178" s="86" t="s">
        <v>37</v>
      </c>
      <c r="Q1178" s="87" t="s">
        <v>3208</v>
      </c>
      <c r="R1178" s="87">
        <v>15</v>
      </c>
      <c r="S1178" s="88">
        <v>11.558666666666666</v>
      </c>
      <c r="T1178" s="88">
        <v>8.8066031746031737</v>
      </c>
      <c r="U1178" s="88">
        <v>7.0452825396825398</v>
      </c>
      <c r="V1178" s="87" t="s">
        <v>3061</v>
      </c>
      <c r="W1178" s="87" t="s">
        <v>3114</v>
      </c>
      <c r="X1178" s="90" t="s">
        <v>3477</v>
      </c>
      <c r="Y1178" s="89"/>
      <c r="Z1178" s="89">
        <v>4</v>
      </c>
      <c r="AA1178" s="89"/>
      <c r="AB1178" s="89"/>
    </row>
    <row r="1179" spans="1:28" s="31" customFormat="1" ht="60" customHeight="1" x14ac:dyDescent="0.2">
      <c r="A1179" s="76">
        <v>1178</v>
      </c>
      <c r="B1179" s="77">
        <v>50005792</v>
      </c>
      <c r="C1179" s="78" t="s">
        <v>4228</v>
      </c>
      <c r="D1179" s="79">
        <v>0.05</v>
      </c>
      <c r="E1179" s="80">
        <v>30049099</v>
      </c>
      <c r="F1179" s="81" t="s">
        <v>4240</v>
      </c>
      <c r="G1179" s="82" t="s">
        <v>4254</v>
      </c>
      <c r="H1179" s="82" t="s">
        <v>3810</v>
      </c>
      <c r="I1179" s="79" t="s">
        <v>2663</v>
      </c>
      <c r="J1179" s="83">
        <v>202.49</v>
      </c>
      <c r="K1179" s="83">
        <v>154.27809523809523</v>
      </c>
      <c r="L1179" s="83">
        <v>154.27809523809523</v>
      </c>
      <c r="M1179" s="84">
        <v>123.42247619047619</v>
      </c>
      <c r="N1179" s="59">
        <f t="shared" si="18"/>
        <v>0.39047619047619053</v>
      </c>
      <c r="O1179" s="85" t="s">
        <v>4868</v>
      </c>
      <c r="P1179" s="86" t="s">
        <v>2748</v>
      </c>
      <c r="Q1179" s="87" t="s">
        <v>3208</v>
      </c>
      <c r="R1179" s="87">
        <v>15</v>
      </c>
      <c r="S1179" s="88">
        <v>13.499333333333334</v>
      </c>
      <c r="T1179" s="88">
        <v>10.28520634920635</v>
      </c>
      <c r="U1179" s="88">
        <v>8.2281650793650787</v>
      </c>
      <c r="V1179" s="87" t="s">
        <v>3061</v>
      </c>
      <c r="W1179" s="87" t="s">
        <v>3114</v>
      </c>
      <c r="X1179" s="90" t="s">
        <v>3477</v>
      </c>
      <c r="Y1179" s="89"/>
      <c r="Z1179" s="89"/>
      <c r="AA1179" s="89"/>
      <c r="AB1179" s="89"/>
    </row>
    <row r="1180" spans="1:28" s="31" customFormat="1" ht="60" customHeight="1" x14ac:dyDescent="0.2">
      <c r="A1180" s="76">
        <v>1179</v>
      </c>
      <c r="B1180" s="77">
        <v>50005495</v>
      </c>
      <c r="C1180" s="78" t="s">
        <v>3636</v>
      </c>
      <c r="D1180" s="79">
        <v>0.05</v>
      </c>
      <c r="E1180" s="80">
        <v>30049099</v>
      </c>
      <c r="F1180" s="81" t="s">
        <v>3649</v>
      </c>
      <c r="G1180" s="82" t="s">
        <v>3269</v>
      </c>
      <c r="H1180" s="82" t="s">
        <v>3281</v>
      </c>
      <c r="I1180" s="79" t="s">
        <v>2663</v>
      </c>
      <c r="J1180" s="83">
        <v>208.68</v>
      </c>
      <c r="K1180" s="83">
        <v>158.9942857142857</v>
      </c>
      <c r="L1180" s="83">
        <v>158.9942857142857</v>
      </c>
      <c r="M1180" s="84">
        <v>127.19542857142856</v>
      </c>
      <c r="N1180" s="59">
        <f t="shared" si="18"/>
        <v>0.39047619047619053</v>
      </c>
      <c r="O1180" s="85" t="s">
        <v>4868</v>
      </c>
      <c r="P1180" s="86" t="s">
        <v>2748</v>
      </c>
      <c r="Q1180" s="87" t="s">
        <v>3208</v>
      </c>
      <c r="R1180" s="87">
        <v>15</v>
      </c>
      <c r="S1180" s="88">
        <v>13.912000000000001</v>
      </c>
      <c r="T1180" s="88">
        <v>10.599619047619047</v>
      </c>
      <c r="U1180" s="88">
        <v>8.4796952380952373</v>
      </c>
      <c r="V1180" s="87" t="s">
        <v>3061</v>
      </c>
      <c r="W1180" s="87" t="s">
        <v>3114</v>
      </c>
      <c r="X1180" s="90" t="s">
        <v>3477</v>
      </c>
      <c r="Y1180" s="89"/>
      <c r="Z1180" s="89"/>
      <c r="AA1180" s="89"/>
      <c r="AB1180" s="89"/>
    </row>
    <row r="1181" spans="1:28" s="31" customFormat="1" ht="60" customHeight="1" x14ac:dyDescent="0.2">
      <c r="A1181" s="76">
        <v>1180</v>
      </c>
      <c r="B1181" s="77">
        <v>50006118</v>
      </c>
      <c r="C1181" s="78" t="s">
        <v>4793</v>
      </c>
      <c r="D1181" s="79">
        <v>0.05</v>
      </c>
      <c r="E1181" s="80">
        <v>30049099</v>
      </c>
      <c r="F1181" s="81" t="s">
        <v>4818</v>
      </c>
      <c r="G1181" s="82" t="s">
        <v>4856</v>
      </c>
      <c r="H1181" s="82"/>
      <c r="I1181" s="79" t="s">
        <v>2728</v>
      </c>
      <c r="J1181" s="83">
        <v>4999</v>
      </c>
      <c r="K1181" s="83">
        <v>3808.7619047619046</v>
      </c>
      <c r="L1181" s="83">
        <v>3808.7619047619046</v>
      </c>
      <c r="M1181" s="84">
        <v>3047.0095238095237</v>
      </c>
      <c r="N1181" s="59">
        <f t="shared" si="18"/>
        <v>0.39047619047619048</v>
      </c>
      <c r="O1181" s="85" t="s">
        <v>4868</v>
      </c>
      <c r="P1181" s="86" t="s">
        <v>4869</v>
      </c>
      <c r="Q1181" s="87" t="s">
        <v>3208</v>
      </c>
      <c r="R1181" s="87">
        <v>1</v>
      </c>
      <c r="S1181" s="88">
        <v>4999</v>
      </c>
      <c r="T1181" s="88">
        <v>3808.7619047619046</v>
      </c>
      <c r="U1181" s="88">
        <v>3047.0095238095237</v>
      </c>
      <c r="V1181" s="87" t="s">
        <v>3067</v>
      </c>
      <c r="W1181" s="87" t="s">
        <v>3112</v>
      </c>
      <c r="X1181" s="90" t="s">
        <v>3610</v>
      </c>
      <c r="Y1181" s="89"/>
      <c r="Z1181" s="89"/>
      <c r="AA1181" s="89"/>
      <c r="AB1181" s="89" t="s">
        <v>3299</v>
      </c>
    </row>
    <row r="1182" spans="1:28" s="31" customFormat="1" ht="60" customHeight="1" x14ac:dyDescent="0.2">
      <c r="A1182" s="76">
        <v>1181</v>
      </c>
      <c r="B1182" s="77">
        <v>50006117</v>
      </c>
      <c r="C1182" s="78" t="s">
        <v>4794</v>
      </c>
      <c r="D1182" s="79">
        <v>0.05</v>
      </c>
      <c r="E1182" s="80">
        <v>30049099</v>
      </c>
      <c r="F1182" s="81" t="s">
        <v>4819</v>
      </c>
      <c r="G1182" s="82" t="s">
        <v>4857</v>
      </c>
      <c r="H1182" s="82" t="s">
        <v>339</v>
      </c>
      <c r="I1182" s="79" t="s">
        <v>2728</v>
      </c>
      <c r="J1182" s="83">
        <v>5999</v>
      </c>
      <c r="K1182" s="83">
        <v>4570.6666666666661</v>
      </c>
      <c r="L1182" s="83">
        <v>4570.6666666666661</v>
      </c>
      <c r="M1182" s="84">
        <v>3656.5333333333328</v>
      </c>
      <c r="N1182" s="59">
        <f t="shared" si="18"/>
        <v>0.39047619047619053</v>
      </c>
      <c r="O1182" s="85" t="s">
        <v>4868</v>
      </c>
      <c r="P1182" s="86" t="s">
        <v>4869</v>
      </c>
      <c r="Q1182" s="87" t="s">
        <v>3208</v>
      </c>
      <c r="R1182" s="87">
        <v>1</v>
      </c>
      <c r="S1182" s="88">
        <v>5999</v>
      </c>
      <c r="T1182" s="88">
        <v>4570.6666666666661</v>
      </c>
      <c r="U1182" s="88">
        <v>3656.5333333333328</v>
      </c>
      <c r="V1182" s="87" t="s">
        <v>3067</v>
      </c>
      <c r="W1182" s="87" t="s">
        <v>3112</v>
      </c>
      <c r="X1182" s="90" t="s">
        <v>3610</v>
      </c>
      <c r="Y1182" s="89"/>
      <c r="Z1182" s="89"/>
      <c r="AA1182" s="89"/>
      <c r="AB1182" s="89" t="s">
        <v>3299</v>
      </c>
    </row>
    <row r="1183" spans="1:28" s="31" customFormat="1" ht="60" customHeight="1" x14ac:dyDescent="0.2">
      <c r="A1183" s="76">
        <v>1182</v>
      </c>
      <c r="B1183" s="77">
        <v>50006126</v>
      </c>
      <c r="C1183" s="78" t="s">
        <v>4795</v>
      </c>
      <c r="D1183" s="79">
        <v>0.05</v>
      </c>
      <c r="E1183" s="80">
        <v>30049099</v>
      </c>
      <c r="F1183" s="81" t="s">
        <v>4820</v>
      </c>
      <c r="G1183" s="82" t="s">
        <v>4858</v>
      </c>
      <c r="H1183" s="82" t="s">
        <v>2744</v>
      </c>
      <c r="I1183" s="79" t="s">
        <v>4860</v>
      </c>
      <c r="J1183" s="83">
        <v>2999</v>
      </c>
      <c r="K1183" s="83">
        <v>2284.9523809523807</v>
      </c>
      <c r="L1183" s="83">
        <v>2284.9523809523807</v>
      </c>
      <c r="M1183" s="84">
        <v>2284.9523809523807</v>
      </c>
      <c r="N1183" s="59">
        <f t="shared" si="18"/>
        <v>0.23809523809523817</v>
      </c>
      <c r="O1183" s="85" t="s">
        <v>2327</v>
      </c>
      <c r="P1183" s="86" t="s">
        <v>95</v>
      </c>
      <c r="Q1183" s="87" t="s">
        <v>3208</v>
      </c>
      <c r="R1183" s="87">
        <v>1</v>
      </c>
      <c r="S1183" s="88">
        <v>2999</v>
      </c>
      <c r="T1183" s="88">
        <v>2284.9523809523807</v>
      </c>
      <c r="U1183" s="88">
        <v>2284.9523809523807</v>
      </c>
      <c r="V1183" s="87" t="s">
        <v>3062</v>
      </c>
      <c r="W1183" s="87" t="s">
        <v>3121</v>
      </c>
      <c r="X1183" s="90" t="s">
        <v>3484</v>
      </c>
      <c r="Y1183" s="89"/>
      <c r="Z1183" s="89"/>
      <c r="AA1183" s="89"/>
      <c r="AB1183" s="89" t="s">
        <v>3299</v>
      </c>
    </row>
    <row r="1184" spans="1:28" s="31" customFormat="1" ht="60" customHeight="1" x14ac:dyDescent="0.2">
      <c r="A1184" s="76">
        <v>1183</v>
      </c>
      <c r="B1184" s="77">
        <v>50006362</v>
      </c>
      <c r="C1184" s="78" t="s">
        <v>4871</v>
      </c>
      <c r="D1184" s="79">
        <v>0.05</v>
      </c>
      <c r="E1184" s="80">
        <v>30049082</v>
      </c>
      <c r="F1184" s="81" t="s">
        <v>4872</v>
      </c>
      <c r="G1184" s="82" t="s">
        <v>4873</v>
      </c>
      <c r="H1184" s="82" t="s">
        <v>154</v>
      </c>
      <c r="I1184" s="79" t="s">
        <v>4874</v>
      </c>
      <c r="J1184" s="83">
        <v>21.5</v>
      </c>
      <c r="K1184" s="83">
        <v>16.38095238095238</v>
      </c>
      <c r="L1184" s="83">
        <v>16.38095238095238</v>
      </c>
      <c r="M1184" s="84">
        <f>L1184*0.8</f>
        <v>13.104761904761904</v>
      </c>
      <c r="N1184" s="59">
        <f t="shared" si="18"/>
        <v>0.39047619047619048</v>
      </c>
      <c r="O1184" s="85" t="s">
        <v>1004</v>
      </c>
      <c r="P1184" s="86" t="s">
        <v>22</v>
      </c>
      <c r="Q1184" s="87"/>
      <c r="R1184" s="87">
        <v>10</v>
      </c>
      <c r="S1184" s="88">
        <v>2.15</v>
      </c>
      <c r="T1184" s="88">
        <v>1.638095238095238</v>
      </c>
      <c r="U1184" s="88">
        <v>1.3104761904761904</v>
      </c>
      <c r="V1184" s="87" t="s">
        <v>3061</v>
      </c>
      <c r="W1184" s="87"/>
      <c r="X1184" s="90" t="s">
        <v>3477</v>
      </c>
      <c r="Y1184" s="89"/>
      <c r="Z1184" s="89"/>
      <c r="AA1184" s="89"/>
      <c r="AB1184" s="89" t="s">
        <v>3299</v>
      </c>
    </row>
  </sheetData>
  <sheetProtection selectLockedCells="1" selectUnlockedCells="1"/>
  <autoFilter ref="A1:AB1183"/>
  <sortState ref="A2:AB1067">
    <sortCondition ref="A2"/>
  </sortState>
  <conditionalFormatting sqref="B1">
    <cfRule type="duplicateValues" dxfId="387" priority="711"/>
    <cfRule type="duplicateValues" dxfId="386" priority="712"/>
  </conditionalFormatting>
  <conditionalFormatting sqref="B226:B227">
    <cfRule type="duplicateValues" dxfId="385" priority="105"/>
  </conditionalFormatting>
  <conditionalFormatting sqref="B609">
    <cfRule type="duplicateValues" dxfId="384" priority="103"/>
    <cfRule type="duplicateValues" dxfId="383" priority="104"/>
  </conditionalFormatting>
  <conditionalFormatting sqref="B887:B897">
    <cfRule type="duplicateValues" dxfId="382" priority="101"/>
    <cfRule type="duplicateValues" dxfId="381" priority="102"/>
  </conditionalFormatting>
  <conditionalFormatting sqref="B893:B897">
    <cfRule type="duplicateValues" dxfId="380" priority="99"/>
    <cfRule type="duplicateValues" dxfId="379" priority="100"/>
  </conditionalFormatting>
  <conditionalFormatting sqref="B915">
    <cfRule type="duplicateValues" dxfId="378" priority="98"/>
  </conditionalFormatting>
  <conditionalFormatting sqref="B930:B932">
    <cfRule type="duplicateValues" dxfId="377" priority="96"/>
    <cfRule type="duplicateValues" dxfId="376" priority="97"/>
  </conditionalFormatting>
  <conditionalFormatting sqref="B932">
    <cfRule type="duplicateValues" dxfId="375" priority="94"/>
    <cfRule type="duplicateValues" dxfId="374" priority="95"/>
  </conditionalFormatting>
  <conditionalFormatting sqref="B933:B945">
    <cfRule type="duplicateValues" dxfId="373" priority="92"/>
    <cfRule type="duplicateValues" dxfId="372" priority="93"/>
  </conditionalFormatting>
  <conditionalFormatting sqref="B946:B959">
    <cfRule type="duplicateValues" dxfId="371" priority="90"/>
    <cfRule type="duplicateValues" dxfId="370" priority="91"/>
  </conditionalFormatting>
  <conditionalFormatting sqref="B960">
    <cfRule type="duplicateValues" dxfId="369" priority="88"/>
    <cfRule type="duplicateValues" dxfId="368" priority="89"/>
  </conditionalFormatting>
  <conditionalFormatting sqref="B961">
    <cfRule type="duplicateValues" dxfId="367" priority="86"/>
    <cfRule type="duplicateValues" dxfId="366" priority="87"/>
  </conditionalFormatting>
  <conditionalFormatting sqref="B962:B963">
    <cfRule type="duplicateValues" dxfId="365" priority="84"/>
    <cfRule type="duplicateValues" dxfId="364" priority="85"/>
  </conditionalFormatting>
  <conditionalFormatting sqref="B964:B967">
    <cfRule type="duplicateValues" dxfId="363" priority="82"/>
    <cfRule type="duplicateValues" dxfId="362" priority="83"/>
  </conditionalFormatting>
  <conditionalFormatting sqref="B968:B971">
    <cfRule type="duplicateValues" dxfId="361" priority="80"/>
    <cfRule type="duplicateValues" dxfId="360" priority="81"/>
  </conditionalFormatting>
  <conditionalFormatting sqref="B972">
    <cfRule type="duplicateValues" dxfId="359" priority="78"/>
    <cfRule type="duplicateValues" dxfId="358" priority="79"/>
  </conditionalFormatting>
  <conditionalFormatting sqref="B973">
    <cfRule type="duplicateValues" dxfId="357" priority="76"/>
    <cfRule type="duplicateValues" dxfId="356" priority="77"/>
  </conditionalFormatting>
  <conditionalFormatting sqref="B974:B976">
    <cfRule type="duplicateValues" dxfId="355" priority="110"/>
    <cfRule type="duplicateValues" dxfId="354" priority="111"/>
  </conditionalFormatting>
  <conditionalFormatting sqref="B981:B986 B977:B979">
    <cfRule type="duplicateValues" dxfId="353" priority="74"/>
    <cfRule type="duplicateValues" dxfId="352" priority="75"/>
  </conditionalFormatting>
  <conditionalFormatting sqref="B980">
    <cfRule type="duplicateValues" dxfId="351" priority="72"/>
    <cfRule type="duplicateValues" dxfId="350" priority="73"/>
  </conditionalFormatting>
  <conditionalFormatting sqref="B987:B1002">
    <cfRule type="duplicateValues" dxfId="349" priority="70"/>
    <cfRule type="duplicateValues" dxfId="348" priority="71"/>
  </conditionalFormatting>
  <conditionalFormatting sqref="B987:B1002">
    <cfRule type="duplicateValues" dxfId="347" priority="68"/>
    <cfRule type="duplicateValues" dxfId="346" priority="69"/>
  </conditionalFormatting>
  <conditionalFormatting sqref="B1003:B1024">
    <cfRule type="duplicateValues" dxfId="345" priority="112"/>
    <cfRule type="duplicateValues" dxfId="344" priority="113"/>
  </conditionalFormatting>
  <conditionalFormatting sqref="B1012:B1024">
    <cfRule type="duplicateValues" dxfId="343" priority="114"/>
    <cfRule type="duplicateValues" dxfId="342" priority="115"/>
  </conditionalFormatting>
  <conditionalFormatting sqref="B1025">
    <cfRule type="duplicateValues" dxfId="341" priority="116"/>
    <cfRule type="duplicateValues" dxfId="340" priority="117"/>
  </conditionalFormatting>
  <conditionalFormatting sqref="B1035:B1039">
    <cfRule type="duplicateValues" dxfId="339" priority="66"/>
    <cfRule type="duplicateValues" dxfId="338" priority="67"/>
  </conditionalFormatting>
  <conditionalFormatting sqref="B1026:B1039">
    <cfRule type="duplicateValues" dxfId="337" priority="118"/>
    <cfRule type="duplicateValues" dxfId="336" priority="119"/>
  </conditionalFormatting>
  <conditionalFormatting sqref="B1045:B1051 B1040:B1043">
    <cfRule type="duplicateValues" dxfId="335" priority="64"/>
    <cfRule type="duplicateValues" dxfId="334" priority="65"/>
  </conditionalFormatting>
  <conditionalFormatting sqref="B1044">
    <cfRule type="duplicateValues" dxfId="333" priority="62"/>
    <cfRule type="duplicateValues" dxfId="332" priority="63"/>
  </conditionalFormatting>
  <conditionalFormatting sqref="B1052">
    <cfRule type="duplicateValues" dxfId="331" priority="60"/>
    <cfRule type="duplicateValues" dxfId="330" priority="61"/>
  </conditionalFormatting>
  <conditionalFormatting sqref="B1053:B1061">
    <cfRule type="duplicateValues" dxfId="329" priority="120"/>
    <cfRule type="duplicateValues" dxfId="328" priority="121"/>
  </conditionalFormatting>
  <conditionalFormatting sqref="B1054:B1061">
    <cfRule type="duplicateValues" dxfId="327" priority="58"/>
    <cfRule type="duplicateValues" dxfId="326" priority="59"/>
  </conditionalFormatting>
  <conditionalFormatting sqref="B1057:B1060">
    <cfRule type="duplicateValues" dxfId="325" priority="56"/>
    <cfRule type="duplicateValues" dxfId="324" priority="57"/>
  </conditionalFormatting>
  <conditionalFormatting sqref="B1061">
    <cfRule type="duplicateValues" dxfId="323" priority="54"/>
    <cfRule type="duplicateValues" dxfId="322" priority="55"/>
  </conditionalFormatting>
  <conditionalFormatting sqref="B1062:B1065">
    <cfRule type="duplicateValues" dxfId="321" priority="52"/>
    <cfRule type="duplicateValues" dxfId="320" priority="53"/>
  </conditionalFormatting>
  <conditionalFormatting sqref="B1066">
    <cfRule type="duplicateValues" dxfId="319" priority="50"/>
    <cfRule type="duplicateValues" dxfId="318" priority="51"/>
  </conditionalFormatting>
  <conditionalFormatting sqref="B1067">
    <cfRule type="duplicateValues" dxfId="317" priority="48"/>
    <cfRule type="duplicateValues" dxfId="316" priority="49"/>
  </conditionalFormatting>
  <conditionalFormatting sqref="B1068:B1133">
    <cfRule type="duplicateValues" dxfId="315" priority="46"/>
    <cfRule type="duplicateValues" dxfId="314" priority="47"/>
  </conditionalFormatting>
  <conditionalFormatting sqref="B1121:B1129">
    <cfRule type="duplicateValues" dxfId="313" priority="44"/>
    <cfRule type="duplicateValues" dxfId="312" priority="45"/>
  </conditionalFormatting>
  <conditionalFormatting sqref="B1130:B1131">
    <cfRule type="duplicateValues" dxfId="311" priority="42"/>
    <cfRule type="duplicateValues" dxfId="310" priority="43"/>
  </conditionalFormatting>
  <conditionalFormatting sqref="B1132:B1133">
    <cfRule type="duplicateValues" dxfId="309" priority="40"/>
    <cfRule type="duplicateValues" dxfId="308" priority="41"/>
  </conditionalFormatting>
  <conditionalFormatting sqref="B1134:B1145">
    <cfRule type="duplicateValues" dxfId="307" priority="38"/>
    <cfRule type="duplicateValues" dxfId="306" priority="39"/>
  </conditionalFormatting>
  <conditionalFormatting sqref="B1149:B1150">
    <cfRule type="duplicateValues" dxfId="305" priority="36"/>
    <cfRule type="duplicateValues" dxfId="304" priority="37"/>
  </conditionalFormatting>
  <conditionalFormatting sqref="B1148:B1151">
    <cfRule type="duplicateValues" dxfId="303" priority="122"/>
    <cfRule type="duplicateValues" dxfId="302" priority="123"/>
  </conditionalFormatting>
  <conditionalFormatting sqref="B1146:B1151">
    <cfRule type="duplicateValues" dxfId="301" priority="124"/>
    <cfRule type="duplicateValues" dxfId="300" priority="125"/>
  </conditionalFormatting>
  <conditionalFormatting sqref="B1151">
    <cfRule type="duplicateValues" dxfId="299" priority="129"/>
    <cfRule type="duplicateValues" dxfId="298" priority="130"/>
  </conditionalFormatting>
  <conditionalFormatting sqref="B1152:B1157">
    <cfRule type="duplicateValues" dxfId="297" priority="34"/>
    <cfRule type="duplicateValues" dxfId="296" priority="35"/>
  </conditionalFormatting>
  <conditionalFormatting sqref="B1158:B1184">
    <cfRule type="duplicateValues" dxfId="295" priority="32"/>
    <cfRule type="duplicateValues" dxfId="294" priority="33"/>
  </conditionalFormatting>
  <conditionalFormatting sqref="B1160">
    <cfRule type="duplicateValues" dxfId="293" priority="30"/>
    <cfRule type="duplicateValues" dxfId="292" priority="31"/>
  </conditionalFormatting>
  <conditionalFormatting sqref="B1161:B1184">
    <cfRule type="duplicateValues" dxfId="291" priority="28"/>
    <cfRule type="duplicateValues" dxfId="290" priority="29"/>
  </conditionalFormatting>
  <conditionalFormatting sqref="B333">
    <cfRule type="duplicateValues" dxfId="289" priority="23"/>
    <cfRule type="duplicateValues" dxfId="288" priority="24"/>
  </conditionalFormatting>
  <conditionalFormatting sqref="B333">
    <cfRule type="duplicateValues" dxfId="287" priority="25"/>
    <cfRule type="duplicateValues" dxfId="286" priority="26"/>
  </conditionalFormatting>
  <conditionalFormatting sqref="B333">
    <cfRule type="duplicateValues" dxfId="285" priority="27"/>
  </conditionalFormatting>
  <conditionalFormatting sqref="B334">
    <cfRule type="duplicateValues" dxfId="284" priority="20"/>
    <cfRule type="duplicateValues" dxfId="283" priority="21"/>
  </conditionalFormatting>
  <conditionalFormatting sqref="B334">
    <cfRule type="duplicateValues" dxfId="282" priority="22"/>
  </conditionalFormatting>
  <conditionalFormatting sqref="B1162:B1180">
    <cfRule type="duplicateValues" dxfId="281" priority="18"/>
    <cfRule type="duplicateValues" dxfId="280" priority="19"/>
  </conditionalFormatting>
  <conditionalFormatting sqref="B1181:B1184">
    <cfRule type="duplicateValues" dxfId="279" priority="16"/>
    <cfRule type="duplicateValues" dxfId="278" priority="17"/>
  </conditionalFormatting>
  <conditionalFormatting sqref="B1183:B1184">
    <cfRule type="duplicateValues" dxfId="277" priority="14"/>
    <cfRule type="duplicateValues" dxfId="276" priority="15"/>
  </conditionalFormatting>
  <conditionalFormatting sqref="B910:B932">
    <cfRule type="duplicateValues" dxfId="275" priority="713"/>
    <cfRule type="duplicateValues" dxfId="274" priority="714"/>
  </conditionalFormatting>
  <conditionalFormatting sqref="B898:B909">
    <cfRule type="duplicateValues" dxfId="273" priority="726"/>
    <cfRule type="duplicateValues" dxfId="272" priority="727"/>
  </conditionalFormatting>
  <conditionalFormatting sqref="B2:B1184">
    <cfRule type="duplicateValues" dxfId="271" priority="732"/>
    <cfRule type="duplicateValues" dxfId="270" priority="733"/>
  </conditionalFormatting>
  <conditionalFormatting sqref="B2:B1184">
    <cfRule type="duplicateValues" dxfId="269" priority="736"/>
  </conditionalFormatting>
  <conditionalFormatting sqref="B1184">
    <cfRule type="duplicateValues" dxfId="12" priority="9"/>
    <cfRule type="duplicateValues" dxfId="11" priority="10"/>
  </conditionalFormatting>
  <conditionalFormatting sqref="B1184">
    <cfRule type="duplicateValues" dxfId="10" priority="7"/>
    <cfRule type="duplicateValues" dxfId="9" priority="8"/>
  </conditionalFormatting>
  <conditionalFormatting sqref="B1184">
    <cfRule type="duplicateValues" dxfId="8" priority="5"/>
    <cfRule type="duplicateValues" dxfId="7" priority="6"/>
  </conditionalFormatting>
  <conditionalFormatting sqref="B1184">
    <cfRule type="duplicateValues" dxfId="6" priority="3"/>
    <cfRule type="duplicateValues" dxfId="5" priority="4"/>
  </conditionalFormatting>
  <conditionalFormatting sqref="B1184">
    <cfRule type="duplicateValues" dxfId="4" priority="11"/>
    <cfRule type="duplicateValues" dxfId="3" priority="12"/>
  </conditionalFormatting>
  <conditionalFormatting sqref="B1184">
    <cfRule type="duplicateValues" dxfId="2" priority="13"/>
  </conditionalFormatting>
  <conditionalFormatting sqref="B1184">
    <cfRule type="duplicateValues" dxfId="1" priority="1"/>
    <cfRule type="duplicateValues" dxfId="0" priority="2"/>
  </conditionalFormatting>
  <printOptions horizontalCentered="1" gridLines="1"/>
  <pageMargins left="0" right="0" top="0" bottom="0" header="0" footer="0"/>
  <pageSetup paperSize="9" scale="48" firstPageNumber="0" orientation="portrait" verticalDpi="300" r:id="rId1"/>
  <headerFooter alignWithMargins="0"/>
  <rowBreaks count="5" manualBreakCount="5">
    <brk id="739" max="13" man="1"/>
    <brk id="748" max="13" man="1"/>
    <brk id="781" max="13" man="1"/>
    <brk id="852" max="13" man="1"/>
    <brk id="856" max="1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50"/>
  </sheetPr>
  <dimension ref="A1:S59"/>
  <sheetViews>
    <sheetView workbookViewId="0">
      <pane ySplit="1" topLeftCell="A32" activePane="bottomLeft" state="frozen"/>
      <selection pane="bottomLeft" activeCell="A60" sqref="A60"/>
    </sheetView>
  </sheetViews>
  <sheetFormatPr defaultRowHeight="12.75" x14ac:dyDescent="0.2"/>
  <cols>
    <col min="2" max="2" width="25.28515625" bestFit="1" customWidth="1"/>
    <col min="9" max="9" width="9.140625" style="30"/>
    <col min="11" max="11" width="26.42578125" bestFit="1" customWidth="1"/>
    <col min="18" max="18" width="10.140625" bestFit="1" customWidth="1"/>
  </cols>
  <sheetData>
    <row r="1" spans="1:17" x14ac:dyDescent="0.2">
      <c r="A1" s="1" t="s">
        <v>0</v>
      </c>
      <c r="B1" s="2" t="s">
        <v>1</v>
      </c>
      <c r="C1" s="1" t="s">
        <v>2</v>
      </c>
      <c r="D1" s="1" t="s">
        <v>3</v>
      </c>
      <c r="E1" s="2" t="s">
        <v>2952</v>
      </c>
      <c r="F1" s="1" t="s">
        <v>7</v>
      </c>
      <c r="G1" s="1" t="s">
        <v>8</v>
      </c>
      <c r="H1" s="16"/>
      <c r="I1" s="29"/>
      <c r="J1" s="1" t="s">
        <v>0</v>
      </c>
      <c r="K1" s="2" t="s">
        <v>1</v>
      </c>
      <c r="L1" s="1" t="s">
        <v>2</v>
      </c>
      <c r="M1" s="1" t="s">
        <v>3</v>
      </c>
      <c r="N1" s="2" t="s">
        <v>2952</v>
      </c>
      <c r="O1" s="1" t="s">
        <v>7</v>
      </c>
      <c r="P1" s="1" t="s">
        <v>8</v>
      </c>
      <c r="Q1" s="16"/>
    </row>
    <row r="2" spans="1:17" x14ac:dyDescent="0.2">
      <c r="A2" s="3">
        <v>50002115</v>
      </c>
      <c r="B2" s="14" t="s">
        <v>1736</v>
      </c>
      <c r="C2" s="8">
        <v>0.12</v>
      </c>
      <c r="D2" s="9">
        <v>30049099</v>
      </c>
      <c r="E2" s="15" t="s">
        <v>3027</v>
      </c>
      <c r="F2" s="8" t="s">
        <v>2666</v>
      </c>
      <c r="G2" s="10">
        <v>167.5</v>
      </c>
      <c r="H2" s="16" t="s">
        <v>3028</v>
      </c>
      <c r="J2" s="3">
        <v>50003846</v>
      </c>
      <c r="K2" s="14" t="s">
        <v>1736</v>
      </c>
      <c r="L2" s="8">
        <v>0.12</v>
      </c>
      <c r="M2" s="9">
        <v>30049099</v>
      </c>
      <c r="N2" s="15" t="s">
        <v>1737</v>
      </c>
      <c r="O2" s="8" t="s">
        <v>2663</v>
      </c>
      <c r="P2" s="10">
        <v>262.5</v>
      </c>
      <c r="Q2" s="16" t="s">
        <v>3029</v>
      </c>
    </row>
    <row r="3" spans="1:17" x14ac:dyDescent="0.2">
      <c r="A3" s="3">
        <v>50002619</v>
      </c>
      <c r="B3" s="14" t="s">
        <v>2248</v>
      </c>
      <c r="C3" s="8">
        <v>0.12</v>
      </c>
      <c r="D3" s="9">
        <v>30049079</v>
      </c>
      <c r="E3" s="15" t="s">
        <v>2249</v>
      </c>
      <c r="F3" s="8" t="s">
        <v>2666</v>
      </c>
      <c r="G3" s="10">
        <v>132.97</v>
      </c>
      <c r="H3" s="16" t="s">
        <v>3028</v>
      </c>
      <c r="J3" s="3">
        <v>50004127</v>
      </c>
      <c r="K3" s="14" t="s">
        <v>2248</v>
      </c>
      <c r="L3" s="8">
        <v>0.12</v>
      </c>
      <c r="M3" s="9">
        <v>30049079</v>
      </c>
      <c r="N3" s="15" t="s">
        <v>2249</v>
      </c>
      <c r="O3" s="8" t="s">
        <v>2663</v>
      </c>
      <c r="P3" s="10">
        <v>199.45</v>
      </c>
      <c r="Q3" s="16" t="s">
        <v>3029</v>
      </c>
    </row>
    <row r="4" spans="1:17" x14ac:dyDescent="0.2">
      <c r="A4" s="3">
        <v>50003303</v>
      </c>
      <c r="B4" s="14" t="s">
        <v>2549</v>
      </c>
      <c r="C4" s="8">
        <v>0.12</v>
      </c>
      <c r="D4" s="9">
        <v>30049099</v>
      </c>
      <c r="E4" s="15" t="s">
        <v>3030</v>
      </c>
      <c r="F4" s="8" t="s">
        <v>2666</v>
      </c>
      <c r="G4" s="10">
        <v>189</v>
      </c>
      <c r="H4" s="16" t="s">
        <v>3028</v>
      </c>
      <c r="J4" s="3">
        <v>50004132</v>
      </c>
      <c r="K4" s="14" t="s">
        <v>2549</v>
      </c>
      <c r="L4" s="8">
        <v>0.12</v>
      </c>
      <c r="M4" s="9">
        <v>30049099</v>
      </c>
      <c r="N4" s="15" t="s">
        <v>2550</v>
      </c>
      <c r="O4" s="8" t="s">
        <v>2663</v>
      </c>
      <c r="P4" s="10">
        <v>283.5</v>
      </c>
      <c r="Q4" s="16" t="s">
        <v>3029</v>
      </c>
    </row>
    <row r="5" spans="1:17" x14ac:dyDescent="0.2">
      <c r="A5" s="3">
        <v>50003676</v>
      </c>
      <c r="B5" s="14" t="s">
        <v>2569</v>
      </c>
      <c r="C5" s="8">
        <v>0.12</v>
      </c>
      <c r="D5" s="9">
        <v>30049099</v>
      </c>
      <c r="E5" s="15" t="s">
        <v>2570</v>
      </c>
      <c r="F5" s="8" t="s">
        <v>2666</v>
      </c>
      <c r="G5" s="10">
        <v>75</v>
      </c>
      <c r="H5" s="16" t="s">
        <v>3028</v>
      </c>
      <c r="J5" s="3">
        <v>50004133</v>
      </c>
      <c r="K5" s="14" t="s">
        <v>2569</v>
      </c>
      <c r="L5" s="8">
        <v>0.12</v>
      </c>
      <c r="M5" s="9">
        <v>30049099</v>
      </c>
      <c r="N5" s="15" t="s">
        <v>2570</v>
      </c>
      <c r="O5" s="8" t="s">
        <v>2663</v>
      </c>
      <c r="P5" s="10">
        <v>112.5</v>
      </c>
      <c r="Q5" s="16" t="s">
        <v>3029</v>
      </c>
    </row>
    <row r="6" spans="1:17" x14ac:dyDescent="0.2">
      <c r="A6" s="3">
        <v>50003675</v>
      </c>
      <c r="B6" s="14" t="s">
        <v>3031</v>
      </c>
      <c r="C6" s="8">
        <v>0.12</v>
      </c>
      <c r="D6" s="9">
        <v>30049079</v>
      </c>
      <c r="E6" s="15" t="s">
        <v>1596</v>
      </c>
      <c r="F6" s="8" t="s">
        <v>2782</v>
      </c>
      <c r="G6" s="10">
        <v>440</v>
      </c>
      <c r="H6" s="16" t="s">
        <v>3028</v>
      </c>
      <c r="J6" s="3">
        <v>50004057</v>
      </c>
      <c r="K6" s="14" t="s">
        <v>1595</v>
      </c>
      <c r="L6" s="8">
        <v>0.12</v>
      </c>
      <c r="M6" s="9">
        <v>30049079</v>
      </c>
      <c r="N6" s="15" t="s">
        <v>1596</v>
      </c>
      <c r="O6" s="8" t="s">
        <v>2666</v>
      </c>
      <c r="P6" s="10">
        <v>649</v>
      </c>
      <c r="Q6" s="16" t="s">
        <v>3029</v>
      </c>
    </row>
    <row r="7" spans="1:17" x14ac:dyDescent="0.2">
      <c r="A7" s="3">
        <v>50001383</v>
      </c>
      <c r="B7" s="14" t="s">
        <v>1648</v>
      </c>
      <c r="C7" s="8">
        <v>0.12</v>
      </c>
      <c r="D7" s="9">
        <v>30049099</v>
      </c>
      <c r="E7" s="15" t="s">
        <v>1649</v>
      </c>
      <c r="F7" s="8" t="s">
        <v>2666</v>
      </c>
      <c r="G7" s="10">
        <v>60</v>
      </c>
      <c r="H7" s="16" t="s">
        <v>3028</v>
      </c>
      <c r="J7" s="3">
        <v>50004148</v>
      </c>
      <c r="K7" s="14" t="s">
        <v>1648</v>
      </c>
      <c r="L7" s="8">
        <v>0.12</v>
      </c>
      <c r="M7" s="9">
        <v>30049099</v>
      </c>
      <c r="N7" s="15" t="s">
        <v>1649</v>
      </c>
      <c r="O7" s="8" t="s">
        <v>2664</v>
      </c>
      <c r="P7" s="10">
        <v>198</v>
      </c>
      <c r="Q7" s="16" t="s">
        <v>3029</v>
      </c>
    </row>
    <row r="8" spans="1:17" x14ac:dyDescent="0.2">
      <c r="A8" s="3">
        <v>50003068</v>
      </c>
      <c r="B8" s="14" t="s">
        <v>395</v>
      </c>
      <c r="C8" s="8">
        <v>0.12</v>
      </c>
      <c r="D8" s="9">
        <v>30049029</v>
      </c>
      <c r="E8" s="15" t="s">
        <v>396</v>
      </c>
      <c r="F8" s="8" t="s">
        <v>3032</v>
      </c>
      <c r="G8" s="10">
        <v>90.3</v>
      </c>
      <c r="H8" s="16" t="s">
        <v>3028</v>
      </c>
      <c r="J8" s="3">
        <v>50003821</v>
      </c>
      <c r="K8" s="14" t="s">
        <v>395</v>
      </c>
      <c r="L8" s="8">
        <v>0.12</v>
      </c>
      <c r="M8" s="9">
        <v>30049029</v>
      </c>
      <c r="N8" s="15" t="s">
        <v>396</v>
      </c>
      <c r="O8" s="8" t="s">
        <v>2693</v>
      </c>
      <c r="P8" s="10">
        <v>144.6</v>
      </c>
      <c r="Q8" s="16" t="s">
        <v>3029</v>
      </c>
    </row>
    <row r="9" spans="1:17" x14ac:dyDescent="0.2">
      <c r="A9" s="3">
        <v>50003069</v>
      </c>
      <c r="B9" s="14" t="s">
        <v>398</v>
      </c>
      <c r="C9" s="8">
        <v>0.12</v>
      </c>
      <c r="D9" s="9">
        <v>30049029</v>
      </c>
      <c r="E9" s="15" t="s">
        <v>399</v>
      </c>
      <c r="F9" s="8" t="s">
        <v>3032</v>
      </c>
      <c r="G9" s="10">
        <v>160.93</v>
      </c>
      <c r="H9" s="16" t="s">
        <v>3028</v>
      </c>
      <c r="J9" s="3">
        <v>50003820</v>
      </c>
      <c r="K9" s="14" t="s">
        <v>398</v>
      </c>
      <c r="L9" s="8">
        <v>0.12</v>
      </c>
      <c r="M9" s="9">
        <v>30049029</v>
      </c>
      <c r="N9" s="15" t="s">
        <v>399</v>
      </c>
      <c r="O9" s="8" t="s">
        <v>2693</v>
      </c>
      <c r="P9" s="10">
        <v>247.7</v>
      </c>
      <c r="Q9" s="16" t="s">
        <v>3029</v>
      </c>
    </row>
    <row r="10" spans="1:17" x14ac:dyDescent="0.2">
      <c r="A10" s="3">
        <v>50002121</v>
      </c>
      <c r="B10" s="14" t="s">
        <v>776</v>
      </c>
      <c r="C10" s="8">
        <v>0.12</v>
      </c>
      <c r="D10" s="9">
        <v>30042063</v>
      </c>
      <c r="E10" s="15" t="s">
        <v>3033</v>
      </c>
      <c r="F10" s="8" t="s">
        <v>2702</v>
      </c>
      <c r="G10" s="10">
        <v>104.46</v>
      </c>
      <c r="H10" s="16" t="s">
        <v>3028</v>
      </c>
      <c r="J10" s="3">
        <v>50003955</v>
      </c>
      <c r="K10" s="14" t="s">
        <v>776</v>
      </c>
      <c r="L10" s="8">
        <v>0.12</v>
      </c>
      <c r="M10" s="9">
        <v>30042063</v>
      </c>
      <c r="N10" s="15" t="s">
        <v>777</v>
      </c>
      <c r="O10" s="8" t="s">
        <v>2666</v>
      </c>
      <c r="P10" s="10">
        <v>207.42</v>
      </c>
      <c r="Q10" s="16" t="s">
        <v>3029</v>
      </c>
    </row>
    <row r="11" spans="1:17" x14ac:dyDescent="0.2">
      <c r="A11" s="3">
        <v>50002122</v>
      </c>
      <c r="B11" s="14" t="s">
        <v>781</v>
      </c>
      <c r="C11" s="8">
        <v>0.12</v>
      </c>
      <c r="D11" s="9">
        <v>30042063</v>
      </c>
      <c r="E11" s="15" t="s">
        <v>782</v>
      </c>
      <c r="F11" s="8" t="s">
        <v>2702</v>
      </c>
      <c r="G11" s="10">
        <v>196.63</v>
      </c>
      <c r="H11" s="16" t="s">
        <v>3028</v>
      </c>
      <c r="J11" s="3">
        <v>50003956</v>
      </c>
      <c r="K11" s="14" t="s">
        <v>781</v>
      </c>
      <c r="L11" s="8">
        <v>0.12</v>
      </c>
      <c r="M11" s="9">
        <v>30042063</v>
      </c>
      <c r="N11" s="15" t="s">
        <v>782</v>
      </c>
      <c r="O11" s="8" t="s">
        <v>2666</v>
      </c>
      <c r="P11" s="10">
        <v>375.6</v>
      </c>
      <c r="Q11" s="16" t="s">
        <v>3029</v>
      </c>
    </row>
    <row r="12" spans="1:17" x14ac:dyDescent="0.2">
      <c r="A12" s="3">
        <v>50001369</v>
      </c>
      <c r="B12" s="14" t="s">
        <v>820</v>
      </c>
      <c r="C12" s="8">
        <v>0.12</v>
      </c>
      <c r="D12" s="9">
        <v>30049087</v>
      </c>
      <c r="E12" s="15" t="s">
        <v>821</v>
      </c>
      <c r="F12" s="8" t="s">
        <v>2861</v>
      </c>
      <c r="G12" s="10">
        <v>142.5</v>
      </c>
      <c r="H12" s="16" t="s">
        <v>3028</v>
      </c>
      <c r="J12" s="3">
        <v>50004329</v>
      </c>
      <c r="K12" s="14" t="s">
        <v>820</v>
      </c>
      <c r="L12" s="8">
        <v>0.12</v>
      </c>
      <c r="M12" s="9">
        <v>30049087</v>
      </c>
      <c r="N12" s="15" t="s">
        <v>821</v>
      </c>
      <c r="O12" s="8" t="s">
        <v>2666</v>
      </c>
      <c r="P12" s="10">
        <v>399.39</v>
      </c>
      <c r="Q12" s="16" t="s">
        <v>3029</v>
      </c>
    </row>
    <row r="13" spans="1:17" x14ac:dyDescent="0.2">
      <c r="A13" s="3">
        <v>50000597</v>
      </c>
      <c r="B13" s="14" t="s">
        <v>974</v>
      </c>
      <c r="C13" s="8">
        <v>0.12</v>
      </c>
      <c r="D13" s="9">
        <v>30049039</v>
      </c>
      <c r="E13" s="15" t="s">
        <v>975</v>
      </c>
      <c r="F13" s="8" t="s">
        <v>2666</v>
      </c>
      <c r="G13" s="10">
        <v>109.89</v>
      </c>
      <c r="H13" s="16" t="s">
        <v>3028</v>
      </c>
      <c r="J13" s="3">
        <v>50004668</v>
      </c>
      <c r="K13" s="14" t="s">
        <v>974</v>
      </c>
      <c r="L13" s="8">
        <v>0.12</v>
      </c>
      <c r="M13" s="9">
        <v>30049039</v>
      </c>
      <c r="N13" s="15" t="s">
        <v>975</v>
      </c>
      <c r="O13" s="8" t="s">
        <v>2663</v>
      </c>
      <c r="P13" s="10">
        <v>164.83</v>
      </c>
      <c r="Q13" s="16" t="s">
        <v>3029</v>
      </c>
    </row>
    <row r="14" spans="1:17" x14ac:dyDescent="0.2">
      <c r="A14" s="3">
        <v>50002181</v>
      </c>
      <c r="B14" s="14" t="s">
        <v>2245</v>
      </c>
      <c r="C14" s="8">
        <v>0.12</v>
      </c>
      <c r="D14" s="9">
        <v>30049079</v>
      </c>
      <c r="E14" s="15" t="s">
        <v>2246</v>
      </c>
      <c r="F14" s="8" t="s">
        <v>2666</v>
      </c>
      <c r="G14" s="10">
        <v>93.02</v>
      </c>
      <c r="H14" s="16" t="s">
        <v>3028</v>
      </c>
      <c r="J14" s="3">
        <v>50004121</v>
      </c>
      <c r="K14" s="14" t="s">
        <v>2245</v>
      </c>
      <c r="L14" s="8">
        <v>0.12</v>
      </c>
      <c r="M14" s="9">
        <v>30049079</v>
      </c>
      <c r="N14" s="15" t="s">
        <v>2246</v>
      </c>
      <c r="O14" s="8" t="s">
        <v>2663</v>
      </c>
      <c r="P14" s="10">
        <v>139.53</v>
      </c>
      <c r="Q14" s="16" t="s">
        <v>3029</v>
      </c>
    </row>
    <row r="15" spans="1:17" x14ac:dyDescent="0.2">
      <c r="A15" s="3">
        <v>50002236</v>
      </c>
      <c r="B15" s="14" t="s">
        <v>2241</v>
      </c>
      <c r="C15" s="8">
        <v>0.12</v>
      </c>
      <c r="D15" s="9">
        <v>30049079</v>
      </c>
      <c r="E15" s="15" t="s">
        <v>2242</v>
      </c>
      <c r="F15" s="8" t="s">
        <v>2666</v>
      </c>
      <c r="G15" s="10">
        <v>57.89</v>
      </c>
      <c r="H15" s="16" t="s">
        <v>3028</v>
      </c>
      <c r="J15" s="3">
        <v>50004128</v>
      </c>
      <c r="K15" s="14" t="s">
        <v>2241</v>
      </c>
      <c r="L15" s="8">
        <v>0.12</v>
      </c>
      <c r="M15" s="9">
        <v>30049079</v>
      </c>
      <c r="N15" s="15" t="s">
        <v>2242</v>
      </c>
      <c r="O15" s="8" t="s">
        <v>2663</v>
      </c>
      <c r="P15" s="10">
        <v>86.83</v>
      </c>
      <c r="Q15" s="16" t="s">
        <v>3029</v>
      </c>
    </row>
    <row r="16" spans="1:17" x14ac:dyDescent="0.2">
      <c r="A16" s="3">
        <v>50002320</v>
      </c>
      <c r="B16" s="14" t="s">
        <v>2251</v>
      </c>
      <c r="C16" s="8">
        <v>0.12</v>
      </c>
      <c r="D16" s="9">
        <v>30049079</v>
      </c>
      <c r="E16" s="15" t="s">
        <v>2252</v>
      </c>
      <c r="F16" s="8" t="s">
        <v>2666</v>
      </c>
      <c r="G16" s="10">
        <v>117.85</v>
      </c>
      <c r="H16" s="16" t="s">
        <v>3028</v>
      </c>
      <c r="J16" s="3">
        <v>50004131</v>
      </c>
      <c r="K16" s="14" t="s">
        <v>2251</v>
      </c>
      <c r="L16" s="8">
        <v>0.12</v>
      </c>
      <c r="M16" s="9">
        <v>30049079</v>
      </c>
      <c r="N16" s="15" t="s">
        <v>2252</v>
      </c>
      <c r="O16" s="8" t="s">
        <v>2663</v>
      </c>
      <c r="P16" s="10">
        <v>176.77</v>
      </c>
      <c r="Q16" s="16" t="s">
        <v>3029</v>
      </c>
    </row>
    <row r="17" spans="1:17" x14ac:dyDescent="0.2">
      <c r="A17" s="3">
        <v>50003677</v>
      </c>
      <c r="B17" s="14" t="s">
        <v>2572</v>
      </c>
      <c r="C17" s="8">
        <v>0.12</v>
      </c>
      <c r="D17" s="9">
        <v>30049099</v>
      </c>
      <c r="E17" s="15" t="s">
        <v>2573</v>
      </c>
      <c r="F17" s="8" t="s">
        <v>2666</v>
      </c>
      <c r="G17" s="10">
        <v>99</v>
      </c>
      <c r="H17" s="16" t="s">
        <v>3028</v>
      </c>
      <c r="J17" s="3">
        <v>50004134</v>
      </c>
      <c r="K17" s="14" t="s">
        <v>2572</v>
      </c>
      <c r="L17" s="8">
        <v>0.12</v>
      </c>
      <c r="M17" s="9">
        <v>30049099</v>
      </c>
      <c r="N17" s="15" t="s">
        <v>2573</v>
      </c>
      <c r="O17" s="8" t="s">
        <v>2663</v>
      </c>
      <c r="P17" s="10">
        <v>148.5</v>
      </c>
      <c r="Q17" s="16" t="s">
        <v>3029</v>
      </c>
    </row>
    <row r="18" spans="1:17" x14ac:dyDescent="0.2">
      <c r="A18" s="3">
        <v>50003313</v>
      </c>
      <c r="B18" s="14" t="s">
        <v>2288</v>
      </c>
      <c r="C18" s="8">
        <v>0.12</v>
      </c>
      <c r="D18" s="9">
        <v>30049079</v>
      </c>
      <c r="E18" s="15" t="s">
        <v>2289</v>
      </c>
      <c r="F18" s="8" t="s">
        <v>2693</v>
      </c>
      <c r="G18" s="10">
        <v>77</v>
      </c>
      <c r="H18" s="16" t="s">
        <v>3028</v>
      </c>
      <c r="J18" s="3">
        <v>50004125</v>
      </c>
      <c r="K18" s="14" t="s">
        <v>2288</v>
      </c>
      <c r="L18" s="8">
        <v>0.12</v>
      </c>
      <c r="M18" s="9">
        <v>30049079</v>
      </c>
      <c r="N18" s="15" t="s">
        <v>2289</v>
      </c>
      <c r="O18" s="8" t="s">
        <v>2696</v>
      </c>
      <c r="P18" s="10">
        <v>115.5</v>
      </c>
      <c r="Q18" s="16" t="s">
        <v>3029</v>
      </c>
    </row>
    <row r="19" spans="1:17" x14ac:dyDescent="0.2">
      <c r="A19" s="3">
        <v>50003314</v>
      </c>
      <c r="B19" s="14" t="s">
        <v>2291</v>
      </c>
      <c r="C19" s="8">
        <v>0.12</v>
      </c>
      <c r="D19" s="9">
        <v>30049079</v>
      </c>
      <c r="E19" s="15" t="s">
        <v>2292</v>
      </c>
      <c r="F19" s="8" t="s">
        <v>2693</v>
      </c>
      <c r="G19" s="10">
        <v>108</v>
      </c>
      <c r="H19" s="16" t="s">
        <v>3028</v>
      </c>
      <c r="J19" s="3">
        <v>50004126</v>
      </c>
      <c r="K19" s="14" t="s">
        <v>2291</v>
      </c>
      <c r="L19" s="8">
        <v>0.12</v>
      </c>
      <c r="M19" s="9">
        <v>30049079</v>
      </c>
      <c r="N19" s="15" t="s">
        <v>2292</v>
      </c>
      <c r="O19" s="8" t="s">
        <v>2696</v>
      </c>
      <c r="P19" s="10">
        <v>162</v>
      </c>
      <c r="Q19" s="16" t="s">
        <v>3029</v>
      </c>
    </row>
    <row r="20" spans="1:17" x14ac:dyDescent="0.2">
      <c r="A20" s="3">
        <v>50003310</v>
      </c>
      <c r="B20" s="14" t="s">
        <v>2302</v>
      </c>
      <c r="C20" s="8">
        <v>0.12</v>
      </c>
      <c r="D20" s="9">
        <v>30049099</v>
      </c>
      <c r="E20" s="15" t="s">
        <v>2303</v>
      </c>
      <c r="F20" s="8" t="s">
        <v>2666</v>
      </c>
      <c r="G20" s="10">
        <v>151.80000000000001</v>
      </c>
      <c r="H20" s="16" t="s">
        <v>3028</v>
      </c>
      <c r="J20" s="3">
        <v>50004122</v>
      </c>
      <c r="K20" s="14" t="s">
        <v>2302</v>
      </c>
      <c r="L20" s="8">
        <v>0.12</v>
      </c>
      <c r="M20" s="9">
        <v>30049099</v>
      </c>
      <c r="N20" s="15" t="s">
        <v>2303</v>
      </c>
      <c r="O20" s="8" t="s">
        <v>2663</v>
      </c>
      <c r="P20" s="10">
        <v>227.7</v>
      </c>
      <c r="Q20" s="16" t="s">
        <v>3029</v>
      </c>
    </row>
    <row r="21" spans="1:17" x14ac:dyDescent="0.2">
      <c r="A21" s="3">
        <v>50003311</v>
      </c>
      <c r="B21" s="14" t="s">
        <v>2305</v>
      </c>
      <c r="C21" s="8">
        <v>0.12</v>
      </c>
      <c r="D21" s="9">
        <v>30049099</v>
      </c>
      <c r="E21" s="15" t="s">
        <v>1216</v>
      </c>
      <c r="F21" s="8" t="s">
        <v>2666</v>
      </c>
      <c r="G21" s="10">
        <v>294.8</v>
      </c>
      <c r="H21" s="16" t="s">
        <v>3028</v>
      </c>
      <c r="J21" s="3">
        <v>50004123</v>
      </c>
      <c r="K21" s="14" t="s">
        <v>2305</v>
      </c>
      <c r="L21" s="8">
        <v>0.12</v>
      </c>
      <c r="M21" s="9">
        <v>30049099</v>
      </c>
      <c r="N21" s="15" t="s">
        <v>1216</v>
      </c>
      <c r="O21" s="8" t="s">
        <v>2663</v>
      </c>
      <c r="P21" s="10">
        <v>442.2</v>
      </c>
      <c r="Q21" s="16" t="s">
        <v>3029</v>
      </c>
    </row>
    <row r="22" spans="1:17" x14ac:dyDescent="0.2">
      <c r="A22" s="3">
        <v>50003317</v>
      </c>
      <c r="B22" s="14" t="s">
        <v>2310</v>
      </c>
      <c r="C22" s="8">
        <v>0.12</v>
      </c>
      <c r="D22" s="9">
        <v>30049099</v>
      </c>
      <c r="E22" s="15" t="s">
        <v>1237</v>
      </c>
      <c r="F22" s="8" t="s">
        <v>2693</v>
      </c>
      <c r="G22" s="10">
        <v>131.76</v>
      </c>
      <c r="H22" s="16" t="s">
        <v>3028</v>
      </c>
      <c r="J22" s="3">
        <v>50004130</v>
      </c>
      <c r="K22" s="14" t="s">
        <v>2310</v>
      </c>
      <c r="L22" s="8">
        <v>0.12</v>
      </c>
      <c r="M22" s="9">
        <v>30049099</v>
      </c>
      <c r="N22" s="15" t="s">
        <v>1237</v>
      </c>
      <c r="O22" s="8" t="s">
        <v>2696</v>
      </c>
      <c r="P22" s="10">
        <v>197.64</v>
      </c>
      <c r="Q22" s="16" t="s">
        <v>3029</v>
      </c>
    </row>
    <row r="23" spans="1:17" x14ac:dyDescent="0.2">
      <c r="A23" s="3">
        <v>50003318</v>
      </c>
      <c r="B23" s="14" t="s">
        <v>2312</v>
      </c>
      <c r="C23" s="8">
        <v>0.12</v>
      </c>
      <c r="D23" s="9">
        <v>30049099</v>
      </c>
      <c r="E23" s="15" t="s">
        <v>1240</v>
      </c>
      <c r="F23" s="8" t="s">
        <v>2693</v>
      </c>
      <c r="G23" s="10">
        <v>198.31</v>
      </c>
      <c r="H23" s="16" t="s">
        <v>3028</v>
      </c>
      <c r="J23" s="3">
        <v>50004124</v>
      </c>
      <c r="K23" s="14" t="s">
        <v>2312</v>
      </c>
      <c r="L23" s="8">
        <v>0.12</v>
      </c>
      <c r="M23" s="9">
        <v>30049099</v>
      </c>
      <c r="N23" s="15" t="s">
        <v>1240</v>
      </c>
      <c r="O23" s="8" t="s">
        <v>2696</v>
      </c>
      <c r="P23" s="10">
        <v>297.45999999999998</v>
      </c>
      <c r="Q23" s="16" t="s">
        <v>3029</v>
      </c>
    </row>
    <row r="24" spans="1:17" x14ac:dyDescent="0.2">
      <c r="A24" s="3">
        <v>50003678</v>
      </c>
      <c r="B24" s="14" t="s">
        <v>2581</v>
      </c>
      <c r="C24" s="8">
        <v>0.12</v>
      </c>
      <c r="D24" s="9">
        <v>30049099</v>
      </c>
      <c r="E24" s="15" t="s">
        <v>2582</v>
      </c>
      <c r="F24" s="8" t="s">
        <v>2666</v>
      </c>
      <c r="G24" s="10">
        <v>109.53</v>
      </c>
      <c r="H24" s="16" t="s">
        <v>3028</v>
      </c>
      <c r="J24" s="3">
        <v>50004118</v>
      </c>
      <c r="K24" s="14" t="s">
        <v>2581</v>
      </c>
      <c r="L24" s="8">
        <v>0.12</v>
      </c>
      <c r="M24" s="9">
        <v>30049099</v>
      </c>
      <c r="N24" s="15" t="s">
        <v>2582</v>
      </c>
      <c r="O24" s="8" t="s">
        <v>2663</v>
      </c>
      <c r="P24" s="10">
        <v>180.71</v>
      </c>
      <c r="Q24" s="16" t="s">
        <v>3029</v>
      </c>
    </row>
    <row r="25" spans="1:17" x14ac:dyDescent="0.2">
      <c r="A25" s="3">
        <v>50003706</v>
      </c>
      <c r="B25" s="14" t="s">
        <v>2584</v>
      </c>
      <c r="C25" s="8">
        <v>0.12</v>
      </c>
      <c r="D25" s="9">
        <v>30049099</v>
      </c>
      <c r="E25" s="15" t="s">
        <v>2585</v>
      </c>
      <c r="F25" s="8" t="s">
        <v>2666</v>
      </c>
      <c r="G25" s="10">
        <v>189.84</v>
      </c>
      <c r="H25" s="16" t="s">
        <v>3028</v>
      </c>
      <c r="J25" s="3">
        <v>50004117</v>
      </c>
      <c r="K25" s="14" t="s">
        <v>2584</v>
      </c>
      <c r="L25" s="8">
        <v>0.12</v>
      </c>
      <c r="M25" s="9">
        <v>30049099</v>
      </c>
      <c r="N25" s="15" t="s">
        <v>2585</v>
      </c>
      <c r="O25" s="8" t="s">
        <v>2663</v>
      </c>
      <c r="P25" s="10">
        <v>208.5</v>
      </c>
      <c r="Q25" s="16" t="s">
        <v>3029</v>
      </c>
    </row>
    <row r="26" spans="1:17" x14ac:dyDescent="0.2">
      <c r="A26" s="3">
        <v>50002006</v>
      </c>
      <c r="B26" s="14" t="s">
        <v>2192</v>
      </c>
      <c r="C26" s="8">
        <v>0.12</v>
      </c>
      <c r="D26" s="9">
        <v>30049099</v>
      </c>
      <c r="E26" s="15" t="s">
        <v>2193</v>
      </c>
      <c r="F26" s="8" t="s">
        <v>2666</v>
      </c>
      <c r="G26" s="10">
        <v>139.9</v>
      </c>
      <c r="H26" s="16" t="s">
        <v>3028</v>
      </c>
      <c r="J26" s="3">
        <v>50004135</v>
      </c>
      <c r="K26" s="14" t="s">
        <v>2192</v>
      </c>
      <c r="L26" s="8">
        <v>0.12</v>
      </c>
      <c r="M26" s="9">
        <v>30049099</v>
      </c>
      <c r="N26" s="15" t="s">
        <v>2193</v>
      </c>
      <c r="O26" s="8" t="s">
        <v>2663</v>
      </c>
      <c r="P26" s="10">
        <v>209.85</v>
      </c>
      <c r="Q26" s="16" t="s">
        <v>3029</v>
      </c>
    </row>
    <row r="27" spans="1:17" x14ac:dyDescent="0.2">
      <c r="A27" s="3">
        <v>50002007</v>
      </c>
      <c r="B27" s="14" t="s">
        <v>2195</v>
      </c>
      <c r="C27" s="8">
        <v>0.12</v>
      </c>
      <c r="D27" s="9">
        <v>30049099</v>
      </c>
      <c r="E27" s="15" t="s">
        <v>2196</v>
      </c>
      <c r="F27" s="8" t="s">
        <v>2666</v>
      </c>
      <c r="G27" s="10">
        <v>169.9</v>
      </c>
      <c r="H27" s="16" t="s">
        <v>3028</v>
      </c>
      <c r="J27" s="3">
        <v>50004136</v>
      </c>
      <c r="K27" s="14" t="s">
        <v>2195</v>
      </c>
      <c r="L27" s="8">
        <v>0.12</v>
      </c>
      <c r="M27" s="9">
        <v>30049099</v>
      </c>
      <c r="N27" s="15" t="s">
        <v>2196</v>
      </c>
      <c r="O27" s="8" t="s">
        <v>2663</v>
      </c>
      <c r="P27" s="10">
        <v>279</v>
      </c>
      <c r="Q27" s="16" t="s">
        <v>3029</v>
      </c>
    </row>
    <row r="28" spans="1:17" x14ac:dyDescent="0.2">
      <c r="A28" s="3">
        <v>50000770</v>
      </c>
      <c r="B28" s="14" t="s">
        <v>2205</v>
      </c>
      <c r="C28" s="8">
        <v>0.12</v>
      </c>
      <c r="D28" s="9">
        <v>30049099</v>
      </c>
      <c r="E28" s="15" t="s">
        <v>2206</v>
      </c>
      <c r="F28" s="8" t="s">
        <v>2666</v>
      </c>
      <c r="G28" s="10">
        <v>109</v>
      </c>
      <c r="H28" s="16" t="s">
        <v>3028</v>
      </c>
      <c r="J28" s="3">
        <v>50004141</v>
      </c>
      <c r="K28" s="14" t="s">
        <v>2205</v>
      </c>
      <c r="L28" s="8">
        <v>0.12</v>
      </c>
      <c r="M28" s="9">
        <v>30049099</v>
      </c>
      <c r="N28" s="15" t="s">
        <v>2206</v>
      </c>
      <c r="O28" s="8" t="s">
        <v>2663</v>
      </c>
      <c r="P28" s="10">
        <v>163.5</v>
      </c>
      <c r="Q28" s="16" t="s">
        <v>3029</v>
      </c>
    </row>
    <row r="29" spans="1:17" x14ac:dyDescent="0.2">
      <c r="A29" s="3">
        <v>50000700</v>
      </c>
      <c r="B29" s="14" t="s">
        <v>2209</v>
      </c>
      <c r="C29" s="8">
        <v>0.12</v>
      </c>
      <c r="D29" s="9">
        <v>30049099</v>
      </c>
      <c r="E29" s="15" t="s">
        <v>2210</v>
      </c>
      <c r="F29" s="8" t="s">
        <v>2666</v>
      </c>
      <c r="G29" s="10">
        <v>85</v>
      </c>
      <c r="H29" s="16" t="s">
        <v>3028</v>
      </c>
      <c r="J29" s="3">
        <v>50004140</v>
      </c>
      <c r="K29" s="14" t="s">
        <v>2209</v>
      </c>
      <c r="L29" s="8">
        <v>0.12</v>
      </c>
      <c r="M29" s="9">
        <v>30049099</v>
      </c>
      <c r="N29" s="15" t="s">
        <v>2210</v>
      </c>
      <c r="O29" s="8" t="s">
        <v>2663</v>
      </c>
      <c r="P29" s="10">
        <v>127.5</v>
      </c>
      <c r="Q29" s="16" t="s">
        <v>3029</v>
      </c>
    </row>
    <row r="30" spans="1:17" x14ac:dyDescent="0.2">
      <c r="A30" s="3">
        <v>50000802</v>
      </c>
      <c r="B30" s="14" t="s">
        <v>2212</v>
      </c>
      <c r="C30" s="8">
        <v>0.12</v>
      </c>
      <c r="D30" s="9">
        <v>30049099</v>
      </c>
      <c r="E30" s="15" t="s">
        <v>2213</v>
      </c>
      <c r="F30" s="8" t="s">
        <v>2666</v>
      </c>
      <c r="G30" s="10">
        <v>125</v>
      </c>
      <c r="H30" s="16" t="s">
        <v>3028</v>
      </c>
      <c r="J30" s="3">
        <v>50004139</v>
      </c>
      <c r="K30" s="14" t="s">
        <v>2212</v>
      </c>
      <c r="L30" s="8">
        <v>0.12</v>
      </c>
      <c r="M30" s="9">
        <v>30049099</v>
      </c>
      <c r="N30" s="15" t="s">
        <v>2213</v>
      </c>
      <c r="O30" s="8" t="s">
        <v>2663</v>
      </c>
      <c r="P30" s="10">
        <v>187.5</v>
      </c>
      <c r="Q30" s="16" t="s">
        <v>3029</v>
      </c>
    </row>
    <row r="31" spans="1:17" x14ac:dyDescent="0.2">
      <c r="A31" s="3">
        <v>50003298</v>
      </c>
      <c r="B31" s="14" t="s">
        <v>2215</v>
      </c>
      <c r="C31" s="8">
        <v>0.12</v>
      </c>
      <c r="D31" s="9">
        <v>30049099</v>
      </c>
      <c r="E31" s="15" t="s">
        <v>2216</v>
      </c>
      <c r="F31" s="8" t="s">
        <v>2666</v>
      </c>
      <c r="G31" s="10">
        <v>54.89</v>
      </c>
      <c r="H31" s="16" t="s">
        <v>3028</v>
      </c>
      <c r="J31" s="3">
        <v>50004113</v>
      </c>
      <c r="K31" s="14" t="s">
        <v>2215</v>
      </c>
      <c r="L31" s="8">
        <v>0.12</v>
      </c>
      <c r="M31" s="9">
        <v>30049099</v>
      </c>
      <c r="N31" s="15" t="s">
        <v>2216</v>
      </c>
      <c r="O31" s="8" t="s">
        <v>2663</v>
      </c>
      <c r="P31" s="10">
        <v>82.33</v>
      </c>
      <c r="Q31" s="16" t="s">
        <v>3029</v>
      </c>
    </row>
    <row r="32" spans="1:17" x14ac:dyDescent="0.2">
      <c r="A32" s="3">
        <v>50003709</v>
      </c>
      <c r="B32" s="14" t="s">
        <v>2218</v>
      </c>
      <c r="C32" s="8">
        <v>0.12</v>
      </c>
      <c r="D32" s="9">
        <v>30049099</v>
      </c>
      <c r="E32" s="15" t="s">
        <v>1186</v>
      </c>
      <c r="F32" s="8" t="s">
        <v>2666</v>
      </c>
      <c r="G32" s="10">
        <v>108</v>
      </c>
      <c r="H32" s="16" t="s">
        <v>3028</v>
      </c>
      <c r="J32" s="3">
        <v>50004114</v>
      </c>
      <c r="K32" s="14" t="s">
        <v>2218</v>
      </c>
      <c r="L32" s="8">
        <v>0.12</v>
      </c>
      <c r="M32" s="9">
        <v>30049099</v>
      </c>
      <c r="N32" s="15" t="s">
        <v>1186</v>
      </c>
      <c r="O32" s="8" t="s">
        <v>2663</v>
      </c>
      <c r="P32" s="10">
        <v>162</v>
      </c>
      <c r="Q32" s="16" t="s">
        <v>3029</v>
      </c>
    </row>
    <row r="33" spans="1:18" x14ac:dyDescent="0.2">
      <c r="A33" s="3">
        <v>50003299</v>
      </c>
      <c r="B33" s="14" t="s">
        <v>2229</v>
      </c>
      <c r="C33" s="8">
        <v>0.12</v>
      </c>
      <c r="D33" s="9">
        <v>30049099</v>
      </c>
      <c r="E33" s="15" t="s">
        <v>2230</v>
      </c>
      <c r="F33" s="8" t="s">
        <v>2666</v>
      </c>
      <c r="G33" s="10">
        <v>74.25</v>
      </c>
      <c r="H33" s="16" t="s">
        <v>3028</v>
      </c>
      <c r="J33" s="3">
        <v>50004559</v>
      </c>
      <c r="K33" s="14" t="s">
        <v>2229</v>
      </c>
      <c r="L33" s="8">
        <v>0.12</v>
      </c>
      <c r="M33" s="9">
        <v>30049099</v>
      </c>
      <c r="N33" s="15" t="s">
        <v>2230</v>
      </c>
      <c r="O33" s="8" t="s">
        <v>2710</v>
      </c>
      <c r="P33" s="10">
        <v>148.5</v>
      </c>
      <c r="Q33" s="16" t="s">
        <v>3029</v>
      </c>
    </row>
    <row r="34" spans="1:18" x14ac:dyDescent="0.2">
      <c r="A34" s="3">
        <v>50004116</v>
      </c>
      <c r="B34" s="14" t="s">
        <v>2229</v>
      </c>
      <c r="C34" s="8">
        <v>0.12</v>
      </c>
      <c r="D34" s="9">
        <v>30049099</v>
      </c>
      <c r="E34" s="15" t="s">
        <v>2230</v>
      </c>
      <c r="F34" s="8" t="s">
        <v>2663</v>
      </c>
      <c r="G34" s="10">
        <v>101.25</v>
      </c>
      <c r="H34" s="16" t="s">
        <v>3028</v>
      </c>
      <c r="J34" s="3">
        <v>50004559</v>
      </c>
      <c r="K34" s="14" t="s">
        <v>2229</v>
      </c>
      <c r="L34" s="8">
        <v>0.12</v>
      </c>
      <c r="M34" s="9">
        <v>30049099</v>
      </c>
      <c r="N34" s="15" t="s">
        <v>2230</v>
      </c>
      <c r="O34" s="8" t="s">
        <v>2710</v>
      </c>
      <c r="P34" s="10">
        <v>148.5</v>
      </c>
      <c r="Q34" s="16" t="s">
        <v>3029</v>
      </c>
    </row>
    <row r="35" spans="1:18" x14ac:dyDescent="0.2">
      <c r="A35" s="3">
        <v>50003300</v>
      </c>
      <c r="B35" s="14" t="s">
        <v>2232</v>
      </c>
      <c r="C35" s="8">
        <v>0.12</v>
      </c>
      <c r="D35" s="9">
        <v>30049099</v>
      </c>
      <c r="E35" s="15" t="s">
        <v>2233</v>
      </c>
      <c r="F35" s="8" t="s">
        <v>2666</v>
      </c>
      <c r="G35" s="10">
        <v>76.89</v>
      </c>
      <c r="H35" s="16" t="s">
        <v>3028</v>
      </c>
      <c r="J35" s="3">
        <v>50004115</v>
      </c>
      <c r="K35" s="14" t="s">
        <v>2232</v>
      </c>
      <c r="L35" s="8">
        <v>0.12</v>
      </c>
      <c r="M35" s="9">
        <v>30049099</v>
      </c>
      <c r="N35" s="15" t="s">
        <v>2233</v>
      </c>
      <c r="O35" s="8" t="s">
        <v>2663</v>
      </c>
      <c r="P35" s="10">
        <v>115.33</v>
      </c>
      <c r="Q35" s="16" t="s">
        <v>3029</v>
      </c>
    </row>
    <row r="36" spans="1:18" x14ac:dyDescent="0.2">
      <c r="A36" s="3">
        <v>50004066</v>
      </c>
      <c r="B36" s="14" t="s">
        <v>3034</v>
      </c>
      <c r="C36" s="8">
        <v>0.12</v>
      </c>
      <c r="D36" s="9">
        <v>30045090</v>
      </c>
      <c r="E36" s="15" t="s">
        <v>2630</v>
      </c>
      <c r="F36" s="8" t="s">
        <v>2670</v>
      </c>
      <c r="G36" s="10">
        <v>437</v>
      </c>
      <c r="H36" s="16" t="s">
        <v>3028</v>
      </c>
      <c r="J36" s="3">
        <v>50004098</v>
      </c>
      <c r="K36" s="14" t="s">
        <v>2629</v>
      </c>
      <c r="L36" s="8">
        <v>0.12</v>
      </c>
      <c r="M36" s="9">
        <v>30045090</v>
      </c>
      <c r="N36" s="15" t="s">
        <v>2630</v>
      </c>
      <c r="O36" s="8" t="s">
        <v>2669</v>
      </c>
      <c r="P36" s="10">
        <v>874.06</v>
      </c>
      <c r="Q36" s="16" t="s">
        <v>3029</v>
      </c>
    </row>
    <row r="37" spans="1:18" x14ac:dyDescent="0.2">
      <c r="A37" s="3">
        <v>50002165</v>
      </c>
      <c r="B37" s="14" t="s">
        <v>791</v>
      </c>
      <c r="C37" s="4">
        <v>0.12</v>
      </c>
      <c r="D37" s="5">
        <v>30045036</v>
      </c>
      <c r="E37" s="15" t="s">
        <v>792</v>
      </c>
      <c r="F37" s="4" t="s">
        <v>2861</v>
      </c>
      <c r="G37" s="7">
        <v>87.53</v>
      </c>
      <c r="H37" s="16" t="s">
        <v>3028</v>
      </c>
      <c r="J37" s="3">
        <v>50004330</v>
      </c>
      <c r="K37" s="14" t="s">
        <v>791</v>
      </c>
      <c r="L37" s="4">
        <v>0.12</v>
      </c>
      <c r="M37" s="5">
        <v>30045036</v>
      </c>
      <c r="N37" s="15" t="s">
        <v>792</v>
      </c>
      <c r="O37" s="4" t="s">
        <v>2782</v>
      </c>
      <c r="P37" s="7">
        <v>175.06</v>
      </c>
      <c r="Q37" s="16" t="s">
        <v>3029</v>
      </c>
    </row>
    <row r="38" spans="1:18" x14ac:dyDescent="0.2">
      <c r="A38" s="3">
        <v>50000295</v>
      </c>
      <c r="B38" s="14" t="s">
        <v>3035</v>
      </c>
      <c r="C38" s="8">
        <v>0.12</v>
      </c>
      <c r="D38" s="9">
        <v>30049099</v>
      </c>
      <c r="E38" s="15" t="s">
        <v>3036</v>
      </c>
      <c r="F38" s="8" t="s">
        <v>3037</v>
      </c>
      <c r="G38" s="10">
        <v>108.9</v>
      </c>
      <c r="H38" s="16" t="s">
        <v>3028</v>
      </c>
      <c r="J38" s="3">
        <v>50004794</v>
      </c>
      <c r="K38" s="11" t="s">
        <v>1188</v>
      </c>
      <c r="L38" s="4">
        <v>0.12</v>
      </c>
      <c r="M38" s="5">
        <v>30049099</v>
      </c>
      <c r="N38" s="12" t="s">
        <v>1189</v>
      </c>
      <c r="O38" s="4" t="s">
        <v>2687</v>
      </c>
      <c r="P38" s="7">
        <v>170</v>
      </c>
      <c r="Q38" s="16" t="s">
        <v>3029</v>
      </c>
    </row>
    <row r="39" spans="1:18" x14ac:dyDescent="0.2">
      <c r="A39" s="3">
        <v>50000761</v>
      </c>
      <c r="B39" s="11" t="s">
        <v>3038</v>
      </c>
      <c r="C39" s="4">
        <v>0.12</v>
      </c>
      <c r="D39" s="5">
        <v>30049099</v>
      </c>
      <c r="E39" s="12" t="s">
        <v>3039</v>
      </c>
      <c r="F39" s="4" t="s">
        <v>2693</v>
      </c>
      <c r="G39" s="7">
        <v>108.77</v>
      </c>
      <c r="H39" s="16" t="s">
        <v>3028</v>
      </c>
      <c r="J39" s="3">
        <v>50004942</v>
      </c>
      <c r="K39" s="11" t="s">
        <v>378</v>
      </c>
      <c r="L39" s="4">
        <v>0.12</v>
      </c>
      <c r="M39" s="5">
        <v>30045090</v>
      </c>
      <c r="N39" s="12" t="s">
        <v>379</v>
      </c>
      <c r="O39" s="4" t="s">
        <v>2666</v>
      </c>
      <c r="P39" s="7">
        <v>107.9</v>
      </c>
      <c r="Q39" s="16" t="s">
        <v>3029</v>
      </c>
    </row>
    <row r="40" spans="1:18" x14ac:dyDescent="0.2">
      <c r="A40" s="3">
        <v>50003249</v>
      </c>
      <c r="B40" s="14" t="s">
        <v>3040</v>
      </c>
      <c r="C40" s="4">
        <v>0.18</v>
      </c>
      <c r="D40" s="5">
        <v>21069099</v>
      </c>
      <c r="E40" s="15" t="s">
        <v>3041</v>
      </c>
      <c r="F40" s="4" t="s">
        <v>2687</v>
      </c>
      <c r="G40" s="7">
        <v>149</v>
      </c>
      <c r="H40" s="16" t="s">
        <v>3028</v>
      </c>
      <c r="J40" s="3">
        <v>50004695</v>
      </c>
      <c r="K40" s="14" t="s">
        <v>392</v>
      </c>
      <c r="L40" s="4">
        <v>0.12</v>
      </c>
      <c r="M40" s="5">
        <v>30049099</v>
      </c>
      <c r="N40" s="15" t="s">
        <v>393</v>
      </c>
      <c r="O40" s="4" t="s">
        <v>2687</v>
      </c>
      <c r="P40" s="7">
        <v>152.32</v>
      </c>
      <c r="Q40" s="16" t="s">
        <v>3029</v>
      </c>
    </row>
    <row r="41" spans="1:18" x14ac:dyDescent="0.2">
      <c r="A41" s="3">
        <v>50001342</v>
      </c>
      <c r="B41" s="11" t="s">
        <v>3159</v>
      </c>
      <c r="C41" s="4">
        <v>0.12</v>
      </c>
      <c r="D41" s="5">
        <v>30049069</v>
      </c>
      <c r="E41" s="12" t="s">
        <v>3160</v>
      </c>
      <c r="F41" s="4" t="s">
        <v>2666</v>
      </c>
      <c r="G41" s="7">
        <v>104.5</v>
      </c>
      <c r="H41" s="16" t="s">
        <v>3028</v>
      </c>
      <c r="J41" s="3">
        <v>50004494</v>
      </c>
      <c r="K41" s="14" t="s">
        <v>2037</v>
      </c>
      <c r="L41" s="4">
        <v>0.12</v>
      </c>
      <c r="M41" s="5">
        <v>30049069</v>
      </c>
      <c r="N41" s="12" t="s">
        <v>2038</v>
      </c>
      <c r="O41" s="4" t="s">
        <v>2666</v>
      </c>
      <c r="P41" s="7">
        <v>104.5</v>
      </c>
      <c r="Q41" s="16" t="s">
        <v>3029</v>
      </c>
    </row>
    <row r="42" spans="1:18" x14ac:dyDescent="0.2">
      <c r="A42" s="3">
        <v>50002126</v>
      </c>
      <c r="B42" s="11" t="s">
        <v>1884</v>
      </c>
      <c r="C42" s="4">
        <v>0.18</v>
      </c>
      <c r="D42" s="5">
        <v>21069099</v>
      </c>
      <c r="E42" s="12" t="s">
        <v>1885</v>
      </c>
      <c r="F42" s="4" t="s">
        <v>2666</v>
      </c>
      <c r="G42" s="7">
        <v>243</v>
      </c>
      <c r="H42" s="16" t="s">
        <v>3028</v>
      </c>
      <c r="J42" s="3">
        <v>50005124</v>
      </c>
      <c r="K42" s="14" t="s">
        <v>1884</v>
      </c>
      <c r="L42" s="20">
        <v>0.18</v>
      </c>
      <c r="M42" s="3">
        <v>21069099</v>
      </c>
      <c r="N42" s="3" t="s">
        <v>1885</v>
      </c>
      <c r="O42" s="3" t="s">
        <v>2663</v>
      </c>
      <c r="P42" s="3">
        <v>365</v>
      </c>
      <c r="Q42" s="16" t="s">
        <v>3029</v>
      </c>
    </row>
    <row r="43" spans="1:18" x14ac:dyDescent="0.2">
      <c r="A43" s="3">
        <v>50002685</v>
      </c>
      <c r="B43" s="11" t="s">
        <v>1919</v>
      </c>
      <c r="C43" s="4">
        <v>0.18</v>
      </c>
      <c r="D43" s="5">
        <v>33049990</v>
      </c>
      <c r="E43" s="12" t="s">
        <v>1920</v>
      </c>
      <c r="F43" s="4" t="s">
        <v>2771</v>
      </c>
      <c r="G43" s="7">
        <v>516</v>
      </c>
      <c r="H43" s="16" t="s">
        <v>3028</v>
      </c>
      <c r="J43" s="3">
        <v>50005148</v>
      </c>
      <c r="K43" s="14" t="s">
        <v>1919</v>
      </c>
      <c r="L43" s="20">
        <v>0.18</v>
      </c>
      <c r="M43" s="3">
        <v>33049990</v>
      </c>
      <c r="N43" s="3" t="s">
        <v>1920</v>
      </c>
      <c r="O43" s="3" t="s">
        <v>2722</v>
      </c>
      <c r="P43" s="3">
        <v>690</v>
      </c>
      <c r="Q43" s="16" t="s">
        <v>3029</v>
      </c>
      <c r="R43" s="36">
        <v>45525</v>
      </c>
    </row>
    <row r="44" spans="1:18" x14ac:dyDescent="0.2">
      <c r="A44" s="3">
        <v>50003947</v>
      </c>
      <c r="B44" s="11" t="s">
        <v>927</v>
      </c>
      <c r="C44" s="4">
        <v>0.12</v>
      </c>
      <c r="D44" s="5">
        <v>30049099</v>
      </c>
      <c r="E44" s="12" t="s">
        <v>928</v>
      </c>
      <c r="F44" s="4" t="s">
        <v>2666</v>
      </c>
      <c r="G44" s="7">
        <v>184.25</v>
      </c>
      <c r="H44" s="16" t="s">
        <v>3028</v>
      </c>
      <c r="I44" s="37"/>
      <c r="J44" s="3">
        <v>50005428</v>
      </c>
      <c r="K44" s="14" t="s">
        <v>927</v>
      </c>
      <c r="L44" s="20">
        <v>0.12</v>
      </c>
      <c r="M44" s="3">
        <v>30049099</v>
      </c>
      <c r="N44" s="3" t="s">
        <v>928</v>
      </c>
      <c r="O44" s="3" t="s">
        <v>2663</v>
      </c>
      <c r="P44" s="3">
        <v>276.3</v>
      </c>
      <c r="Q44" s="16" t="s">
        <v>3029</v>
      </c>
      <c r="R44" s="36">
        <v>45616</v>
      </c>
    </row>
    <row r="45" spans="1:18" x14ac:dyDescent="0.2">
      <c r="A45" s="3">
        <v>50003831</v>
      </c>
      <c r="B45" s="11" t="s">
        <v>920</v>
      </c>
      <c r="C45" s="4">
        <v>0.12</v>
      </c>
      <c r="D45" s="5">
        <v>30049099</v>
      </c>
      <c r="E45" s="12" t="s">
        <v>921</v>
      </c>
      <c r="F45" s="4" t="s">
        <v>2693</v>
      </c>
      <c r="G45" s="7">
        <v>114.95</v>
      </c>
      <c r="H45" s="16" t="s">
        <v>3028</v>
      </c>
      <c r="I45" s="37"/>
      <c r="J45" s="3">
        <v>50005429</v>
      </c>
      <c r="K45" s="14" t="s">
        <v>920</v>
      </c>
      <c r="L45" s="20">
        <v>0.12</v>
      </c>
      <c r="M45" s="3">
        <v>30049099</v>
      </c>
      <c r="N45" s="3" t="s">
        <v>921</v>
      </c>
      <c r="O45" s="3" t="s">
        <v>2696</v>
      </c>
      <c r="P45" s="3">
        <v>172.35</v>
      </c>
      <c r="Q45" s="16" t="s">
        <v>3029</v>
      </c>
      <c r="R45" s="36">
        <v>45665</v>
      </c>
    </row>
    <row r="46" spans="1:18" x14ac:dyDescent="0.2">
      <c r="A46" s="3">
        <v>50002238</v>
      </c>
      <c r="B46" s="11" t="s">
        <v>990</v>
      </c>
      <c r="C46" s="4">
        <v>0.12</v>
      </c>
      <c r="D46" s="5">
        <v>30049099</v>
      </c>
      <c r="E46" s="12" t="s">
        <v>991</v>
      </c>
      <c r="F46" s="4" t="s">
        <v>2666</v>
      </c>
      <c r="G46" s="7">
        <v>188.6</v>
      </c>
      <c r="H46" s="16" t="s">
        <v>3028</v>
      </c>
      <c r="I46" s="37"/>
      <c r="J46" s="3">
        <v>50005427</v>
      </c>
      <c r="K46" s="14" t="s">
        <v>990</v>
      </c>
      <c r="L46" s="20">
        <v>0.12</v>
      </c>
      <c r="M46" s="3">
        <v>30049099</v>
      </c>
      <c r="N46" s="3" t="s">
        <v>991</v>
      </c>
      <c r="O46" s="3" t="s">
        <v>2663</v>
      </c>
      <c r="P46" s="3">
        <v>282.89999999999998</v>
      </c>
      <c r="Q46" s="16" t="s">
        <v>3029</v>
      </c>
      <c r="R46" s="36">
        <v>282.89999999999998</v>
      </c>
    </row>
    <row r="47" spans="1:18" x14ac:dyDescent="0.2">
      <c r="A47" s="3">
        <v>50003993</v>
      </c>
      <c r="B47" s="11" t="s">
        <v>2424</v>
      </c>
      <c r="C47" s="4">
        <v>0.12</v>
      </c>
      <c r="D47" s="5">
        <v>30049099</v>
      </c>
      <c r="E47" s="12" t="s">
        <v>2425</v>
      </c>
      <c r="F47" s="4" t="s">
        <v>2666</v>
      </c>
      <c r="G47" s="7">
        <v>69.180000000000007</v>
      </c>
      <c r="H47" s="16" t="s">
        <v>3028</v>
      </c>
      <c r="I47" s="37"/>
      <c r="J47" s="3">
        <v>50005584</v>
      </c>
      <c r="K47" s="14" t="s">
        <v>2424</v>
      </c>
      <c r="L47" s="20">
        <v>0.12</v>
      </c>
      <c r="M47" s="3">
        <v>30049099</v>
      </c>
      <c r="N47" s="3" t="s">
        <v>4147</v>
      </c>
      <c r="O47" s="3" t="s">
        <v>2663</v>
      </c>
      <c r="P47" s="3">
        <v>103.65</v>
      </c>
      <c r="Q47" s="16" t="s">
        <v>3029</v>
      </c>
      <c r="R47" s="36">
        <v>45832</v>
      </c>
    </row>
    <row r="48" spans="1:18" x14ac:dyDescent="0.2">
      <c r="A48" s="3">
        <v>50003994</v>
      </c>
      <c r="B48" s="11" t="s">
        <v>2426</v>
      </c>
      <c r="C48" s="4">
        <v>0.12</v>
      </c>
      <c r="D48" s="5">
        <v>30049099</v>
      </c>
      <c r="E48" s="12" t="s">
        <v>2427</v>
      </c>
      <c r="F48" s="4" t="s">
        <v>2666</v>
      </c>
      <c r="G48" s="7">
        <v>118.7</v>
      </c>
      <c r="H48" s="16" t="s">
        <v>3028</v>
      </c>
      <c r="I48" s="37"/>
      <c r="J48" s="3">
        <v>50005583</v>
      </c>
      <c r="K48" s="14" t="s">
        <v>2426</v>
      </c>
      <c r="L48" s="20">
        <v>0.12</v>
      </c>
      <c r="M48" s="3">
        <v>30049099</v>
      </c>
      <c r="N48" s="3" t="s">
        <v>4148</v>
      </c>
      <c r="O48" s="3" t="s">
        <v>2663</v>
      </c>
      <c r="P48" s="3">
        <v>178.05</v>
      </c>
      <c r="Q48" s="16" t="s">
        <v>3029</v>
      </c>
      <c r="R48" s="36">
        <v>45825</v>
      </c>
    </row>
    <row r="49" spans="1:19" x14ac:dyDescent="0.2">
      <c r="A49" s="3">
        <v>50000138</v>
      </c>
      <c r="B49" s="11" t="s">
        <v>507</v>
      </c>
      <c r="C49" s="4">
        <v>0.12</v>
      </c>
      <c r="D49" s="5">
        <v>30049099</v>
      </c>
      <c r="E49" s="12" t="s">
        <v>508</v>
      </c>
      <c r="F49" s="4" t="s">
        <v>2666</v>
      </c>
      <c r="G49" s="7">
        <v>79.900000000000006</v>
      </c>
      <c r="H49" s="16" t="s">
        <v>3028</v>
      </c>
      <c r="I49" s="37" t="s">
        <v>4298</v>
      </c>
      <c r="J49" s="3">
        <v>50005407</v>
      </c>
      <c r="K49" s="14" t="s">
        <v>507</v>
      </c>
      <c r="L49" s="20">
        <v>0.12</v>
      </c>
      <c r="M49" s="3">
        <v>30049099</v>
      </c>
      <c r="N49" s="3" t="s">
        <v>4103</v>
      </c>
      <c r="O49" s="3" t="s">
        <v>2663</v>
      </c>
      <c r="P49" s="3">
        <v>119.85</v>
      </c>
      <c r="Q49" s="16" t="s">
        <v>3029</v>
      </c>
      <c r="R49" s="36">
        <v>45787</v>
      </c>
    </row>
    <row r="50" spans="1:19" x14ac:dyDescent="0.2">
      <c r="A50" s="3">
        <v>50004616</v>
      </c>
      <c r="B50" s="11" t="s">
        <v>997</v>
      </c>
      <c r="C50" s="4">
        <v>0.12</v>
      </c>
      <c r="D50" s="5">
        <v>30049099</v>
      </c>
      <c r="E50" s="12" t="s">
        <v>998</v>
      </c>
      <c r="F50" s="4" t="s">
        <v>2793</v>
      </c>
      <c r="G50" s="7">
        <v>525</v>
      </c>
      <c r="H50" s="16" t="s">
        <v>3028</v>
      </c>
      <c r="I50" s="37" t="s">
        <v>4298</v>
      </c>
      <c r="J50" s="3">
        <v>50005949</v>
      </c>
      <c r="K50" s="14" t="s">
        <v>997</v>
      </c>
      <c r="L50" s="20">
        <v>0.05</v>
      </c>
      <c r="M50" s="3">
        <v>30049099</v>
      </c>
      <c r="N50" s="3" t="s">
        <v>4273</v>
      </c>
      <c r="O50" s="3" t="s">
        <v>2793</v>
      </c>
      <c r="P50" s="3">
        <v>541.4</v>
      </c>
      <c r="Q50" s="16" t="s">
        <v>3029</v>
      </c>
      <c r="R50" s="36">
        <v>45902</v>
      </c>
      <c r="S50" t="s">
        <v>4299</v>
      </c>
    </row>
    <row r="51" spans="1:19" x14ac:dyDescent="0.2">
      <c r="A51" s="3">
        <v>50000486</v>
      </c>
      <c r="B51" s="11" t="s">
        <v>295</v>
      </c>
      <c r="C51" s="4">
        <v>0.05</v>
      </c>
      <c r="D51" s="5">
        <v>30049079</v>
      </c>
      <c r="E51" s="12" t="s">
        <v>296</v>
      </c>
      <c r="F51" s="4" t="s">
        <v>2666</v>
      </c>
      <c r="G51" s="7">
        <v>41.25</v>
      </c>
      <c r="H51" s="16" t="s">
        <v>3028</v>
      </c>
      <c r="I51" s="37" t="s">
        <v>4298</v>
      </c>
      <c r="J51" s="3">
        <v>50006035</v>
      </c>
      <c r="K51" s="14" t="s">
        <v>295</v>
      </c>
      <c r="L51" s="20">
        <v>0.05</v>
      </c>
      <c r="M51" s="3">
        <v>30049079</v>
      </c>
      <c r="N51" s="3" t="s">
        <v>4674</v>
      </c>
      <c r="O51" s="3" t="s">
        <v>2663</v>
      </c>
      <c r="P51" s="3">
        <v>61.87</v>
      </c>
      <c r="Q51" s="16" t="s">
        <v>3029</v>
      </c>
      <c r="R51" s="36">
        <v>46008</v>
      </c>
    </row>
    <row r="52" spans="1:19" x14ac:dyDescent="0.2">
      <c r="A52" s="3">
        <v>50000816</v>
      </c>
      <c r="B52" s="11" t="s">
        <v>662</v>
      </c>
      <c r="C52" s="4">
        <v>0.05</v>
      </c>
      <c r="D52" s="5">
        <v>30049039</v>
      </c>
      <c r="E52" s="12" t="s">
        <v>663</v>
      </c>
      <c r="F52" s="4" t="s">
        <v>2693</v>
      </c>
      <c r="G52" s="7">
        <v>124.57</v>
      </c>
      <c r="H52" s="16" t="s">
        <v>3028</v>
      </c>
      <c r="I52" s="37" t="s">
        <v>4298</v>
      </c>
      <c r="J52" s="3">
        <v>50006046</v>
      </c>
      <c r="K52" s="14" t="s">
        <v>662</v>
      </c>
      <c r="L52" s="20">
        <v>0.05</v>
      </c>
      <c r="M52" s="3">
        <v>30049039</v>
      </c>
      <c r="N52" s="3" t="s">
        <v>4675</v>
      </c>
      <c r="O52" s="3" t="s">
        <v>2696</v>
      </c>
      <c r="P52" s="3">
        <v>186.85</v>
      </c>
      <c r="Q52" s="16" t="s">
        <v>3029</v>
      </c>
      <c r="R52" s="36">
        <v>46024</v>
      </c>
    </row>
    <row r="53" spans="1:19" x14ac:dyDescent="0.2">
      <c r="A53" s="3">
        <v>50003992</v>
      </c>
      <c r="B53" s="11" t="s">
        <v>2421</v>
      </c>
      <c r="C53" s="4">
        <v>0.05</v>
      </c>
      <c r="D53" s="5">
        <v>30049099</v>
      </c>
      <c r="E53" s="12" t="s">
        <v>2422</v>
      </c>
      <c r="F53" s="4" t="s">
        <v>2666</v>
      </c>
      <c r="G53" s="7">
        <v>131.24</v>
      </c>
      <c r="H53" s="16" t="s">
        <v>3028</v>
      </c>
      <c r="I53" s="37" t="s">
        <v>4298</v>
      </c>
      <c r="J53" s="3">
        <v>50005836</v>
      </c>
      <c r="K53" s="14" t="s">
        <v>2421</v>
      </c>
      <c r="L53" s="20">
        <v>0.05</v>
      </c>
      <c r="M53" s="3">
        <v>30049099</v>
      </c>
      <c r="N53" s="3" t="s">
        <v>4710</v>
      </c>
      <c r="O53" s="3" t="s">
        <v>2663</v>
      </c>
      <c r="P53" s="3">
        <v>196.85</v>
      </c>
      <c r="Q53" s="16" t="s">
        <v>3029</v>
      </c>
      <c r="R53" s="36">
        <v>46037</v>
      </c>
    </row>
    <row r="54" spans="1:19" x14ac:dyDescent="0.2">
      <c r="A54" s="3">
        <v>50003264</v>
      </c>
      <c r="B54" s="11" t="s">
        <v>1893</v>
      </c>
      <c r="C54" s="4">
        <v>0.05</v>
      </c>
      <c r="D54" s="5">
        <v>30049029</v>
      </c>
      <c r="E54" s="12" t="s">
        <v>1894</v>
      </c>
      <c r="F54" s="4" t="s">
        <v>2693</v>
      </c>
      <c r="G54" s="7">
        <v>236.25</v>
      </c>
      <c r="H54" s="16" t="s">
        <v>3028</v>
      </c>
      <c r="I54" s="37" t="s">
        <v>4298</v>
      </c>
      <c r="J54" s="3">
        <v>50006135</v>
      </c>
      <c r="K54" s="14" t="s">
        <v>1893</v>
      </c>
      <c r="L54" s="20">
        <v>0.05</v>
      </c>
      <c r="M54" s="3">
        <v>30049029</v>
      </c>
      <c r="N54" s="3" t="s">
        <v>4765</v>
      </c>
      <c r="O54" s="3" t="s">
        <v>2696</v>
      </c>
      <c r="P54" s="3">
        <v>354.37</v>
      </c>
      <c r="Q54" s="16" t="s">
        <v>3029</v>
      </c>
    </row>
    <row r="55" spans="1:19" x14ac:dyDescent="0.2">
      <c r="A55" s="3">
        <v>50003319</v>
      </c>
      <c r="B55" s="11" t="s">
        <v>2556</v>
      </c>
      <c r="C55" s="4">
        <v>0.05</v>
      </c>
      <c r="D55" s="5">
        <v>30049099</v>
      </c>
      <c r="E55" s="12" t="s">
        <v>2557</v>
      </c>
      <c r="F55" s="4" t="s">
        <v>2666</v>
      </c>
      <c r="G55" s="7">
        <v>169.01</v>
      </c>
      <c r="H55" s="16" t="s">
        <v>3028</v>
      </c>
      <c r="I55" s="37" t="s">
        <v>4298</v>
      </c>
      <c r="J55" s="3">
        <v>50006080</v>
      </c>
      <c r="K55" s="14" t="s">
        <v>2556</v>
      </c>
      <c r="L55" s="20">
        <v>0.05</v>
      </c>
      <c r="M55" s="3">
        <v>30049099</v>
      </c>
      <c r="N55" s="3" t="s">
        <v>4816</v>
      </c>
      <c r="O55" s="3" t="s">
        <v>2663</v>
      </c>
      <c r="P55" s="3">
        <v>253.51</v>
      </c>
      <c r="Q55" s="16" t="s">
        <v>3029</v>
      </c>
    </row>
    <row r="56" spans="1:19" x14ac:dyDescent="0.2">
      <c r="A56" s="3">
        <v>50003320</v>
      </c>
      <c r="B56" s="11" t="s">
        <v>3137</v>
      </c>
      <c r="C56" s="4">
        <v>0.05</v>
      </c>
      <c r="D56" s="5">
        <v>30049099</v>
      </c>
      <c r="E56" s="12" t="s">
        <v>3138</v>
      </c>
      <c r="F56" s="4" t="s">
        <v>2666</v>
      </c>
      <c r="G56" s="7">
        <v>295.95999999999998</v>
      </c>
      <c r="H56" s="16" t="s">
        <v>3028</v>
      </c>
      <c r="I56" s="37" t="s">
        <v>4298</v>
      </c>
      <c r="J56" s="3">
        <v>50006083</v>
      </c>
      <c r="K56" s="14" t="s">
        <v>3137</v>
      </c>
      <c r="L56" s="20">
        <v>0.05</v>
      </c>
      <c r="M56" s="3">
        <v>30049099</v>
      </c>
      <c r="N56" s="3" t="s">
        <v>4817</v>
      </c>
      <c r="O56" s="3" t="s">
        <v>2663</v>
      </c>
      <c r="P56" s="3">
        <v>488.32</v>
      </c>
      <c r="Q56" s="16" t="s">
        <v>3029</v>
      </c>
    </row>
    <row r="57" spans="1:19" x14ac:dyDescent="0.2">
      <c r="A57" s="3">
        <v>50003985</v>
      </c>
      <c r="B57" s="11" t="s">
        <v>2411</v>
      </c>
      <c r="C57" s="4">
        <v>0.05</v>
      </c>
      <c r="D57" s="5">
        <v>30049099</v>
      </c>
      <c r="E57" s="12" t="s">
        <v>2412</v>
      </c>
      <c r="F57" s="4" t="s">
        <v>2666</v>
      </c>
      <c r="G57" s="7">
        <v>178.12</v>
      </c>
      <c r="H57" s="16" t="s">
        <v>3028</v>
      </c>
      <c r="I57" s="37" t="s">
        <v>4298</v>
      </c>
      <c r="J57" s="3">
        <v>50005586</v>
      </c>
      <c r="K57" s="14" t="s">
        <v>2411</v>
      </c>
      <c r="L57" s="20">
        <v>0.05</v>
      </c>
      <c r="M57" s="3">
        <v>30049099</v>
      </c>
      <c r="N57" s="3" t="s">
        <v>4813</v>
      </c>
      <c r="O57" s="3" t="s">
        <v>2663</v>
      </c>
      <c r="P57" s="3">
        <v>267.18</v>
      </c>
      <c r="Q57" s="16" t="s">
        <v>3029</v>
      </c>
    </row>
    <row r="58" spans="1:19" x14ac:dyDescent="0.2">
      <c r="A58" s="3">
        <v>50003995</v>
      </c>
      <c r="B58" s="11" t="s">
        <v>2442</v>
      </c>
      <c r="C58" s="4">
        <v>0.05</v>
      </c>
      <c r="D58" s="5">
        <v>30049099</v>
      </c>
      <c r="E58" s="12" t="s">
        <v>2443</v>
      </c>
      <c r="F58" s="4" t="s">
        <v>2666</v>
      </c>
      <c r="G58" s="7">
        <v>150</v>
      </c>
      <c r="H58" s="16" t="s">
        <v>3028</v>
      </c>
      <c r="I58" s="37" t="s">
        <v>4298</v>
      </c>
      <c r="J58" s="3">
        <v>50005714</v>
      </c>
      <c r="K58" s="14" t="s">
        <v>2442</v>
      </c>
      <c r="L58" s="20">
        <v>0.05</v>
      </c>
      <c r="M58" s="3">
        <v>30049099</v>
      </c>
      <c r="N58" s="3" t="s">
        <v>4815</v>
      </c>
      <c r="O58" s="3" t="s">
        <v>2663</v>
      </c>
      <c r="P58" s="3">
        <v>225</v>
      </c>
      <c r="Q58" s="16" t="s">
        <v>3029</v>
      </c>
    </row>
    <row r="59" spans="1:19" x14ac:dyDescent="0.2">
      <c r="A59" s="3">
        <v>50006179</v>
      </c>
      <c r="B59" s="11" t="s">
        <v>4759</v>
      </c>
      <c r="C59" s="4">
        <v>0.05</v>
      </c>
      <c r="D59" s="5">
        <v>30043919</v>
      </c>
      <c r="E59" s="12" t="s">
        <v>4760</v>
      </c>
      <c r="F59" s="4" t="s">
        <v>4762</v>
      </c>
      <c r="G59" s="7">
        <v>2212</v>
      </c>
      <c r="H59" s="16" t="s">
        <v>3028</v>
      </c>
      <c r="I59" s="37" t="s">
        <v>4298</v>
      </c>
      <c r="J59" s="3">
        <v>50006319</v>
      </c>
      <c r="K59" s="14" t="s">
        <v>4759</v>
      </c>
      <c r="L59" s="20">
        <v>0.05</v>
      </c>
      <c r="M59" s="3">
        <v>30043919</v>
      </c>
      <c r="N59" s="3" t="s">
        <v>4811</v>
      </c>
      <c r="O59" s="3" t="s">
        <v>2666</v>
      </c>
      <c r="P59" s="3">
        <v>790</v>
      </c>
      <c r="Q59" s="16" t="s">
        <v>3029</v>
      </c>
    </row>
  </sheetData>
  <autoFilter ref="A1:R1"/>
  <conditionalFormatting sqref="A34">
    <cfRule type="duplicateValues" dxfId="268" priority="130"/>
  </conditionalFormatting>
  <conditionalFormatting sqref="A37">
    <cfRule type="duplicateValues" dxfId="267" priority="131"/>
    <cfRule type="duplicateValues" dxfId="266" priority="132"/>
  </conditionalFormatting>
  <conditionalFormatting sqref="A36">
    <cfRule type="duplicateValues" dxfId="265" priority="133"/>
  </conditionalFormatting>
  <conditionalFormatting sqref="A35">
    <cfRule type="duplicateValues" dxfId="264" priority="134"/>
  </conditionalFormatting>
  <conditionalFormatting sqref="A33">
    <cfRule type="duplicateValues" dxfId="263" priority="135"/>
  </conditionalFormatting>
  <conditionalFormatting sqref="A32">
    <cfRule type="duplicateValues" dxfId="262" priority="136"/>
  </conditionalFormatting>
  <conditionalFormatting sqref="A31">
    <cfRule type="duplicateValues" dxfId="261" priority="137"/>
  </conditionalFormatting>
  <conditionalFormatting sqref="A30">
    <cfRule type="duplicateValues" dxfId="260" priority="138"/>
  </conditionalFormatting>
  <conditionalFormatting sqref="A29">
    <cfRule type="duplicateValues" dxfId="259" priority="139"/>
  </conditionalFormatting>
  <conditionalFormatting sqref="A28">
    <cfRule type="duplicateValues" dxfId="258" priority="140"/>
  </conditionalFormatting>
  <conditionalFormatting sqref="A27">
    <cfRule type="duplicateValues" dxfId="257" priority="141"/>
  </conditionalFormatting>
  <conditionalFormatting sqref="A26">
    <cfRule type="duplicateValues" dxfId="256" priority="142"/>
  </conditionalFormatting>
  <conditionalFormatting sqref="A25">
    <cfRule type="duplicateValues" dxfId="255" priority="143"/>
  </conditionalFormatting>
  <conditionalFormatting sqref="A24">
    <cfRule type="duplicateValues" dxfId="254" priority="144"/>
  </conditionalFormatting>
  <conditionalFormatting sqref="A23">
    <cfRule type="duplicateValues" dxfId="253" priority="145"/>
  </conditionalFormatting>
  <conditionalFormatting sqref="A22">
    <cfRule type="duplicateValues" dxfId="252" priority="146"/>
  </conditionalFormatting>
  <conditionalFormatting sqref="A21">
    <cfRule type="duplicateValues" dxfId="251" priority="147"/>
  </conditionalFormatting>
  <conditionalFormatting sqref="A20">
    <cfRule type="duplicateValues" dxfId="250" priority="148"/>
  </conditionalFormatting>
  <conditionalFormatting sqref="A19">
    <cfRule type="duplicateValues" dxfId="249" priority="149"/>
  </conditionalFormatting>
  <conditionalFormatting sqref="A18">
    <cfRule type="duplicateValues" dxfId="248" priority="150"/>
  </conditionalFormatting>
  <conditionalFormatting sqref="A17">
    <cfRule type="duplicateValues" dxfId="247" priority="151"/>
  </conditionalFormatting>
  <conditionalFormatting sqref="A16">
    <cfRule type="duplicateValues" dxfId="246" priority="152"/>
  </conditionalFormatting>
  <conditionalFormatting sqref="A15">
    <cfRule type="duplicateValues" dxfId="245" priority="153"/>
  </conditionalFormatting>
  <conditionalFormatting sqref="A14">
    <cfRule type="duplicateValues" dxfId="244" priority="154"/>
  </conditionalFormatting>
  <conditionalFormatting sqref="A13">
    <cfRule type="duplicateValues" dxfId="243" priority="155"/>
  </conditionalFormatting>
  <conditionalFormatting sqref="A12">
    <cfRule type="duplicateValues" dxfId="242" priority="156"/>
  </conditionalFormatting>
  <conditionalFormatting sqref="A11">
    <cfRule type="duplicateValues" dxfId="241" priority="157"/>
  </conditionalFormatting>
  <conditionalFormatting sqref="A10">
    <cfRule type="duplicateValues" dxfId="240" priority="158"/>
  </conditionalFormatting>
  <conditionalFormatting sqref="A9">
    <cfRule type="duplicateValues" dxfId="239" priority="159"/>
  </conditionalFormatting>
  <conditionalFormatting sqref="A8">
    <cfRule type="duplicateValues" dxfId="238" priority="160"/>
  </conditionalFormatting>
  <conditionalFormatting sqref="A7">
    <cfRule type="duplicateValues" dxfId="237" priority="161"/>
  </conditionalFormatting>
  <conditionalFormatting sqref="A6">
    <cfRule type="duplicateValues" dxfId="236" priority="162"/>
  </conditionalFormatting>
  <conditionalFormatting sqref="J6">
    <cfRule type="duplicateValues" dxfId="235" priority="129"/>
  </conditionalFormatting>
  <conditionalFormatting sqref="J7">
    <cfRule type="duplicateValues" dxfId="234" priority="128"/>
  </conditionalFormatting>
  <conditionalFormatting sqref="J8">
    <cfRule type="duplicateValues" dxfId="233" priority="127"/>
  </conditionalFormatting>
  <conditionalFormatting sqref="J9">
    <cfRule type="duplicateValues" dxfId="232" priority="126"/>
  </conditionalFormatting>
  <conditionalFormatting sqref="J10">
    <cfRule type="duplicateValues" dxfId="231" priority="125"/>
  </conditionalFormatting>
  <conditionalFormatting sqref="J11">
    <cfRule type="duplicateValues" dxfId="230" priority="124"/>
  </conditionalFormatting>
  <conditionalFormatting sqref="J12">
    <cfRule type="duplicateValues" dxfId="229" priority="123"/>
  </conditionalFormatting>
  <conditionalFormatting sqref="J13">
    <cfRule type="duplicateValues" dxfId="228" priority="122"/>
  </conditionalFormatting>
  <conditionalFormatting sqref="J14">
    <cfRule type="duplicateValues" dxfId="227" priority="121"/>
  </conditionalFormatting>
  <conditionalFormatting sqref="J15">
    <cfRule type="duplicateValues" dxfId="226" priority="120"/>
  </conditionalFormatting>
  <conditionalFormatting sqref="J16">
    <cfRule type="duplicateValues" dxfId="225" priority="119"/>
  </conditionalFormatting>
  <conditionalFormatting sqref="J17">
    <cfRule type="duplicateValues" dxfId="224" priority="118"/>
  </conditionalFormatting>
  <conditionalFormatting sqref="J18">
    <cfRule type="duplicateValues" dxfId="223" priority="117"/>
  </conditionalFormatting>
  <conditionalFormatting sqref="J19">
    <cfRule type="duplicateValues" dxfId="222" priority="116"/>
  </conditionalFormatting>
  <conditionalFormatting sqref="J20">
    <cfRule type="duplicateValues" dxfId="221" priority="115"/>
  </conditionalFormatting>
  <conditionalFormatting sqref="J21">
    <cfRule type="duplicateValues" dxfId="220" priority="114"/>
  </conditionalFormatting>
  <conditionalFormatting sqref="J22">
    <cfRule type="duplicateValues" dxfId="219" priority="113"/>
  </conditionalFormatting>
  <conditionalFormatting sqref="J23">
    <cfRule type="duplicateValues" dxfId="218" priority="112"/>
  </conditionalFormatting>
  <conditionalFormatting sqref="J24">
    <cfRule type="duplicateValues" dxfId="217" priority="111"/>
  </conditionalFormatting>
  <conditionalFormatting sqref="J25">
    <cfRule type="duplicateValues" dxfId="216" priority="110"/>
  </conditionalFormatting>
  <conditionalFormatting sqref="J26">
    <cfRule type="duplicateValues" dxfId="215" priority="109"/>
  </conditionalFormatting>
  <conditionalFormatting sqref="J27">
    <cfRule type="duplicateValues" dxfId="214" priority="108"/>
  </conditionalFormatting>
  <conditionalFormatting sqref="J28">
    <cfRule type="duplicateValues" dxfId="213" priority="107"/>
  </conditionalFormatting>
  <conditionalFormatting sqref="J29">
    <cfRule type="duplicateValues" dxfId="212" priority="106"/>
  </conditionalFormatting>
  <conditionalFormatting sqref="J30">
    <cfRule type="duplicateValues" dxfId="211" priority="105"/>
  </conditionalFormatting>
  <conditionalFormatting sqref="J31">
    <cfRule type="duplicateValues" dxfId="210" priority="104"/>
  </conditionalFormatting>
  <conditionalFormatting sqref="J32">
    <cfRule type="duplicateValues" dxfId="209" priority="103"/>
  </conditionalFormatting>
  <conditionalFormatting sqref="J33">
    <cfRule type="duplicateValues" dxfId="208" priority="102"/>
  </conditionalFormatting>
  <conditionalFormatting sqref="J35">
    <cfRule type="duplicateValues" dxfId="207" priority="101"/>
  </conditionalFormatting>
  <conditionalFormatting sqref="J36">
    <cfRule type="duplicateValues" dxfId="206" priority="100"/>
  </conditionalFormatting>
  <conditionalFormatting sqref="J37">
    <cfRule type="duplicateValues" dxfId="205" priority="98"/>
    <cfRule type="duplicateValues" dxfId="204" priority="99"/>
  </conditionalFormatting>
  <conditionalFormatting sqref="J34">
    <cfRule type="duplicateValues" dxfId="203" priority="97"/>
  </conditionalFormatting>
  <conditionalFormatting sqref="A38">
    <cfRule type="duplicateValues" dxfId="202" priority="95"/>
    <cfRule type="duplicateValues" dxfId="201" priority="96"/>
  </conditionalFormatting>
  <conditionalFormatting sqref="J38">
    <cfRule type="duplicateValues" dxfId="200" priority="93"/>
    <cfRule type="duplicateValues" dxfId="199" priority="94"/>
  </conditionalFormatting>
  <conditionalFormatting sqref="J39:J40 A39:A40">
    <cfRule type="duplicateValues" dxfId="198" priority="91"/>
    <cfRule type="duplicateValues" dxfId="197" priority="92"/>
  </conditionalFormatting>
  <conditionalFormatting sqref="A41">
    <cfRule type="duplicateValues" dxfId="196" priority="89"/>
    <cfRule type="duplicateValues" dxfId="195" priority="90"/>
  </conditionalFormatting>
  <conditionalFormatting sqref="J41">
    <cfRule type="duplicateValues" dxfId="194" priority="87"/>
    <cfRule type="duplicateValues" dxfId="193" priority="88"/>
  </conditionalFormatting>
  <conditionalFormatting sqref="A42">
    <cfRule type="duplicateValues" dxfId="192" priority="85"/>
    <cfRule type="duplicateValues" dxfId="191" priority="86"/>
  </conditionalFormatting>
  <conditionalFormatting sqref="J42 P42">
    <cfRule type="duplicateValues" dxfId="190" priority="83"/>
    <cfRule type="duplicateValues" dxfId="189" priority="84"/>
  </conditionalFormatting>
  <conditionalFormatting sqref="J43">
    <cfRule type="duplicateValues" dxfId="188" priority="163"/>
    <cfRule type="duplicateValues" dxfId="187" priority="164"/>
  </conditionalFormatting>
  <conditionalFormatting sqref="P43">
    <cfRule type="duplicateValues" dxfId="186" priority="81"/>
    <cfRule type="duplicateValues" dxfId="185" priority="82"/>
  </conditionalFormatting>
  <conditionalFormatting sqref="A43">
    <cfRule type="duplicateValues" dxfId="184" priority="79"/>
    <cfRule type="duplicateValues" dxfId="183" priority="80"/>
  </conditionalFormatting>
  <conditionalFormatting sqref="A44">
    <cfRule type="duplicateValues" dxfId="182" priority="77"/>
    <cfRule type="duplicateValues" dxfId="181" priority="78"/>
  </conditionalFormatting>
  <conditionalFormatting sqref="J44">
    <cfRule type="duplicateValues" dxfId="180" priority="75"/>
    <cfRule type="duplicateValues" dxfId="179" priority="76"/>
  </conditionalFormatting>
  <conditionalFormatting sqref="P44">
    <cfRule type="duplicateValues" dxfId="178" priority="73"/>
    <cfRule type="duplicateValues" dxfId="177" priority="74"/>
  </conditionalFormatting>
  <conditionalFormatting sqref="J45">
    <cfRule type="duplicateValues" dxfId="176" priority="69"/>
    <cfRule type="duplicateValues" dxfId="175" priority="70"/>
  </conditionalFormatting>
  <conditionalFormatting sqref="A45">
    <cfRule type="duplicateValues" dxfId="174" priority="71"/>
    <cfRule type="duplicateValues" dxfId="173" priority="72"/>
  </conditionalFormatting>
  <conditionalFormatting sqref="P45">
    <cfRule type="duplicateValues" dxfId="172" priority="67"/>
    <cfRule type="duplicateValues" dxfId="171" priority="68"/>
  </conditionalFormatting>
  <conditionalFormatting sqref="J46">
    <cfRule type="duplicateValues" dxfId="170" priority="63"/>
    <cfRule type="duplicateValues" dxfId="169" priority="64"/>
  </conditionalFormatting>
  <conditionalFormatting sqref="A46">
    <cfRule type="duplicateValues" dxfId="168" priority="65"/>
    <cfRule type="duplicateValues" dxfId="167" priority="66"/>
  </conditionalFormatting>
  <conditionalFormatting sqref="P46">
    <cfRule type="duplicateValues" dxfId="166" priority="61"/>
    <cfRule type="duplicateValues" dxfId="165" priority="62"/>
  </conditionalFormatting>
  <conditionalFormatting sqref="A47">
    <cfRule type="duplicateValues" dxfId="164" priority="59"/>
    <cfRule type="duplicateValues" dxfId="163" priority="60"/>
  </conditionalFormatting>
  <conditionalFormatting sqref="J47">
    <cfRule type="duplicateValues" dxfId="162" priority="57"/>
    <cfRule type="duplicateValues" dxfId="161" priority="58"/>
  </conditionalFormatting>
  <conditionalFormatting sqref="P47">
    <cfRule type="duplicateValues" dxfId="160" priority="55"/>
    <cfRule type="duplicateValues" dxfId="159" priority="56"/>
  </conditionalFormatting>
  <conditionalFormatting sqref="A48:A50">
    <cfRule type="duplicateValues" dxfId="158" priority="53"/>
    <cfRule type="duplicateValues" dxfId="157" priority="54"/>
  </conditionalFormatting>
  <conditionalFormatting sqref="J48:J50">
    <cfRule type="duplicateValues" dxfId="156" priority="51"/>
    <cfRule type="duplicateValues" dxfId="155" priority="52"/>
  </conditionalFormatting>
  <conditionalFormatting sqref="P48:P50">
    <cfRule type="duplicateValues" dxfId="154" priority="49"/>
    <cfRule type="duplicateValues" dxfId="153" priority="50"/>
  </conditionalFormatting>
  <conditionalFormatting sqref="A51">
    <cfRule type="duplicateValues" dxfId="152" priority="47"/>
    <cfRule type="duplicateValues" dxfId="151" priority="48"/>
  </conditionalFormatting>
  <conditionalFormatting sqref="J51">
    <cfRule type="duplicateValues" dxfId="150" priority="45"/>
    <cfRule type="duplicateValues" dxfId="149" priority="46"/>
  </conditionalFormatting>
  <conditionalFormatting sqref="P51">
    <cfRule type="duplicateValues" dxfId="148" priority="43"/>
    <cfRule type="duplicateValues" dxfId="147" priority="44"/>
  </conditionalFormatting>
  <conditionalFormatting sqref="A52">
    <cfRule type="duplicateValues" dxfId="146" priority="41"/>
    <cfRule type="duplicateValues" dxfId="145" priority="42"/>
  </conditionalFormatting>
  <conditionalFormatting sqref="J52">
    <cfRule type="duplicateValues" dxfId="144" priority="39"/>
    <cfRule type="duplicateValues" dxfId="143" priority="40"/>
  </conditionalFormatting>
  <conditionalFormatting sqref="P52">
    <cfRule type="duplicateValues" dxfId="142" priority="37"/>
    <cfRule type="duplicateValues" dxfId="141" priority="38"/>
  </conditionalFormatting>
  <conditionalFormatting sqref="A53">
    <cfRule type="duplicateValues" dxfId="140" priority="35"/>
    <cfRule type="duplicateValues" dxfId="139" priority="36"/>
  </conditionalFormatting>
  <conditionalFormatting sqref="J53">
    <cfRule type="duplicateValues" dxfId="138" priority="33"/>
    <cfRule type="duplicateValues" dxfId="137" priority="34"/>
  </conditionalFormatting>
  <conditionalFormatting sqref="P53">
    <cfRule type="duplicateValues" dxfId="136" priority="31"/>
    <cfRule type="duplicateValues" dxfId="135" priority="32"/>
  </conditionalFormatting>
  <conditionalFormatting sqref="A54">
    <cfRule type="duplicateValues" dxfId="134" priority="29"/>
    <cfRule type="duplicateValues" dxfId="133" priority="30"/>
  </conditionalFormatting>
  <conditionalFormatting sqref="J54">
    <cfRule type="duplicateValues" dxfId="132" priority="27"/>
    <cfRule type="duplicateValues" dxfId="131" priority="28"/>
  </conditionalFormatting>
  <conditionalFormatting sqref="P54">
    <cfRule type="duplicateValues" dxfId="130" priority="25"/>
    <cfRule type="duplicateValues" dxfId="129" priority="26"/>
  </conditionalFormatting>
  <conditionalFormatting sqref="A55:A56">
    <cfRule type="duplicateValues" dxfId="128" priority="23"/>
    <cfRule type="duplicateValues" dxfId="127" priority="24"/>
  </conditionalFormatting>
  <conditionalFormatting sqref="J55:J56">
    <cfRule type="duplicateValues" dxfId="126" priority="21"/>
    <cfRule type="duplicateValues" dxfId="125" priority="22"/>
  </conditionalFormatting>
  <conditionalFormatting sqref="P55:P56">
    <cfRule type="duplicateValues" dxfId="124" priority="19"/>
    <cfRule type="duplicateValues" dxfId="123" priority="20"/>
  </conditionalFormatting>
  <conditionalFormatting sqref="A57">
    <cfRule type="duplicateValues" dxfId="122" priority="17"/>
    <cfRule type="duplicateValues" dxfId="121" priority="18"/>
  </conditionalFormatting>
  <conditionalFormatting sqref="J57">
    <cfRule type="duplicateValues" dxfId="120" priority="15"/>
    <cfRule type="duplicateValues" dxfId="119" priority="16"/>
  </conditionalFormatting>
  <conditionalFormatting sqref="P57">
    <cfRule type="duplicateValues" dxfId="118" priority="13"/>
    <cfRule type="duplicateValues" dxfId="117" priority="14"/>
  </conditionalFormatting>
  <conditionalFormatting sqref="A58">
    <cfRule type="duplicateValues" dxfId="116" priority="11"/>
    <cfRule type="duplicateValues" dxfId="115" priority="12"/>
  </conditionalFormatting>
  <conditionalFormatting sqref="J58:J59">
    <cfRule type="duplicateValues" dxfId="114" priority="9"/>
    <cfRule type="duplicateValues" dxfId="113" priority="10"/>
  </conditionalFormatting>
  <conditionalFormatting sqref="P58:P59">
    <cfRule type="duplicateValues" dxfId="112" priority="7"/>
    <cfRule type="duplicateValues" dxfId="111" priority="8"/>
  </conditionalFormatting>
  <conditionalFormatting sqref="J59">
    <cfRule type="duplicateValues" dxfId="110" priority="5"/>
    <cfRule type="duplicateValues" dxfId="109" priority="6"/>
  </conditionalFormatting>
  <conditionalFormatting sqref="P59">
    <cfRule type="duplicateValues" dxfId="108" priority="3"/>
    <cfRule type="duplicateValues" dxfId="107" priority="4"/>
  </conditionalFormatting>
  <conditionalFormatting sqref="A59">
    <cfRule type="duplicateValues" dxfId="106" priority="1"/>
    <cfRule type="duplicateValues" dxfId="105"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C00000"/>
  </sheetPr>
  <dimension ref="A1:J121"/>
  <sheetViews>
    <sheetView topLeftCell="A105" workbookViewId="0">
      <selection activeCell="A120" sqref="A120:H121"/>
    </sheetView>
  </sheetViews>
  <sheetFormatPr defaultRowHeight="12.75" x14ac:dyDescent="0.2"/>
  <cols>
    <col min="1" max="1" width="11.5703125" bestFit="1" customWidth="1"/>
    <col min="2" max="2" width="44.140625" bestFit="1" customWidth="1"/>
    <col min="3" max="3" width="5.28515625" bestFit="1" customWidth="1"/>
    <col min="4" max="4" width="9" bestFit="1" customWidth="1"/>
    <col min="5" max="5" width="25.7109375" customWidth="1"/>
    <col min="6" max="6" width="9.85546875" bestFit="1" customWidth="1"/>
    <col min="7" max="7" width="8" bestFit="1" customWidth="1"/>
    <col min="8" max="8" width="14.7109375" bestFit="1" customWidth="1"/>
    <col min="9" max="9" width="10.140625" bestFit="1" customWidth="1"/>
  </cols>
  <sheetData>
    <row r="1" spans="1:9" s="35" customFormat="1" x14ac:dyDescent="0.2">
      <c r="A1" s="2" t="s">
        <v>0</v>
      </c>
      <c r="B1" s="2" t="s">
        <v>1</v>
      </c>
      <c r="C1" s="2" t="s">
        <v>2</v>
      </c>
      <c r="D1" s="2" t="s">
        <v>3</v>
      </c>
      <c r="E1" s="2" t="s">
        <v>2952</v>
      </c>
      <c r="F1" s="2" t="s">
        <v>7</v>
      </c>
      <c r="G1" s="2" t="s">
        <v>8</v>
      </c>
      <c r="H1" s="33" t="s">
        <v>3206</v>
      </c>
      <c r="I1" s="34"/>
    </row>
    <row r="2" spans="1:9" x14ac:dyDescent="0.2">
      <c r="A2" s="13">
        <v>50003970</v>
      </c>
      <c r="B2" s="14" t="s">
        <v>2953</v>
      </c>
      <c r="C2" s="8">
        <v>0.12</v>
      </c>
      <c r="D2" s="23">
        <v>30049099</v>
      </c>
      <c r="E2" s="15" t="s">
        <v>2954</v>
      </c>
      <c r="F2" s="15" t="s">
        <v>2955</v>
      </c>
      <c r="G2" s="24">
        <v>1399</v>
      </c>
      <c r="H2" s="25" t="s">
        <v>2956</v>
      </c>
      <c r="I2" s="26"/>
    </row>
    <row r="3" spans="1:9" x14ac:dyDescent="0.2">
      <c r="A3" s="13">
        <v>50003788</v>
      </c>
      <c r="B3" s="14" t="s">
        <v>2957</v>
      </c>
      <c r="C3" s="8">
        <v>0.12</v>
      </c>
      <c r="D3" s="23">
        <v>30049099</v>
      </c>
      <c r="E3" s="15" t="s">
        <v>2958</v>
      </c>
      <c r="F3" s="15" t="s">
        <v>2702</v>
      </c>
      <c r="G3" s="24">
        <v>90</v>
      </c>
      <c r="H3" s="25" t="s">
        <v>2956</v>
      </c>
      <c r="I3" s="26"/>
    </row>
    <row r="4" spans="1:9" x14ac:dyDescent="0.2">
      <c r="A4" s="13">
        <v>50003336</v>
      </c>
      <c r="B4" s="14" t="s">
        <v>2959</v>
      </c>
      <c r="C4" s="8">
        <v>0.18</v>
      </c>
      <c r="D4" s="23">
        <v>21069099</v>
      </c>
      <c r="E4" s="15" t="s">
        <v>2960</v>
      </c>
      <c r="F4" s="15" t="s">
        <v>2666</v>
      </c>
      <c r="G4" s="24">
        <v>70</v>
      </c>
      <c r="H4" s="25" t="s">
        <v>2956</v>
      </c>
      <c r="I4" s="26"/>
    </row>
    <row r="5" spans="1:9" x14ac:dyDescent="0.2">
      <c r="A5" s="13">
        <v>50002797</v>
      </c>
      <c r="B5" s="14" t="s">
        <v>2961</v>
      </c>
      <c r="C5" s="8">
        <v>0.12</v>
      </c>
      <c r="D5" s="23">
        <v>30049099</v>
      </c>
      <c r="E5" s="15" t="s">
        <v>2962</v>
      </c>
      <c r="F5" s="15" t="s">
        <v>2693</v>
      </c>
      <c r="G5" s="24">
        <v>72.45</v>
      </c>
      <c r="H5" s="25" t="s">
        <v>2956</v>
      </c>
      <c r="I5" s="26"/>
    </row>
    <row r="6" spans="1:9" x14ac:dyDescent="0.2">
      <c r="A6" s="13">
        <v>50002933</v>
      </c>
      <c r="B6" s="14" t="s">
        <v>2963</v>
      </c>
      <c r="C6" s="8">
        <v>0.12</v>
      </c>
      <c r="D6" s="23">
        <v>30049099</v>
      </c>
      <c r="E6" s="15" t="s">
        <v>2964</v>
      </c>
      <c r="F6" s="15" t="s">
        <v>2779</v>
      </c>
      <c r="G6" s="24">
        <v>111.93</v>
      </c>
      <c r="H6" s="25" t="s">
        <v>2956</v>
      </c>
      <c r="I6" s="26"/>
    </row>
    <row r="7" spans="1:9" x14ac:dyDescent="0.2">
      <c r="A7" s="13">
        <v>50001368</v>
      </c>
      <c r="B7" s="14" t="s">
        <v>2965</v>
      </c>
      <c r="C7" s="8">
        <v>0.12</v>
      </c>
      <c r="D7" s="23">
        <v>30049081</v>
      </c>
      <c r="E7" s="15" t="s">
        <v>2966</v>
      </c>
      <c r="F7" s="15" t="s">
        <v>2682</v>
      </c>
      <c r="G7" s="24">
        <v>64.959999999999994</v>
      </c>
      <c r="H7" s="25" t="s">
        <v>2956</v>
      </c>
      <c r="I7" s="26"/>
    </row>
    <row r="8" spans="1:9" x14ac:dyDescent="0.2">
      <c r="A8" s="13">
        <v>50003149</v>
      </c>
      <c r="B8" s="14" t="s">
        <v>2967</v>
      </c>
      <c r="C8" s="8">
        <v>0.12</v>
      </c>
      <c r="D8" s="23">
        <v>30049099</v>
      </c>
      <c r="E8" s="15" t="s">
        <v>2968</v>
      </c>
      <c r="F8" s="15" t="s">
        <v>2693</v>
      </c>
      <c r="G8" s="24">
        <v>105.14</v>
      </c>
      <c r="H8" s="25" t="s">
        <v>2956</v>
      </c>
      <c r="I8" s="26"/>
    </row>
    <row r="9" spans="1:9" x14ac:dyDescent="0.2">
      <c r="A9" s="13">
        <v>50002684</v>
      </c>
      <c r="B9" s="14" t="s">
        <v>2969</v>
      </c>
      <c r="C9" s="8">
        <v>0.12</v>
      </c>
      <c r="D9" s="23">
        <v>30045090</v>
      </c>
      <c r="E9" s="15" t="s">
        <v>2970</v>
      </c>
      <c r="F9" s="15" t="s">
        <v>2666</v>
      </c>
      <c r="G9" s="24">
        <v>159.31</v>
      </c>
      <c r="H9" s="25" t="s">
        <v>2956</v>
      </c>
      <c r="I9" s="26"/>
    </row>
    <row r="10" spans="1:9" x14ac:dyDescent="0.2">
      <c r="A10" s="13">
        <v>50003384</v>
      </c>
      <c r="B10" s="14" t="s">
        <v>2971</v>
      </c>
      <c r="C10" s="8">
        <v>0.12</v>
      </c>
      <c r="D10" s="23">
        <v>30049099</v>
      </c>
      <c r="E10" s="15" t="s">
        <v>2972</v>
      </c>
      <c r="F10" s="15" t="s">
        <v>2666</v>
      </c>
      <c r="G10" s="24">
        <v>215.6</v>
      </c>
      <c r="H10" s="25" t="s">
        <v>2956</v>
      </c>
      <c r="I10" s="26"/>
    </row>
    <row r="11" spans="1:9" x14ac:dyDescent="0.2">
      <c r="A11" s="13">
        <v>50003385</v>
      </c>
      <c r="B11" s="14" t="s">
        <v>2973</v>
      </c>
      <c r="C11" s="8">
        <v>0.12</v>
      </c>
      <c r="D11" s="23">
        <v>30049099</v>
      </c>
      <c r="E11" s="15" t="s">
        <v>1586</v>
      </c>
      <c r="F11" s="15" t="s">
        <v>2666</v>
      </c>
      <c r="G11" s="24">
        <v>372.5</v>
      </c>
      <c r="H11" s="25" t="s">
        <v>2956</v>
      </c>
      <c r="I11" s="26"/>
    </row>
    <row r="12" spans="1:9" x14ac:dyDescent="0.2">
      <c r="A12" s="13">
        <v>50003773</v>
      </c>
      <c r="B12" s="14" t="s">
        <v>2974</v>
      </c>
      <c r="C12" s="8">
        <v>0</v>
      </c>
      <c r="D12" s="23">
        <v>40141010</v>
      </c>
      <c r="E12" s="15" t="s">
        <v>2975</v>
      </c>
      <c r="F12" s="22" t="s">
        <v>2895</v>
      </c>
      <c r="G12" s="24">
        <v>50</v>
      </c>
      <c r="H12" s="25" t="s">
        <v>2956</v>
      </c>
      <c r="I12" s="26"/>
    </row>
    <row r="13" spans="1:9" x14ac:dyDescent="0.2">
      <c r="A13" s="13">
        <v>50003382</v>
      </c>
      <c r="B13" s="14" t="s">
        <v>2974</v>
      </c>
      <c r="C13" s="8">
        <v>0</v>
      </c>
      <c r="D13" s="23">
        <v>40141010</v>
      </c>
      <c r="E13" s="15" t="s">
        <v>2975</v>
      </c>
      <c r="F13" s="22" t="s">
        <v>2896</v>
      </c>
      <c r="G13" s="24">
        <v>150</v>
      </c>
      <c r="H13" s="25" t="s">
        <v>2956</v>
      </c>
      <c r="I13" s="26"/>
    </row>
    <row r="14" spans="1:9" x14ac:dyDescent="0.2">
      <c r="A14" s="13">
        <v>50003258</v>
      </c>
      <c r="B14" s="14" t="s">
        <v>2976</v>
      </c>
      <c r="C14" s="8">
        <v>0.18</v>
      </c>
      <c r="D14" s="23">
        <v>21069099</v>
      </c>
      <c r="E14" s="15" t="s">
        <v>2977</v>
      </c>
      <c r="F14" s="22" t="s">
        <v>2696</v>
      </c>
      <c r="G14" s="24">
        <v>195</v>
      </c>
      <c r="H14" s="25" t="s">
        <v>2956</v>
      </c>
      <c r="I14" s="26"/>
    </row>
    <row r="15" spans="1:9" x14ac:dyDescent="0.2">
      <c r="A15" s="13">
        <v>50000935</v>
      </c>
      <c r="B15" s="14" t="s">
        <v>2978</v>
      </c>
      <c r="C15" s="8">
        <v>0.12</v>
      </c>
      <c r="D15" s="23">
        <v>30049039</v>
      </c>
      <c r="E15" s="15" t="s">
        <v>2979</v>
      </c>
      <c r="F15" s="22" t="s">
        <v>2666</v>
      </c>
      <c r="G15" s="24">
        <v>75</v>
      </c>
      <c r="H15" s="25" t="s">
        <v>2956</v>
      </c>
      <c r="I15" s="26"/>
    </row>
    <row r="16" spans="1:9" x14ac:dyDescent="0.2">
      <c r="A16" s="13">
        <v>50003184</v>
      </c>
      <c r="B16" s="14" t="s">
        <v>2980</v>
      </c>
      <c r="C16" s="8">
        <v>0.18</v>
      </c>
      <c r="D16" s="23">
        <v>21069099</v>
      </c>
      <c r="E16" s="15" t="s">
        <v>2981</v>
      </c>
      <c r="F16" s="22" t="s">
        <v>2666</v>
      </c>
      <c r="G16" s="24">
        <v>66</v>
      </c>
      <c r="H16" s="25" t="s">
        <v>2956</v>
      </c>
      <c r="I16" s="26"/>
    </row>
    <row r="17" spans="1:9" x14ac:dyDescent="0.2">
      <c r="A17" s="13">
        <v>50001072</v>
      </c>
      <c r="B17" s="14" t="s">
        <v>1585</v>
      </c>
      <c r="C17" s="8">
        <v>0.12</v>
      </c>
      <c r="D17" s="23">
        <v>30049099</v>
      </c>
      <c r="E17" s="15" t="s">
        <v>1586</v>
      </c>
      <c r="F17" s="22" t="s">
        <v>2861</v>
      </c>
      <c r="G17" s="24">
        <v>149</v>
      </c>
      <c r="H17" s="25" t="s">
        <v>2956</v>
      </c>
      <c r="I17" s="26"/>
    </row>
    <row r="18" spans="1:9" x14ac:dyDescent="0.2">
      <c r="A18" s="13">
        <v>50002480</v>
      </c>
      <c r="B18" s="14" t="s">
        <v>2982</v>
      </c>
      <c r="C18" s="8">
        <v>0.12</v>
      </c>
      <c r="D18" s="23">
        <v>30049099</v>
      </c>
      <c r="E18" s="15" t="s">
        <v>1649</v>
      </c>
      <c r="F18" s="22" t="s">
        <v>2666</v>
      </c>
      <c r="G18" s="24">
        <v>50</v>
      </c>
      <c r="H18" s="25" t="s">
        <v>2956</v>
      </c>
      <c r="I18" s="26"/>
    </row>
    <row r="19" spans="1:9" x14ac:dyDescent="0.2">
      <c r="A19" s="13">
        <v>58000047</v>
      </c>
      <c r="B19" s="14" t="s">
        <v>2983</v>
      </c>
      <c r="C19" s="8">
        <v>0.12</v>
      </c>
      <c r="D19" s="23">
        <v>30049084</v>
      </c>
      <c r="E19" s="15" t="s">
        <v>2984</v>
      </c>
      <c r="F19" s="22" t="s">
        <v>2666</v>
      </c>
      <c r="G19" s="24">
        <v>96.49</v>
      </c>
      <c r="H19" s="25" t="s">
        <v>2956</v>
      </c>
      <c r="I19" s="26"/>
    </row>
    <row r="20" spans="1:9" x14ac:dyDescent="0.2">
      <c r="A20" s="13">
        <v>50003380</v>
      </c>
      <c r="B20" s="14" t="s">
        <v>2985</v>
      </c>
      <c r="C20" s="8">
        <v>0.12</v>
      </c>
      <c r="D20" s="23">
        <v>30049099</v>
      </c>
      <c r="E20" s="15" t="s">
        <v>2972</v>
      </c>
      <c r="F20" s="22" t="s">
        <v>2666</v>
      </c>
      <c r="G20" s="24">
        <v>215.6</v>
      </c>
      <c r="H20" s="25" t="s">
        <v>2956</v>
      </c>
      <c r="I20" s="26"/>
    </row>
    <row r="21" spans="1:9" x14ac:dyDescent="0.2">
      <c r="A21" s="13">
        <v>50003381</v>
      </c>
      <c r="B21" s="14" t="s">
        <v>2986</v>
      </c>
      <c r="C21" s="8">
        <v>0.12</v>
      </c>
      <c r="D21" s="23">
        <v>30049099</v>
      </c>
      <c r="E21" s="15" t="s">
        <v>1586</v>
      </c>
      <c r="F21" s="22" t="s">
        <v>2666</v>
      </c>
      <c r="G21" s="24">
        <v>372.5</v>
      </c>
      <c r="H21" s="25" t="s">
        <v>2956</v>
      </c>
      <c r="I21" s="26"/>
    </row>
    <row r="22" spans="1:9" x14ac:dyDescent="0.2">
      <c r="A22" s="13">
        <v>50004558</v>
      </c>
      <c r="B22" s="14" t="s">
        <v>1911</v>
      </c>
      <c r="C22" s="8">
        <v>0.18</v>
      </c>
      <c r="D22" s="23">
        <v>33049930</v>
      </c>
      <c r="E22" s="15" t="s">
        <v>1912</v>
      </c>
      <c r="F22" s="22" t="s">
        <v>2682</v>
      </c>
      <c r="G22" s="24">
        <v>299</v>
      </c>
      <c r="H22" s="25" t="s">
        <v>2956</v>
      </c>
      <c r="I22" s="26"/>
    </row>
    <row r="23" spans="1:9" x14ac:dyDescent="0.2">
      <c r="A23" s="13">
        <v>50003350</v>
      </c>
      <c r="B23" s="14" t="s">
        <v>2987</v>
      </c>
      <c r="C23" s="8">
        <v>0.12</v>
      </c>
      <c r="D23" s="23">
        <v>30045020</v>
      </c>
      <c r="E23" s="15" t="s">
        <v>2988</v>
      </c>
      <c r="F23" s="22" t="s">
        <v>2666</v>
      </c>
      <c r="G23" s="24">
        <v>39.9</v>
      </c>
      <c r="H23" s="25" t="s">
        <v>2956</v>
      </c>
      <c r="I23" s="26"/>
    </row>
    <row r="24" spans="1:9" x14ac:dyDescent="0.2">
      <c r="A24" s="13">
        <v>50003912</v>
      </c>
      <c r="B24" s="14" t="s">
        <v>2989</v>
      </c>
      <c r="C24" s="8">
        <v>0.12</v>
      </c>
      <c r="D24" s="23">
        <v>30049099</v>
      </c>
      <c r="E24" s="15" t="s">
        <v>2320</v>
      </c>
      <c r="F24" s="22" t="s">
        <v>2917</v>
      </c>
      <c r="G24" s="24">
        <v>110</v>
      </c>
      <c r="H24" s="25" t="s">
        <v>2956</v>
      </c>
      <c r="I24" s="26"/>
    </row>
    <row r="25" spans="1:9" x14ac:dyDescent="0.2">
      <c r="A25" s="13">
        <v>50003907</v>
      </c>
      <c r="B25" s="14" t="s">
        <v>2990</v>
      </c>
      <c r="C25" s="8">
        <v>0.12</v>
      </c>
      <c r="D25" s="23">
        <v>30049099</v>
      </c>
      <c r="E25" s="15" t="s">
        <v>2321</v>
      </c>
      <c r="F25" s="22" t="s">
        <v>2920</v>
      </c>
      <c r="G25" s="24">
        <v>231</v>
      </c>
      <c r="H25" s="25" t="s">
        <v>2956</v>
      </c>
      <c r="I25" s="26"/>
    </row>
    <row r="26" spans="1:9" x14ac:dyDescent="0.2">
      <c r="A26" s="13">
        <v>50003980</v>
      </c>
      <c r="B26" s="14" t="s">
        <v>2991</v>
      </c>
      <c r="C26" s="8">
        <v>0.12</v>
      </c>
      <c r="D26" s="23">
        <v>30049084</v>
      </c>
      <c r="E26" s="15" t="s">
        <v>2992</v>
      </c>
      <c r="F26" s="22" t="s">
        <v>2993</v>
      </c>
      <c r="G26" s="24">
        <v>3910</v>
      </c>
      <c r="H26" s="25" t="s">
        <v>2956</v>
      </c>
      <c r="I26" s="26"/>
    </row>
    <row r="27" spans="1:9" x14ac:dyDescent="0.2">
      <c r="A27" s="13">
        <v>50004101</v>
      </c>
      <c r="B27" s="14" t="s">
        <v>2994</v>
      </c>
      <c r="C27" s="8">
        <v>0.12</v>
      </c>
      <c r="D27" s="23">
        <v>30049099</v>
      </c>
      <c r="E27" s="15" t="s">
        <v>2995</v>
      </c>
      <c r="F27" s="22" t="s">
        <v>2996</v>
      </c>
      <c r="G27" s="24">
        <v>183.79</v>
      </c>
      <c r="H27" s="25" t="s">
        <v>2956</v>
      </c>
      <c r="I27" s="26"/>
    </row>
    <row r="28" spans="1:9" x14ac:dyDescent="0.2">
      <c r="A28" s="13">
        <v>50004093</v>
      </c>
      <c r="B28" s="14" t="s">
        <v>2997</v>
      </c>
      <c r="C28" s="8">
        <v>0.12</v>
      </c>
      <c r="D28" s="23">
        <v>30049099</v>
      </c>
      <c r="E28" s="15" t="s">
        <v>2998</v>
      </c>
      <c r="F28" s="22" t="s">
        <v>2999</v>
      </c>
      <c r="G28" s="24">
        <v>396.92</v>
      </c>
      <c r="H28" s="25" t="s">
        <v>2956</v>
      </c>
      <c r="I28" s="26"/>
    </row>
    <row r="29" spans="1:9" x14ac:dyDescent="0.2">
      <c r="A29" s="13">
        <v>50000290</v>
      </c>
      <c r="B29" s="14" t="s">
        <v>1381</v>
      </c>
      <c r="C29" s="8">
        <v>0.12</v>
      </c>
      <c r="D29" s="23">
        <v>30042064</v>
      </c>
      <c r="E29" s="15" t="s">
        <v>1382</v>
      </c>
      <c r="F29" s="22" t="s">
        <v>2735</v>
      </c>
      <c r="G29" s="24">
        <v>46.25</v>
      </c>
      <c r="H29" s="25" t="s">
        <v>2956</v>
      </c>
      <c r="I29" s="26"/>
    </row>
    <row r="30" spans="1:9" x14ac:dyDescent="0.2">
      <c r="A30" s="13">
        <v>50003090</v>
      </c>
      <c r="B30" s="14" t="s">
        <v>3000</v>
      </c>
      <c r="C30" s="8">
        <v>0.12</v>
      </c>
      <c r="D30" s="23">
        <v>30049099</v>
      </c>
      <c r="E30" s="15" t="s">
        <v>408</v>
      </c>
      <c r="F30" s="24" t="s">
        <v>2682</v>
      </c>
      <c r="G30" s="24">
        <v>119.16</v>
      </c>
      <c r="H30" s="25" t="s">
        <v>2956</v>
      </c>
      <c r="I30" s="26"/>
    </row>
    <row r="31" spans="1:9" x14ac:dyDescent="0.2">
      <c r="A31" s="13">
        <v>50000672</v>
      </c>
      <c r="B31" s="14" t="s">
        <v>3001</v>
      </c>
      <c r="C31" s="8">
        <v>0.12</v>
      </c>
      <c r="D31" s="23">
        <v>30049099</v>
      </c>
      <c r="E31" s="15" t="s">
        <v>3002</v>
      </c>
      <c r="F31" s="24" t="s">
        <v>2682</v>
      </c>
      <c r="G31" s="25">
        <v>160.54</v>
      </c>
      <c r="H31" s="25" t="s">
        <v>2956</v>
      </c>
      <c r="I31" s="26"/>
    </row>
    <row r="32" spans="1:9" x14ac:dyDescent="0.2">
      <c r="A32" s="13">
        <v>50000711</v>
      </c>
      <c r="B32" s="14" t="s">
        <v>3003</v>
      </c>
      <c r="C32" s="8">
        <v>0.12</v>
      </c>
      <c r="D32" s="23">
        <v>30049034</v>
      </c>
      <c r="E32" s="15" t="s">
        <v>3004</v>
      </c>
      <c r="F32" s="24" t="s">
        <v>2693</v>
      </c>
      <c r="G32" s="24">
        <v>32.14</v>
      </c>
      <c r="H32" s="25" t="s">
        <v>2956</v>
      </c>
      <c r="I32" s="26"/>
    </row>
    <row r="33" spans="1:9" x14ac:dyDescent="0.2">
      <c r="A33" s="13">
        <v>50001414</v>
      </c>
      <c r="B33" s="14" t="s">
        <v>3005</v>
      </c>
      <c r="C33" s="8">
        <v>0.12</v>
      </c>
      <c r="D33" s="23">
        <v>30049039</v>
      </c>
      <c r="E33" s="15" t="s">
        <v>3006</v>
      </c>
      <c r="F33" s="24" t="s">
        <v>2693</v>
      </c>
      <c r="G33" s="24">
        <v>93.69</v>
      </c>
      <c r="H33" s="25" t="s">
        <v>2956</v>
      </c>
      <c r="I33" s="26"/>
    </row>
    <row r="34" spans="1:9" x14ac:dyDescent="0.2">
      <c r="A34" s="13">
        <v>50000203</v>
      </c>
      <c r="B34" s="14" t="s">
        <v>3007</v>
      </c>
      <c r="C34" s="8">
        <v>0.12</v>
      </c>
      <c r="D34" s="23">
        <v>30049099</v>
      </c>
      <c r="E34" s="15" t="s">
        <v>3008</v>
      </c>
      <c r="F34" s="24" t="s">
        <v>2680</v>
      </c>
      <c r="G34" s="24">
        <v>88.57</v>
      </c>
      <c r="H34" s="25" t="s">
        <v>2956</v>
      </c>
      <c r="I34" s="26"/>
    </row>
    <row r="35" spans="1:9" x14ac:dyDescent="0.2">
      <c r="A35" s="13">
        <v>50000056</v>
      </c>
      <c r="B35" s="14" t="s">
        <v>3007</v>
      </c>
      <c r="C35" s="8">
        <v>0.12</v>
      </c>
      <c r="D35" s="23">
        <v>30049099</v>
      </c>
      <c r="E35" s="15" t="s">
        <v>3008</v>
      </c>
      <c r="F35" s="24" t="s">
        <v>2682</v>
      </c>
      <c r="G35" s="24">
        <v>153.88999999999999</v>
      </c>
      <c r="H35" s="25" t="s">
        <v>2956</v>
      </c>
      <c r="I35" s="26"/>
    </row>
    <row r="36" spans="1:9" x14ac:dyDescent="0.2">
      <c r="A36" s="13">
        <v>50000680</v>
      </c>
      <c r="B36" s="14" t="s">
        <v>3009</v>
      </c>
      <c r="C36" s="8">
        <v>0.12</v>
      </c>
      <c r="D36" s="23">
        <v>30049087</v>
      </c>
      <c r="E36" s="15" t="s">
        <v>3010</v>
      </c>
      <c r="F36" s="24" t="s">
        <v>3011</v>
      </c>
      <c r="G36" s="24">
        <v>74.069999999999993</v>
      </c>
      <c r="H36" s="25" t="s">
        <v>2956</v>
      </c>
      <c r="I36" s="26"/>
    </row>
    <row r="37" spans="1:9" x14ac:dyDescent="0.2">
      <c r="A37" s="13">
        <v>50003906</v>
      </c>
      <c r="B37" s="14" t="s">
        <v>3012</v>
      </c>
      <c r="C37" s="8">
        <v>0.12</v>
      </c>
      <c r="D37" s="23">
        <v>30049099</v>
      </c>
      <c r="E37" s="15" t="s">
        <v>3013</v>
      </c>
      <c r="F37" s="24" t="s">
        <v>72</v>
      </c>
      <c r="G37" s="24">
        <v>722.2</v>
      </c>
      <c r="H37" s="25" t="s">
        <v>2956</v>
      </c>
      <c r="I37" s="26"/>
    </row>
    <row r="38" spans="1:9" x14ac:dyDescent="0.2">
      <c r="A38" s="13">
        <v>50003904</v>
      </c>
      <c r="B38" s="14" t="s">
        <v>3014</v>
      </c>
      <c r="C38" s="8">
        <v>0.12</v>
      </c>
      <c r="D38" s="23">
        <v>30049099</v>
      </c>
      <c r="E38" s="15" t="s">
        <v>3013</v>
      </c>
      <c r="F38" s="24" t="s">
        <v>2744</v>
      </c>
      <c r="G38" s="24">
        <v>951.7</v>
      </c>
      <c r="H38" s="25" t="s">
        <v>2956</v>
      </c>
      <c r="I38" s="26"/>
    </row>
    <row r="39" spans="1:9" x14ac:dyDescent="0.2">
      <c r="A39" s="13">
        <v>50003905</v>
      </c>
      <c r="B39" s="14" t="s">
        <v>3015</v>
      </c>
      <c r="C39" s="8">
        <v>0.12</v>
      </c>
      <c r="D39" s="23">
        <v>30049099</v>
      </c>
      <c r="E39" s="15" t="s">
        <v>3013</v>
      </c>
      <c r="F39" s="24" t="s">
        <v>2918</v>
      </c>
      <c r="G39" s="24">
        <v>4999</v>
      </c>
      <c r="H39" s="25" t="s">
        <v>2956</v>
      </c>
      <c r="I39" s="26"/>
    </row>
    <row r="40" spans="1:9" x14ac:dyDescent="0.2">
      <c r="A40" s="13">
        <v>50001889</v>
      </c>
      <c r="B40" s="14" t="s">
        <v>3016</v>
      </c>
      <c r="C40" s="8">
        <v>0.12</v>
      </c>
      <c r="D40" s="23">
        <v>30049039</v>
      </c>
      <c r="E40" s="15" t="s">
        <v>3017</v>
      </c>
      <c r="F40" s="24" t="s">
        <v>2666</v>
      </c>
      <c r="G40" s="24">
        <v>175.3</v>
      </c>
      <c r="H40" s="25" t="s">
        <v>2956</v>
      </c>
      <c r="I40" s="26"/>
    </row>
    <row r="41" spans="1:9" x14ac:dyDescent="0.2">
      <c r="A41" s="13">
        <v>50004075</v>
      </c>
      <c r="B41" s="14" t="s">
        <v>3018</v>
      </c>
      <c r="C41" s="8">
        <v>0.05</v>
      </c>
      <c r="D41" s="23">
        <v>30049099</v>
      </c>
      <c r="E41" s="15" t="s">
        <v>3019</v>
      </c>
      <c r="F41" s="24" t="s">
        <v>3020</v>
      </c>
      <c r="G41" s="24">
        <v>3100.63</v>
      </c>
      <c r="H41" s="25" t="s">
        <v>2956</v>
      </c>
      <c r="I41" s="26"/>
    </row>
    <row r="42" spans="1:9" x14ac:dyDescent="0.2">
      <c r="A42" s="13">
        <v>50004076</v>
      </c>
      <c r="B42" s="14" t="s">
        <v>3021</v>
      </c>
      <c r="C42" s="8">
        <v>0.05</v>
      </c>
      <c r="D42" s="23">
        <v>30049099</v>
      </c>
      <c r="E42" s="15" t="s">
        <v>3022</v>
      </c>
      <c r="F42" s="24" t="s">
        <v>3020</v>
      </c>
      <c r="G42" s="24">
        <v>5901.21</v>
      </c>
      <c r="H42" s="25" t="s">
        <v>2956</v>
      </c>
      <c r="I42" s="26"/>
    </row>
    <row r="43" spans="1:9" x14ac:dyDescent="0.2">
      <c r="A43" s="13">
        <v>50004077</v>
      </c>
      <c r="B43" s="14" t="s">
        <v>3023</v>
      </c>
      <c r="C43" s="8">
        <v>0.05</v>
      </c>
      <c r="D43" s="23">
        <v>30049099</v>
      </c>
      <c r="E43" s="15" t="s">
        <v>3024</v>
      </c>
      <c r="F43" s="24" t="s">
        <v>3020</v>
      </c>
      <c r="G43" s="24">
        <v>12817.62</v>
      </c>
      <c r="H43" s="25" t="s">
        <v>2956</v>
      </c>
      <c r="I43" s="26"/>
    </row>
    <row r="44" spans="1:9" x14ac:dyDescent="0.2">
      <c r="A44" s="13">
        <v>50004877</v>
      </c>
      <c r="B44" s="14" t="s">
        <v>3025</v>
      </c>
      <c r="C44" s="8">
        <v>0.12</v>
      </c>
      <c r="D44" s="23">
        <v>30049099</v>
      </c>
      <c r="E44" s="15" t="s">
        <v>3026</v>
      </c>
      <c r="F44" s="24" t="s">
        <v>2728</v>
      </c>
      <c r="G44" s="24">
        <v>17000</v>
      </c>
      <c r="H44" s="25" t="s">
        <v>2956</v>
      </c>
      <c r="I44" s="26"/>
    </row>
    <row r="45" spans="1:9" x14ac:dyDescent="0.2">
      <c r="A45" s="13">
        <v>50003370</v>
      </c>
      <c r="B45" s="14" t="s">
        <v>3043</v>
      </c>
      <c r="C45" s="8">
        <v>0.12</v>
      </c>
      <c r="D45" s="23">
        <v>30049099</v>
      </c>
      <c r="E45" s="15" t="s">
        <v>3044</v>
      </c>
      <c r="F45" s="24" t="s">
        <v>2738</v>
      </c>
      <c r="G45" s="24">
        <v>150</v>
      </c>
      <c r="H45" s="25" t="s">
        <v>2956</v>
      </c>
      <c r="I45" s="26"/>
    </row>
    <row r="46" spans="1:9" x14ac:dyDescent="0.2">
      <c r="A46" s="13">
        <v>50003393</v>
      </c>
      <c r="B46" s="14" t="s">
        <v>3046</v>
      </c>
      <c r="C46" s="8">
        <v>0.12</v>
      </c>
      <c r="D46" s="23">
        <v>30049099</v>
      </c>
      <c r="E46" s="15" t="s">
        <v>3047</v>
      </c>
      <c r="F46" s="24" t="s">
        <v>2666</v>
      </c>
      <c r="G46" s="24">
        <v>45</v>
      </c>
      <c r="H46" s="25" t="s">
        <v>2956</v>
      </c>
      <c r="I46" s="26"/>
    </row>
    <row r="47" spans="1:9" x14ac:dyDescent="0.2">
      <c r="A47" s="13">
        <v>50003386</v>
      </c>
      <c r="B47" s="14" t="s">
        <v>3048</v>
      </c>
      <c r="C47" s="8">
        <v>0.12</v>
      </c>
      <c r="D47" s="23">
        <v>30049099</v>
      </c>
      <c r="E47" s="15" t="s">
        <v>3045</v>
      </c>
      <c r="F47" s="24" t="s">
        <v>2666</v>
      </c>
      <c r="G47" s="24">
        <v>1600</v>
      </c>
      <c r="H47" s="25" t="s">
        <v>2956</v>
      </c>
      <c r="I47" s="26"/>
    </row>
    <row r="48" spans="1:9" x14ac:dyDescent="0.2">
      <c r="A48" s="13">
        <v>50000992</v>
      </c>
      <c r="B48" s="14" t="s">
        <v>3049</v>
      </c>
      <c r="C48" s="8">
        <v>0.12</v>
      </c>
      <c r="D48" s="23">
        <v>30045090</v>
      </c>
      <c r="E48" s="15" t="s">
        <v>3050</v>
      </c>
      <c r="F48" s="24" t="s">
        <v>2711</v>
      </c>
      <c r="G48" s="24">
        <v>36.99</v>
      </c>
      <c r="H48" s="25" t="s">
        <v>2956</v>
      </c>
      <c r="I48" s="26"/>
    </row>
    <row r="49" spans="1:9" x14ac:dyDescent="0.2">
      <c r="A49" s="13">
        <v>50000983</v>
      </c>
      <c r="B49" s="14" t="s">
        <v>3051</v>
      </c>
      <c r="C49" s="8">
        <v>0.12</v>
      </c>
      <c r="D49" s="23">
        <v>30045035</v>
      </c>
      <c r="E49" s="15" t="s">
        <v>3052</v>
      </c>
      <c r="F49" s="24" t="s">
        <v>2886</v>
      </c>
      <c r="G49" s="24">
        <v>3.71</v>
      </c>
      <c r="H49" s="25" t="s">
        <v>2956</v>
      </c>
      <c r="I49" s="26"/>
    </row>
    <row r="50" spans="1:9" x14ac:dyDescent="0.2">
      <c r="A50" s="13">
        <v>50000315</v>
      </c>
      <c r="B50" s="14" t="s">
        <v>3053</v>
      </c>
      <c r="C50" s="8">
        <v>0.12</v>
      </c>
      <c r="D50" s="23">
        <v>30049099</v>
      </c>
      <c r="E50" s="15" t="s">
        <v>3054</v>
      </c>
      <c r="F50" s="24" t="s">
        <v>2861</v>
      </c>
      <c r="G50" s="24">
        <v>84.98</v>
      </c>
      <c r="H50" s="25" t="s">
        <v>2956</v>
      </c>
      <c r="I50" s="26"/>
    </row>
    <row r="51" spans="1:9" x14ac:dyDescent="0.2">
      <c r="A51" s="13">
        <v>50000493</v>
      </c>
      <c r="B51" s="14" t="s">
        <v>3055</v>
      </c>
      <c r="C51" s="8">
        <v>0.12</v>
      </c>
      <c r="D51" s="23">
        <v>30043919</v>
      </c>
      <c r="E51" s="15" t="s">
        <v>3054</v>
      </c>
      <c r="F51" s="24" t="s">
        <v>2671</v>
      </c>
      <c r="G51" s="24">
        <v>392.99</v>
      </c>
      <c r="H51" s="25" t="s">
        <v>2956</v>
      </c>
      <c r="I51" s="26"/>
    </row>
    <row r="52" spans="1:9" x14ac:dyDescent="0.2">
      <c r="A52" s="13">
        <v>50003670</v>
      </c>
      <c r="B52" s="14" t="s">
        <v>401</v>
      </c>
      <c r="C52" s="8">
        <v>0.12</v>
      </c>
      <c r="D52" s="23">
        <v>30049029</v>
      </c>
      <c r="E52" s="15" t="s">
        <v>402</v>
      </c>
      <c r="F52" s="24" t="s">
        <v>2693</v>
      </c>
      <c r="G52" s="24">
        <v>105</v>
      </c>
      <c r="H52" s="25" t="s">
        <v>2956</v>
      </c>
      <c r="I52" s="26"/>
    </row>
    <row r="53" spans="1:9" x14ac:dyDescent="0.2">
      <c r="A53" s="13">
        <v>50003105</v>
      </c>
      <c r="B53" s="14" t="s">
        <v>1734</v>
      </c>
      <c r="C53" s="8">
        <v>0.12</v>
      </c>
      <c r="D53" s="23">
        <v>30049099</v>
      </c>
      <c r="E53" s="15" t="s">
        <v>1735</v>
      </c>
      <c r="F53" s="24" t="s">
        <v>2693</v>
      </c>
      <c r="G53" s="24">
        <v>250</v>
      </c>
      <c r="H53" s="25" t="s">
        <v>2956</v>
      </c>
      <c r="I53" s="26"/>
    </row>
    <row r="54" spans="1:9" x14ac:dyDescent="0.2">
      <c r="A54" s="13">
        <v>50003000</v>
      </c>
      <c r="B54" s="14" t="s">
        <v>1902</v>
      </c>
      <c r="C54" s="8">
        <v>0.12</v>
      </c>
      <c r="D54" s="23">
        <v>30049029</v>
      </c>
      <c r="E54" s="15" t="s">
        <v>1905</v>
      </c>
      <c r="F54" s="24" t="s">
        <v>2892</v>
      </c>
      <c r="G54" s="24">
        <v>299</v>
      </c>
      <c r="H54" s="25" t="s">
        <v>2956</v>
      </c>
      <c r="I54" s="26"/>
    </row>
    <row r="55" spans="1:9" x14ac:dyDescent="0.2">
      <c r="A55" s="13">
        <v>50003360</v>
      </c>
      <c r="B55" s="14" t="s">
        <v>1957</v>
      </c>
      <c r="C55" s="8">
        <v>0.05</v>
      </c>
      <c r="D55" s="23">
        <v>63079090</v>
      </c>
      <c r="E55" s="15" t="s">
        <v>1958</v>
      </c>
      <c r="F55" s="24" t="s">
        <v>2897</v>
      </c>
      <c r="G55" s="24">
        <v>120</v>
      </c>
      <c r="H55" s="25" t="s">
        <v>2956</v>
      </c>
      <c r="I55" s="26"/>
    </row>
    <row r="56" spans="1:9" x14ac:dyDescent="0.2">
      <c r="A56" s="13">
        <v>50003395</v>
      </c>
      <c r="B56" s="14" t="s">
        <v>1959</v>
      </c>
      <c r="C56" s="8">
        <v>0.18</v>
      </c>
      <c r="D56" s="23">
        <v>38089400</v>
      </c>
      <c r="E56" s="15" t="s">
        <v>1960</v>
      </c>
      <c r="F56" s="24" t="s">
        <v>2898</v>
      </c>
      <c r="G56" s="24">
        <v>200</v>
      </c>
      <c r="H56" s="25" t="s">
        <v>2956</v>
      </c>
      <c r="I56" s="26"/>
    </row>
    <row r="57" spans="1:9" x14ac:dyDescent="0.2">
      <c r="A57" s="13">
        <v>50003342</v>
      </c>
      <c r="B57" s="14" t="s">
        <v>1961</v>
      </c>
      <c r="C57" s="8">
        <v>0.18</v>
      </c>
      <c r="D57" s="23">
        <v>38089400</v>
      </c>
      <c r="E57" s="15" t="s">
        <v>1962</v>
      </c>
      <c r="F57" s="24" t="s">
        <v>2682</v>
      </c>
      <c r="G57" s="24">
        <v>50</v>
      </c>
      <c r="H57" s="25" t="s">
        <v>2956</v>
      </c>
      <c r="I57" s="26"/>
    </row>
    <row r="58" spans="1:9" x14ac:dyDescent="0.2">
      <c r="A58" s="13">
        <v>50003787</v>
      </c>
      <c r="B58" s="14" t="s">
        <v>1970</v>
      </c>
      <c r="C58" s="8">
        <v>0.12</v>
      </c>
      <c r="D58" s="23">
        <v>30049087</v>
      </c>
      <c r="E58" s="15" t="s">
        <v>1971</v>
      </c>
      <c r="F58" s="24" t="s">
        <v>2735</v>
      </c>
      <c r="G58" s="24">
        <v>70</v>
      </c>
      <c r="H58" s="25" t="s">
        <v>2956</v>
      </c>
      <c r="I58" s="26"/>
    </row>
    <row r="59" spans="1:9" x14ac:dyDescent="0.2">
      <c r="A59" s="13">
        <v>50003389</v>
      </c>
      <c r="B59" s="14" t="s">
        <v>2284</v>
      </c>
      <c r="C59" s="8">
        <v>0.12</v>
      </c>
      <c r="D59" s="23">
        <v>30049099</v>
      </c>
      <c r="E59" s="15" t="s">
        <v>2285</v>
      </c>
      <c r="F59" s="24" t="s">
        <v>2666</v>
      </c>
      <c r="G59" s="24">
        <v>160</v>
      </c>
      <c r="H59" s="25" t="s">
        <v>2956</v>
      </c>
      <c r="I59" s="26"/>
    </row>
    <row r="60" spans="1:9" x14ac:dyDescent="0.2">
      <c r="A60" s="13">
        <v>50003390</v>
      </c>
      <c r="B60" s="14" t="s">
        <v>2286</v>
      </c>
      <c r="C60" s="8">
        <v>0.12</v>
      </c>
      <c r="D60" s="23">
        <v>30049099</v>
      </c>
      <c r="E60" s="15" t="s">
        <v>2287</v>
      </c>
      <c r="F60" s="24" t="s">
        <v>2666</v>
      </c>
      <c r="G60" s="24">
        <v>200</v>
      </c>
      <c r="H60" s="25" t="s">
        <v>2956</v>
      </c>
      <c r="I60" s="26"/>
    </row>
    <row r="61" spans="1:9" x14ac:dyDescent="0.2">
      <c r="A61" s="13">
        <v>50003802</v>
      </c>
      <c r="B61" s="14" t="s">
        <v>2322</v>
      </c>
      <c r="C61" s="8">
        <v>0.12</v>
      </c>
      <c r="D61" s="23">
        <v>30049099</v>
      </c>
      <c r="E61" s="15" t="s">
        <v>2323</v>
      </c>
      <c r="F61" s="24" t="s">
        <v>2666</v>
      </c>
      <c r="G61" s="24">
        <v>5624.99</v>
      </c>
      <c r="H61" s="25" t="s">
        <v>2956</v>
      </c>
      <c r="I61" s="26"/>
    </row>
    <row r="62" spans="1:9" x14ac:dyDescent="0.2">
      <c r="A62" s="13">
        <v>50004005</v>
      </c>
      <c r="B62" s="14" t="s">
        <v>2587</v>
      </c>
      <c r="C62" s="8">
        <v>0.12</v>
      </c>
      <c r="D62" s="23">
        <v>30045036</v>
      </c>
      <c r="E62" s="15" t="s">
        <v>2588</v>
      </c>
      <c r="F62" s="24" t="s">
        <v>2693</v>
      </c>
      <c r="G62" s="24">
        <v>123.6</v>
      </c>
      <c r="H62" s="25" t="s">
        <v>2956</v>
      </c>
      <c r="I62" s="26"/>
    </row>
    <row r="63" spans="1:9" x14ac:dyDescent="0.2">
      <c r="A63" s="13">
        <v>50003157</v>
      </c>
      <c r="B63" s="14" t="s">
        <v>1948</v>
      </c>
      <c r="C63" s="8">
        <v>0.18</v>
      </c>
      <c r="D63" s="23">
        <v>34039900</v>
      </c>
      <c r="E63" s="15" t="s">
        <v>1949</v>
      </c>
      <c r="F63" s="24" t="s">
        <v>2680</v>
      </c>
      <c r="G63" s="24">
        <v>300</v>
      </c>
      <c r="H63" s="25" t="s">
        <v>2956</v>
      </c>
      <c r="I63" s="27">
        <v>45449</v>
      </c>
    </row>
    <row r="64" spans="1:9" x14ac:dyDescent="0.2">
      <c r="A64" s="13">
        <v>50002835</v>
      </c>
      <c r="B64" s="14" t="s">
        <v>1955</v>
      </c>
      <c r="C64" s="8">
        <v>0.18</v>
      </c>
      <c r="D64" s="23">
        <v>21069099</v>
      </c>
      <c r="E64" s="15" t="s">
        <v>1956</v>
      </c>
      <c r="F64" s="24" t="s">
        <v>2663</v>
      </c>
      <c r="G64" s="24">
        <v>150</v>
      </c>
      <c r="H64" s="25" t="s">
        <v>2956</v>
      </c>
      <c r="I64" s="27">
        <v>45449</v>
      </c>
    </row>
    <row r="65" spans="1:9" x14ac:dyDescent="0.2">
      <c r="A65" s="13">
        <v>50000797</v>
      </c>
      <c r="B65" s="14" t="s">
        <v>1963</v>
      </c>
      <c r="C65" s="8">
        <v>0.12</v>
      </c>
      <c r="D65" s="23">
        <v>38221910</v>
      </c>
      <c r="E65" s="15" t="s">
        <v>1964</v>
      </c>
      <c r="F65" s="24" t="s">
        <v>2900</v>
      </c>
      <c r="G65" s="24">
        <v>60</v>
      </c>
      <c r="H65" s="25" t="s">
        <v>2956</v>
      </c>
      <c r="I65" s="27">
        <v>45449</v>
      </c>
    </row>
    <row r="66" spans="1:9" x14ac:dyDescent="0.2">
      <c r="A66" s="13">
        <v>50004157</v>
      </c>
      <c r="B66" s="14" t="s">
        <v>1965</v>
      </c>
      <c r="C66" s="8">
        <v>0.12</v>
      </c>
      <c r="D66" s="23">
        <v>38221910</v>
      </c>
      <c r="E66" s="15" t="s">
        <v>1964</v>
      </c>
      <c r="F66" s="24" t="s">
        <v>2900</v>
      </c>
      <c r="G66" s="24">
        <v>55</v>
      </c>
      <c r="H66" s="25" t="s">
        <v>2956</v>
      </c>
      <c r="I66" s="27">
        <v>45449</v>
      </c>
    </row>
    <row r="67" spans="1:9" x14ac:dyDescent="0.2">
      <c r="A67" s="13">
        <v>50003989</v>
      </c>
      <c r="B67" s="14" t="s">
        <v>2437</v>
      </c>
      <c r="C67" s="8">
        <v>0.12</v>
      </c>
      <c r="D67" s="23">
        <v>30049099</v>
      </c>
      <c r="E67" s="15" t="s">
        <v>2438</v>
      </c>
      <c r="F67" s="24" t="s">
        <v>2666</v>
      </c>
      <c r="G67" s="24">
        <v>114.07</v>
      </c>
      <c r="H67" s="25" t="s">
        <v>2956</v>
      </c>
      <c r="I67" s="27">
        <v>45449</v>
      </c>
    </row>
    <row r="68" spans="1:9" x14ac:dyDescent="0.2">
      <c r="A68" s="13">
        <v>50004054</v>
      </c>
      <c r="B68" s="14" t="s">
        <v>2509</v>
      </c>
      <c r="C68" s="8">
        <v>0.12</v>
      </c>
      <c r="D68" s="23">
        <v>30049099</v>
      </c>
      <c r="E68" s="15" t="s">
        <v>2510</v>
      </c>
      <c r="F68" s="24" t="s">
        <v>2666</v>
      </c>
      <c r="G68" s="24">
        <v>150</v>
      </c>
      <c r="H68" s="25" t="s">
        <v>2956</v>
      </c>
      <c r="I68" s="27">
        <v>45449</v>
      </c>
    </row>
    <row r="69" spans="1:9" x14ac:dyDescent="0.2">
      <c r="A69" s="13">
        <v>50000823</v>
      </c>
      <c r="B69" s="14" t="s">
        <v>90</v>
      </c>
      <c r="C69" s="8">
        <v>0.05</v>
      </c>
      <c r="D69" s="23">
        <v>30049086</v>
      </c>
      <c r="E69" s="15" t="s">
        <v>91</v>
      </c>
      <c r="F69" s="24" t="s">
        <v>2688</v>
      </c>
      <c r="G69" s="24">
        <v>22.07</v>
      </c>
      <c r="H69" s="25" t="s">
        <v>2956</v>
      </c>
      <c r="I69" s="27" t="s">
        <v>3535</v>
      </c>
    </row>
    <row r="70" spans="1:9" x14ac:dyDescent="0.2">
      <c r="A70" s="13">
        <v>50003387</v>
      </c>
      <c r="B70" s="14" t="s">
        <v>2280</v>
      </c>
      <c r="C70" s="8">
        <v>0.12</v>
      </c>
      <c r="D70" s="23">
        <v>30049099</v>
      </c>
      <c r="E70" s="15" t="s">
        <v>2281</v>
      </c>
      <c r="F70" s="24" t="s">
        <v>2666</v>
      </c>
      <c r="G70" s="24">
        <v>120</v>
      </c>
      <c r="H70" s="25" t="s">
        <v>2956</v>
      </c>
      <c r="I70" s="27">
        <v>45540</v>
      </c>
    </row>
    <row r="71" spans="1:9" x14ac:dyDescent="0.2">
      <c r="A71" s="13">
        <v>50003388</v>
      </c>
      <c r="B71" s="14" t="s">
        <v>2282</v>
      </c>
      <c r="C71" s="8">
        <v>0.12</v>
      </c>
      <c r="D71" s="23">
        <v>30049099</v>
      </c>
      <c r="E71" s="15" t="s">
        <v>2283</v>
      </c>
      <c r="F71" s="24" t="s">
        <v>2666</v>
      </c>
      <c r="G71" s="24">
        <v>49</v>
      </c>
      <c r="H71" s="25" t="s">
        <v>2956</v>
      </c>
      <c r="I71" s="27">
        <v>45540</v>
      </c>
    </row>
    <row r="72" spans="1:9" x14ac:dyDescent="0.2">
      <c r="A72" s="13">
        <v>50002685</v>
      </c>
      <c r="B72" s="14" t="s">
        <v>1919</v>
      </c>
      <c r="C72" s="8">
        <v>0.18</v>
      </c>
      <c r="D72" s="23">
        <v>33049990</v>
      </c>
      <c r="E72" s="15" t="s">
        <v>1920</v>
      </c>
      <c r="F72" s="24" t="s">
        <v>2771</v>
      </c>
      <c r="G72" s="24">
        <v>516</v>
      </c>
      <c r="H72" s="25" t="s">
        <v>2956</v>
      </c>
      <c r="I72" s="27">
        <v>45560</v>
      </c>
    </row>
    <row r="73" spans="1:9" x14ac:dyDescent="0.2">
      <c r="A73" s="13">
        <v>50003780</v>
      </c>
      <c r="B73" s="14" t="s">
        <v>1952</v>
      </c>
      <c r="C73" s="8">
        <v>0</v>
      </c>
      <c r="D73" s="23">
        <v>40141010</v>
      </c>
      <c r="E73" s="15" t="s">
        <v>1951</v>
      </c>
      <c r="F73" s="24" t="s">
        <v>2896</v>
      </c>
      <c r="G73" s="24">
        <v>240</v>
      </c>
      <c r="H73" s="25" t="s">
        <v>2956</v>
      </c>
      <c r="I73" s="27">
        <v>45561</v>
      </c>
    </row>
    <row r="74" spans="1:9" x14ac:dyDescent="0.2">
      <c r="A74" s="13">
        <v>50003776</v>
      </c>
      <c r="B74" s="14" t="s">
        <v>1950</v>
      </c>
      <c r="C74" s="8">
        <v>0</v>
      </c>
      <c r="D74" s="23">
        <v>40141010</v>
      </c>
      <c r="E74" s="15" t="s">
        <v>1951</v>
      </c>
      <c r="F74" s="24" t="s">
        <v>2895</v>
      </c>
      <c r="G74" s="24">
        <v>80</v>
      </c>
      <c r="H74" s="25" t="s">
        <v>2956</v>
      </c>
      <c r="I74" s="27">
        <v>45561</v>
      </c>
    </row>
    <row r="75" spans="1:9" x14ac:dyDescent="0.2">
      <c r="A75" s="13">
        <v>50004023</v>
      </c>
      <c r="B75" s="14" t="s">
        <v>836</v>
      </c>
      <c r="C75" s="8">
        <v>0.12</v>
      </c>
      <c r="D75" s="23">
        <v>30049067</v>
      </c>
      <c r="E75" s="15" t="s">
        <v>837</v>
      </c>
      <c r="F75" s="24" t="s">
        <v>2663</v>
      </c>
      <c r="G75" s="24">
        <v>93.28</v>
      </c>
      <c r="H75" s="25" t="s">
        <v>3457</v>
      </c>
      <c r="I75" s="25" t="s">
        <v>3536</v>
      </c>
    </row>
    <row r="76" spans="1:9" x14ac:dyDescent="0.2">
      <c r="A76" s="13">
        <v>50004560</v>
      </c>
      <c r="B76" s="14" t="s">
        <v>838</v>
      </c>
      <c r="C76" s="8">
        <v>0.12</v>
      </c>
      <c r="D76" s="23">
        <v>30049069</v>
      </c>
      <c r="E76" s="15" t="s">
        <v>839</v>
      </c>
      <c r="F76" s="24" t="s">
        <v>2663</v>
      </c>
      <c r="G76" s="24">
        <v>68.510000000000005</v>
      </c>
      <c r="H76" s="25" t="s">
        <v>3457</v>
      </c>
      <c r="I76" s="25" t="s">
        <v>3536</v>
      </c>
    </row>
    <row r="77" spans="1:9" x14ac:dyDescent="0.2">
      <c r="A77" s="13">
        <v>50004561</v>
      </c>
      <c r="B77" s="14" t="s">
        <v>841</v>
      </c>
      <c r="C77" s="8">
        <v>0.12</v>
      </c>
      <c r="D77" s="23">
        <v>30049069</v>
      </c>
      <c r="E77" s="15" t="s">
        <v>842</v>
      </c>
      <c r="F77" s="24" t="s">
        <v>2666</v>
      </c>
      <c r="G77" s="24">
        <v>174</v>
      </c>
      <c r="H77" s="25" t="s">
        <v>3457</v>
      </c>
      <c r="I77" s="25" t="s">
        <v>3536</v>
      </c>
    </row>
    <row r="78" spans="1:9" x14ac:dyDescent="0.2">
      <c r="A78" s="13">
        <v>50004036</v>
      </c>
      <c r="B78" s="14" t="s">
        <v>845</v>
      </c>
      <c r="C78" s="8">
        <v>0.12</v>
      </c>
      <c r="D78" s="23">
        <v>30049067</v>
      </c>
      <c r="E78" s="15" t="s">
        <v>846</v>
      </c>
      <c r="F78" s="24" t="s">
        <v>2666</v>
      </c>
      <c r="G78" s="24">
        <v>82.17</v>
      </c>
      <c r="H78" s="25" t="s">
        <v>3457</v>
      </c>
      <c r="I78" s="25" t="s">
        <v>3536</v>
      </c>
    </row>
    <row r="79" spans="1:9" x14ac:dyDescent="0.2">
      <c r="A79" s="13">
        <v>50004024</v>
      </c>
      <c r="B79" s="14" t="s">
        <v>847</v>
      </c>
      <c r="C79" s="8">
        <v>0.12</v>
      </c>
      <c r="D79" s="23">
        <v>30049067</v>
      </c>
      <c r="E79" s="15" t="s">
        <v>848</v>
      </c>
      <c r="F79" s="24" t="s">
        <v>2663</v>
      </c>
      <c r="G79" s="24">
        <v>119.29</v>
      </c>
      <c r="H79" s="25" t="s">
        <v>3457</v>
      </c>
      <c r="I79" s="25" t="s">
        <v>3536</v>
      </c>
    </row>
    <row r="80" spans="1:9" x14ac:dyDescent="0.2">
      <c r="A80" s="13">
        <v>50002519</v>
      </c>
      <c r="B80" s="14" t="s">
        <v>1141</v>
      </c>
      <c r="C80" s="8">
        <v>0.12</v>
      </c>
      <c r="D80" s="23">
        <v>30049069</v>
      </c>
      <c r="E80" s="15" t="s">
        <v>1142</v>
      </c>
      <c r="F80" s="24" t="s">
        <v>2809</v>
      </c>
      <c r="G80" s="24">
        <v>93.17</v>
      </c>
      <c r="H80" s="25" t="s">
        <v>3457</v>
      </c>
      <c r="I80" s="25" t="s">
        <v>3537</v>
      </c>
    </row>
    <row r="81" spans="1:9" x14ac:dyDescent="0.2">
      <c r="A81" s="28">
        <v>50001101</v>
      </c>
      <c r="B81" s="14" t="s">
        <v>1709</v>
      </c>
      <c r="C81" s="8">
        <v>0.12</v>
      </c>
      <c r="D81" s="15">
        <v>30049099</v>
      </c>
      <c r="E81" s="24" t="s">
        <v>1710</v>
      </c>
      <c r="F81" s="24" t="s">
        <v>2672</v>
      </c>
      <c r="G81" s="24">
        <v>81.41</v>
      </c>
      <c r="H81" s="25" t="s">
        <v>3447</v>
      </c>
      <c r="I81" s="25"/>
    </row>
    <row r="82" spans="1:9" x14ac:dyDescent="0.2">
      <c r="A82" s="28">
        <v>50000824</v>
      </c>
      <c r="B82" s="14" t="s">
        <v>274</v>
      </c>
      <c r="C82" s="8">
        <v>0.12</v>
      </c>
      <c r="D82" s="15">
        <v>30049039</v>
      </c>
      <c r="E82" s="24" t="s">
        <v>275</v>
      </c>
      <c r="F82" s="24" t="s">
        <v>2710</v>
      </c>
      <c r="G82" s="24">
        <v>89.4</v>
      </c>
      <c r="H82" s="25" t="s">
        <v>3447</v>
      </c>
      <c r="I82" s="25"/>
    </row>
    <row r="83" spans="1:9" x14ac:dyDescent="0.2">
      <c r="A83" s="28">
        <v>50000484</v>
      </c>
      <c r="B83" s="14" t="s">
        <v>742</v>
      </c>
      <c r="C83" s="8">
        <v>0.12</v>
      </c>
      <c r="D83" s="15">
        <v>30049099</v>
      </c>
      <c r="E83" s="24" t="s">
        <v>743</v>
      </c>
      <c r="F83" s="24" t="s">
        <v>2666</v>
      </c>
      <c r="G83" s="25">
        <v>229.77</v>
      </c>
      <c r="H83" s="25" t="s">
        <v>3447</v>
      </c>
      <c r="I83" s="25"/>
    </row>
    <row r="84" spans="1:9" x14ac:dyDescent="0.2">
      <c r="A84" s="28">
        <v>50000058</v>
      </c>
      <c r="B84" s="14" t="s">
        <v>99</v>
      </c>
      <c r="C84" s="8">
        <v>0.12</v>
      </c>
      <c r="D84" s="15">
        <v>30049099</v>
      </c>
      <c r="E84" s="24" t="s">
        <v>100</v>
      </c>
      <c r="F84" s="25" t="s">
        <v>2666</v>
      </c>
      <c r="G84" s="25">
        <v>85.3</v>
      </c>
      <c r="H84" s="25" t="s">
        <v>3448</v>
      </c>
      <c r="I84" s="25"/>
    </row>
    <row r="85" spans="1:9" x14ac:dyDescent="0.2">
      <c r="A85" s="28">
        <v>50000237</v>
      </c>
      <c r="B85" s="14" t="s">
        <v>1514</v>
      </c>
      <c r="C85" s="8">
        <v>0.05</v>
      </c>
      <c r="D85" s="15">
        <v>30049059</v>
      </c>
      <c r="E85" s="24" t="s">
        <v>1515</v>
      </c>
      <c r="F85" s="25" t="s">
        <v>2717</v>
      </c>
      <c r="G85" s="25">
        <v>165</v>
      </c>
      <c r="H85" s="25" t="s">
        <v>3448</v>
      </c>
      <c r="I85" s="25"/>
    </row>
    <row r="86" spans="1:9" x14ac:dyDescent="0.2">
      <c r="A86" s="28">
        <v>50003774</v>
      </c>
      <c r="B86" s="14" t="s">
        <v>1954</v>
      </c>
      <c r="C86" s="8">
        <v>0</v>
      </c>
      <c r="D86" s="15">
        <v>40141010</v>
      </c>
      <c r="E86" s="24" t="s">
        <v>1953</v>
      </c>
      <c r="F86" s="25" t="s">
        <v>2896</v>
      </c>
      <c r="G86" s="25">
        <v>200</v>
      </c>
      <c r="H86" s="25" t="s">
        <v>3448</v>
      </c>
      <c r="I86" s="25"/>
    </row>
    <row r="87" spans="1:9" x14ac:dyDescent="0.2">
      <c r="A87" s="28">
        <v>50000184</v>
      </c>
      <c r="B87" s="14" t="s">
        <v>2126</v>
      </c>
      <c r="C87" s="8">
        <v>0.12</v>
      </c>
      <c r="D87" s="15">
        <v>30044930</v>
      </c>
      <c r="E87" s="24" t="s">
        <v>2127</v>
      </c>
      <c r="F87" s="25" t="s">
        <v>2680</v>
      </c>
      <c r="G87" s="25">
        <v>74.069999999999993</v>
      </c>
      <c r="H87" s="25" t="s">
        <v>3448</v>
      </c>
      <c r="I87" s="25"/>
    </row>
    <row r="88" spans="1:9" x14ac:dyDescent="0.2">
      <c r="A88" s="28">
        <v>50000554</v>
      </c>
      <c r="B88" s="14" t="s">
        <v>2201</v>
      </c>
      <c r="C88" s="8">
        <v>0.12</v>
      </c>
      <c r="D88" s="15">
        <v>30049099</v>
      </c>
      <c r="E88" s="24" t="s">
        <v>2202</v>
      </c>
      <c r="F88" s="25" t="s">
        <v>2666</v>
      </c>
      <c r="G88" s="25">
        <v>71</v>
      </c>
      <c r="H88" s="25" t="s">
        <v>3448</v>
      </c>
      <c r="I88" s="25"/>
    </row>
    <row r="89" spans="1:9" x14ac:dyDescent="0.2">
      <c r="A89" s="28">
        <v>50002967</v>
      </c>
      <c r="B89" s="14" t="s">
        <v>1849</v>
      </c>
      <c r="C89" s="8">
        <v>0.12</v>
      </c>
      <c r="D89" s="15">
        <v>30049069</v>
      </c>
      <c r="E89" s="24" t="s">
        <v>1850</v>
      </c>
      <c r="F89" s="25" t="s">
        <v>2663</v>
      </c>
      <c r="G89" s="25">
        <v>33.6</v>
      </c>
      <c r="H89" s="25" t="s">
        <v>3448</v>
      </c>
      <c r="I89" s="25"/>
    </row>
    <row r="90" spans="1:9" x14ac:dyDescent="0.2">
      <c r="A90" s="28">
        <v>50003033</v>
      </c>
      <c r="B90" s="14" t="s">
        <v>1847</v>
      </c>
      <c r="C90" s="8">
        <v>0.12</v>
      </c>
      <c r="D90" s="15">
        <v>30049069</v>
      </c>
      <c r="E90" s="24" t="s">
        <v>1848</v>
      </c>
      <c r="F90" s="25" t="s">
        <v>2680</v>
      </c>
      <c r="G90" s="25">
        <v>45.02</v>
      </c>
      <c r="H90" s="25" t="s">
        <v>3448</v>
      </c>
      <c r="I90" s="25"/>
    </row>
    <row r="91" spans="1:9" x14ac:dyDescent="0.2">
      <c r="A91" s="28">
        <v>50002155</v>
      </c>
      <c r="B91" s="14" t="s">
        <v>2565</v>
      </c>
      <c r="C91" s="8">
        <v>0.12</v>
      </c>
      <c r="D91" s="15">
        <v>30049074</v>
      </c>
      <c r="E91" s="24" t="s">
        <v>2566</v>
      </c>
      <c r="F91" s="25" t="s">
        <v>2693</v>
      </c>
      <c r="G91" s="25">
        <v>46.25</v>
      </c>
      <c r="H91" s="25" t="s">
        <v>3448</v>
      </c>
      <c r="I91" s="25"/>
    </row>
    <row r="92" spans="1:9" x14ac:dyDescent="0.2">
      <c r="A92" s="28">
        <v>50002156</v>
      </c>
      <c r="B92" s="14" t="s">
        <v>2567</v>
      </c>
      <c r="C92" s="8">
        <v>0.12</v>
      </c>
      <c r="D92" s="15">
        <v>30049074</v>
      </c>
      <c r="E92" s="24" t="s">
        <v>2568</v>
      </c>
      <c r="F92" s="25" t="s">
        <v>2693</v>
      </c>
      <c r="G92" s="25">
        <v>65.069999999999993</v>
      </c>
      <c r="H92" s="25" t="s">
        <v>3448</v>
      </c>
      <c r="I92" s="25"/>
    </row>
    <row r="93" spans="1:9" x14ac:dyDescent="0.2">
      <c r="A93" s="28">
        <v>50001267</v>
      </c>
      <c r="B93" s="14" t="s">
        <v>2007</v>
      </c>
      <c r="C93" s="8">
        <v>0.12</v>
      </c>
      <c r="D93" s="15">
        <v>30049099</v>
      </c>
      <c r="E93" s="24" t="s">
        <v>2008</v>
      </c>
      <c r="F93" s="25" t="s">
        <v>2693</v>
      </c>
      <c r="G93" s="25">
        <v>127.6</v>
      </c>
      <c r="H93" s="25" t="s">
        <v>3449</v>
      </c>
      <c r="I93" s="25"/>
    </row>
    <row r="94" spans="1:9" x14ac:dyDescent="0.2">
      <c r="A94" s="28">
        <v>50004063</v>
      </c>
      <c r="B94" s="14" t="s">
        <v>2340</v>
      </c>
      <c r="C94" s="8">
        <v>0.05</v>
      </c>
      <c r="D94" s="15">
        <v>30049099</v>
      </c>
      <c r="E94" s="24" t="s">
        <v>2341</v>
      </c>
      <c r="F94" s="25" t="s">
        <v>2666</v>
      </c>
      <c r="G94" s="25">
        <v>108.75</v>
      </c>
      <c r="H94" s="25" t="s">
        <v>3449</v>
      </c>
      <c r="I94" s="25"/>
    </row>
    <row r="95" spans="1:9" x14ac:dyDescent="0.2">
      <c r="A95" s="28">
        <v>50001011</v>
      </c>
      <c r="B95" s="14" t="s">
        <v>1436</v>
      </c>
      <c r="C95" s="8">
        <v>0.12</v>
      </c>
      <c r="D95" s="15"/>
      <c r="E95" s="24" t="s">
        <v>1437</v>
      </c>
      <c r="F95" s="25" t="s">
        <v>2797</v>
      </c>
      <c r="G95" s="25">
        <v>70.849999999999994</v>
      </c>
      <c r="H95" s="25" t="s">
        <v>3457</v>
      </c>
      <c r="I95" s="25" t="s">
        <v>3538</v>
      </c>
    </row>
    <row r="96" spans="1:9" x14ac:dyDescent="0.2">
      <c r="A96" s="28">
        <v>50004032</v>
      </c>
      <c r="B96" s="14" t="s">
        <v>2607</v>
      </c>
      <c r="C96" s="8">
        <v>0.05</v>
      </c>
      <c r="D96" s="15">
        <v>30049039</v>
      </c>
      <c r="E96" s="24" t="s">
        <v>2608</v>
      </c>
      <c r="F96" s="25" t="s">
        <v>2948</v>
      </c>
      <c r="G96" s="25">
        <v>276.57</v>
      </c>
      <c r="H96" s="25" t="s">
        <v>3458</v>
      </c>
      <c r="I96" s="25"/>
    </row>
    <row r="97" spans="1:10" x14ac:dyDescent="0.2">
      <c r="A97" s="28">
        <v>50005053</v>
      </c>
      <c r="B97" s="14" t="s">
        <v>3093</v>
      </c>
      <c r="C97" s="8">
        <v>0.12</v>
      </c>
      <c r="D97" s="15">
        <v>30049087</v>
      </c>
      <c r="E97" s="24" t="s">
        <v>3094</v>
      </c>
      <c r="F97" s="25" t="s">
        <v>2666</v>
      </c>
      <c r="G97" s="25">
        <v>248</v>
      </c>
      <c r="H97" s="25" t="s">
        <v>3622</v>
      </c>
      <c r="I97" s="25"/>
    </row>
    <row r="98" spans="1:10" x14ac:dyDescent="0.2">
      <c r="A98" s="28">
        <v>50005064</v>
      </c>
      <c r="B98" s="14" t="s">
        <v>3135</v>
      </c>
      <c r="C98" s="8">
        <v>0.12</v>
      </c>
      <c r="D98" s="15">
        <v>30049099</v>
      </c>
      <c r="E98" s="24" t="s">
        <v>3136</v>
      </c>
      <c r="F98" s="25" t="s">
        <v>2663</v>
      </c>
      <c r="G98" s="25">
        <v>220</v>
      </c>
      <c r="H98" s="25" t="s">
        <v>3622</v>
      </c>
      <c r="I98" s="25"/>
    </row>
    <row r="99" spans="1:10" x14ac:dyDescent="0.2">
      <c r="A99" s="28">
        <v>50000646</v>
      </c>
      <c r="B99" s="14" t="s">
        <v>2661</v>
      </c>
      <c r="C99" s="8">
        <v>0.12</v>
      </c>
      <c r="D99" s="15">
        <v>30049099</v>
      </c>
      <c r="E99" s="24" t="s">
        <v>2662</v>
      </c>
      <c r="F99" s="25" t="s">
        <v>2666</v>
      </c>
      <c r="G99" s="25">
        <v>229.77</v>
      </c>
      <c r="H99" s="25" t="s">
        <v>3622</v>
      </c>
    </row>
    <row r="100" spans="1:10" x14ac:dyDescent="0.2">
      <c r="A100" s="28">
        <v>50004588</v>
      </c>
      <c r="B100" s="14" t="s">
        <v>445</v>
      </c>
      <c r="C100" s="20">
        <v>0.12</v>
      </c>
      <c r="D100" s="15">
        <v>30049099</v>
      </c>
      <c r="E100" s="24" t="s">
        <v>446</v>
      </c>
      <c r="F100" s="25" t="s">
        <v>2666</v>
      </c>
      <c r="G100" s="25">
        <v>129</v>
      </c>
      <c r="H100" s="25" t="s">
        <v>2956</v>
      </c>
      <c r="I100" s="36">
        <v>45812</v>
      </c>
    </row>
    <row r="101" spans="1:10" x14ac:dyDescent="0.2">
      <c r="A101" s="28">
        <v>50004562</v>
      </c>
      <c r="B101" s="14" t="s">
        <v>843</v>
      </c>
      <c r="C101" s="20">
        <v>0.12</v>
      </c>
      <c r="D101" s="15">
        <v>30049069</v>
      </c>
      <c r="E101" s="24" t="s">
        <v>844</v>
      </c>
      <c r="F101" s="25" t="s">
        <v>2666</v>
      </c>
      <c r="G101" s="25">
        <v>264.86</v>
      </c>
      <c r="H101" s="25" t="s">
        <v>2956</v>
      </c>
      <c r="I101" s="36">
        <v>45812</v>
      </c>
    </row>
    <row r="102" spans="1:10" x14ac:dyDescent="0.2">
      <c r="A102" s="28">
        <v>50004268</v>
      </c>
      <c r="B102" s="14" t="s">
        <v>972</v>
      </c>
      <c r="C102" s="20">
        <v>0.12</v>
      </c>
      <c r="D102" s="15">
        <v>30049099</v>
      </c>
      <c r="E102" s="24" t="s">
        <v>973</v>
      </c>
      <c r="F102" s="25" t="s">
        <v>2793</v>
      </c>
      <c r="G102" s="25">
        <v>120</v>
      </c>
      <c r="H102" s="25" t="s">
        <v>2956</v>
      </c>
      <c r="I102" s="36">
        <v>45812</v>
      </c>
    </row>
    <row r="103" spans="1:10" x14ac:dyDescent="0.2">
      <c r="A103" s="28">
        <v>50005012</v>
      </c>
      <c r="B103" s="14" t="s">
        <v>3086</v>
      </c>
      <c r="C103" s="20">
        <v>0.12</v>
      </c>
      <c r="D103" s="15">
        <v>30045020</v>
      </c>
      <c r="E103" s="24" t="s">
        <v>3087</v>
      </c>
      <c r="F103" s="25" t="s">
        <v>2672</v>
      </c>
      <c r="G103" s="25">
        <v>2790</v>
      </c>
      <c r="H103" s="25" t="s">
        <v>2956</v>
      </c>
      <c r="I103" s="36">
        <v>45812</v>
      </c>
    </row>
    <row r="104" spans="1:10" x14ac:dyDescent="0.2">
      <c r="A104" s="28">
        <v>50005013</v>
      </c>
      <c r="B104" s="14" t="s">
        <v>3088</v>
      </c>
      <c r="C104" s="20">
        <v>0.12</v>
      </c>
      <c r="D104" s="15">
        <v>30045020</v>
      </c>
      <c r="E104" s="24" t="s">
        <v>3087</v>
      </c>
      <c r="F104" s="25" t="s">
        <v>2869</v>
      </c>
      <c r="G104" s="25">
        <v>3990</v>
      </c>
      <c r="H104" s="25" t="s">
        <v>2956</v>
      </c>
      <c r="I104" s="36">
        <v>45812</v>
      </c>
    </row>
    <row r="105" spans="1:10" x14ac:dyDescent="0.2">
      <c r="A105" s="28">
        <v>50003841</v>
      </c>
      <c r="B105" s="14" t="s">
        <v>2063</v>
      </c>
      <c r="C105" s="20">
        <v>0.12</v>
      </c>
      <c r="D105" s="15">
        <v>30049099</v>
      </c>
      <c r="E105" s="24" t="s">
        <v>2064</v>
      </c>
      <c r="F105" s="25" t="s">
        <v>2906</v>
      </c>
      <c r="G105" s="25">
        <v>90</v>
      </c>
      <c r="H105" s="25" t="s">
        <v>2956</v>
      </c>
      <c r="I105" s="36">
        <v>45812</v>
      </c>
    </row>
    <row r="106" spans="1:10" x14ac:dyDescent="0.2">
      <c r="A106" s="28">
        <v>50004091</v>
      </c>
      <c r="B106" s="14" t="s">
        <v>2405</v>
      </c>
      <c r="C106" s="20">
        <v>0.12</v>
      </c>
      <c r="D106" s="15">
        <v>30045020</v>
      </c>
      <c r="E106" s="24" t="s">
        <v>2406</v>
      </c>
      <c r="F106" s="25" t="s">
        <v>2664</v>
      </c>
      <c r="G106" s="25">
        <v>935.15</v>
      </c>
      <c r="H106" s="25" t="s">
        <v>2956</v>
      </c>
      <c r="I106" s="36">
        <v>45812</v>
      </c>
    </row>
    <row r="107" spans="1:10" x14ac:dyDescent="0.2">
      <c r="A107" s="28">
        <v>50004092</v>
      </c>
      <c r="B107" s="14" t="s">
        <v>2407</v>
      </c>
      <c r="C107" s="20">
        <v>0.12</v>
      </c>
      <c r="D107" s="15">
        <v>30045090</v>
      </c>
      <c r="E107" s="24" t="s">
        <v>2408</v>
      </c>
      <c r="F107" s="25" t="s">
        <v>2722</v>
      </c>
      <c r="G107" s="25">
        <v>111.7</v>
      </c>
      <c r="H107" s="25" t="s">
        <v>2956</v>
      </c>
      <c r="I107" s="36">
        <v>45812</v>
      </c>
    </row>
    <row r="108" spans="1:10" x14ac:dyDescent="0.2">
      <c r="A108" s="28">
        <v>50004094</v>
      </c>
      <c r="B108" s="14" t="s">
        <v>2409</v>
      </c>
      <c r="C108" s="20">
        <v>0.05</v>
      </c>
      <c r="D108" s="15">
        <v>30049099</v>
      </c>
      <c r="E108" s="24" t="s">
        <v>2410</v>
      </c>
      <c r="F108" s="25" t="s">
        <v>2666</v>
      </c>
      <c r="G108" s="25">
        <v>419.25</v>
      </c>
      <c r="H108" s="25" t="s">
        <v>2956</v>
      </c>
      <c r="I108" s="36">
        <v>45812</v>
      </c>
      <c r="J108" s="91" t="s">
        <v>4700</v>
      </c>
    </row>
    <row r="109" spans="1:10" x14ac:dyDescent="0.2">
      <c r="A109" s="28">
        <v>50003093</v>
      </c>
      <c r="B109" s="14" t="s">
        <v>1824</v>
      </c>
      <c r="C109" s="20">
        <v>0.12</v>
      </c>
      <c r="D109" s="15">
        <v>30049087</v>
      </c>
      <c r="E109" s="24" t="s">
        <v>1825</v>
      </c>
      <c r="F109" s="25" t="s">
        <v>2724</v>
      </c>
      <c r="G109" s="25">
        <v>113.62</v>
      </c>
      <c r="H109" s="25" t="s">
        <v>2956</v>
      </c>
      <c r="I109" s="36">
        <v>45812</v>
      </c>
    </row>
    <row r="110" spans="1:10" x14ac:dyDescent="0.2">
      <c r="A110" s="69">
        <v>50002194</v>
      </c>
      <c r="B110" s="70" t="s">
        <v>233</v>
      </c>
      <c r="C110" s="71">
        <v>0.12</v>
      </c>
      <c r="D110" s="72">
        <v>30049099</v>
      </c>
      <c r="E110" s="73" t="s">
        <v>234</v>
      </c>
      <c r="F110" s="74" t="s">
        <v>2672</v>
      </c>
      <c r="G110" s="74">
        <v>57.34</v>
      </c>
      <c r="H110" s="74" t="s">
        <v>2956</v>
      </c>
      <c r="I110" s="75">
        <v>45812</v>
      </c>
    </row>
    <row r="111" spans="1:10" x14ac:dyDescent="0.2">
      <c r="A111" s="28">
        <v>50002193</v>
      </c>
      <c r="B111" s="14" t="s">
        <v>236</v>
      </c>
      <c r="C111" s="20">
        <v>0.12</v>
      </c>
      <c r="D111" s="15">
        <v>30049099</v>
      </c>
      <c r="E111" s="24" t="s">
        <v>237</v>
      </c>
      <c r="F111" s="25" t="s">
        <v>2672</v>
      </c>
      <c r="G111" s="25">
        <v>46.92</v>
      </c>
      <c r="H111" s="25" t="s">
        <v>2956</v>
      </c>
      <c r="I111" s="36">
        <v>45812</v>
      </c>
    </row>
    <row r="112" spans="1:10" x14ac:dyDescent="0.2">
      <c r="A112" s="28">
        <v>50003993</v>
      </c>
      <c r="B112" s="14" t="s">
        <v>2424</v>
      </c>
      <c r="C112" s="20">
        <v>0.12</v>
      </c>
      <c r="D112" s="15">
        <v>30049099</v>
      </c>
      <c r="E112" s="24" t="s">
        <v>2425</v>
      </c>
      <c r="F112" s="25" t="s">
        <v>2666</v>
      </c>
      <c r="G112" s="25">
        <v>69.180000000000007</v>
      </c>
      <c r="H112" s="60" t="s">
        <v>4145</v>
      </c>
      <c r="I112" s="36">
        <v>45842</v>
      </c>
    </row>
    <row r="113" spans="1:9" x14ac:dyDescent="0.2">
      <c r="A113" s="28">
        <v>50003994</v>
      </c>
      <c r="B113" s="14" t="s">
        <v>2426</v>
      </c>
      <c r="C113" s="20">
        <v>0.12</v>
      </c>
      <c r="D113" s="15">
        <v>30049099</v>
      </c>
      <c r="E113" s="24" t="s">
        <v>2427</v>
      </c>
      <c r="F113" s="25" t="s">
        <v>2666</v>
      </c>
      <c r="G113" s="25">
        <v>118.7</v>
      </c>
      <c r="H113" s="60" t="s">
        <v>4146</v>
      </c>
      <c r="I113" s="36">
        <v>45842</v>
      </c>
    </row>
    <row r="114" spans="1:9" x14ac:dyDescent="0.2">
      <c r="A114" s="28">
        <v>50002126</v>
      </c>
      <c r="B114" s="14" t="s">
        <v>1884</v>
      </c>
      <c r="C114" s="20">
        <v>0.18</v>
      </c>
      <c r="D114" s="15">
        <v>21069099</v>
      </c>
      <c r="E114" s="24" t="s">
        <v>1885</v>
      </c>
      <c r="F114" s="25" t="s">
        <v>2666</v>
      </c>
      <c r="G114" s="25">
        <v>243</v>
      </c>
      <c r="H114" s="60" t="s">
        <v>4146</v>
      </c>
      <c r="I114" s="36">
        <v>45856</v>
      </c>
    </row>
    <row r="115" spans="1:9" x14ac:dyDescent="0.2">
      <c r="A115" s="28">
        <v>50005166</v>
      </c>
      <c r="B115" s="14" t="s">
        <v>3308</v>
      </c>
      <c r="C115" s="20">
        <v>0.12</v>
      </c>
      <c r="D115" s="15">
        <v>30049069</v>
      </c>
      <c r="E115" s="24" t="s">
        <v>3320</v>
      </c>
      <c r="F115" s="25" t="s">
        <v>2666</v>
      </c>
      <c r="G115" s="25">
        <v>195</v>
      </c>
      <c r="H115" s="25" t="s">
        <v>2956</v>
      </c>
      <c r="I115" s="36">
        <v>45890</v>
      </c>
    </row>
    <row r="116" spans="1:9" x14ac:dyDescent="0.2">
      <c r="A116" s="28">
        <v>50005167</v>
      </c>
      <c r="B116" s="14" t="s">
        <v>3309</v>
      </c>
      <c r="C116" s="20">
        <v>0.12</v>
      </c>
      <c r="D116" s="15">
        <v>30049069</v>
      </c>
      <c r="E116" s="24" t="s">
        <v>3321</v>
      </c>
      <c r="F116" s="25" t="s">
        <v>2666</v>
      </c>
      <c r="G116" s="25">
        <v>269</v>
      </c>
      <c r="H116" s="25" t="s">
        <v>2956</v>
      </c>
      <c r="I116" s="36">
        <v>45890</v>
      </c>
    </row>
    <row r="117" spans="1:9" x14ac:dyDescent="0.2">
      <c r="A117" s="28">
        <v>50003831</v>
      </c>
      <c r="B117" s="14" t="s">
        <v>920</v>
      </c>
      <c r="C117" s="20">
        <v>0.12</v>
      </c>
      <c r="D117" s="15">
        <v>30049099</v>
      </c>
      <c r="E117" s="24" t="s">
        <v>921</v>
      </c>
      <c r="F117" s="25" t="s">
        <v>2693</v>
      </c>
      <c r="G117" s="25">
        <v>114.95</v>
      </c>
      <c r="H117" s="25" t="s">
        <v>2956</v>
      </c>
      <c r="I117" s="36">
        <v>45922</v>
      </c>
    </row>
    <row r="118" spans="1:9" x14ac:dyDescent="0.2">
      <c r="A118" s="28">
        <v>50003947</v>
      </c>
      <c r="B118" s="14" t="s">
        <v>927</v>
      </c>
      <c r="C118" s="20">
        <v>0.12</v>
      </c>
      <c r="D118" s="15">
        <v>30049099</v>
      </c>
      <c r="E118" s="24" t="s">
        <v>928</v>
      </c>
      <c r="F118" s="25" t="s">
        <v>2666</v>
      </c>
      <c r="G118" s="25">
        <v>184.25</v>
      </c>
      <c r="H118" s="25" t="s">
        <v>2956</v>
      </c>
      <c r="I118" s="36">
        <v>45922</v>
      </c>
    </row>
    <row r="119" spans="1:9" x14ac:dyDescent="0.2">
      <c r="A119" s="28">
        <v>50004951</v>
      </c>
      <c r="B119" s="14" t="s">
        <v>1079</v>
      </c>
      <c r="C119" s="20">
        <v>0.05</v>
      </c>
      <c r="D119" s="15">
        <v>30049081</v>
      </c>
      <c r="E119" s="24" t="s">
        <v>1080</v>
      </c>
      <c r="F119" s="25" t="s">
        <v>2666</v>
      </c>
      <c r="G119" s="25">
        <v>196.87</v>
      </c>
      <c r="H119" s="25" t="s">
        <v>4748</v>
      </c>
      <c r="I119" s="36"/>
    </row>
    <row r="120" spans="1:9" x14ac:dyDescent="0.2">
      <c r="A120" s="28">
        <v>50003948</v>
      </c>
      <c r="B120" s="14" t="s">
        <v>4300</v>
      </c>
      <c r="C120" s="20">
        <v>0.05</v>
      </c>
      <c r="D120" s="15">
        <v>30049092</v>
      </c>
      <c r="E120" s="24" t="s">
        <v>4301</v>
      </c>
      <c r="F120" s="25" t="s">
        <v>2682</v>
      </c>
      <c r="G120" s="25">
        <v>8651.5</v>
      </c>
      <c r="H120" s="25" t="s">
        <v>4870</v>
      </c>
      <c r="I120" s="36"/>
    </row>
    <row r="121" spans="1:9" x14ac:dyDescent="0.2">
      <c r="A121" s="28">
        <v>50003949</v>
      </c>
      <c r="B121" s="14" t="s">
        <v>4365</v>
      </c>
      <c r="C121" s="20">
        <v>0.05</v>
      </c>
      <c r="D121" s="15">
        <v>30049069</v>
      </c>
      <c r="E121" s="24" t="s">
        <v>4366</v>
      </c>
      <c r="F121" s="25" t="s">
        <v>2682</v>
      </c>
      <c r="G121" s="25">
        <v>15603</v>
      </c>
      <c r="H121" s="25" t="s">
        <v>4870</v>
      </c>
      <c r="I121" s="36"/>
    </row>
  </sheetData>
  <autoFilter ref="A1:I1"/>
  <conditionalFormatting sqref="A19">
    <cfRule type="duplicateValues" dxfId="104" priority="92"/>
  </conditionalFormatting>
  <conditionalFormatting sqref="A20:A21">
    <cfRule type="duplicateValues" dxfId="103" priority="91"/>
  </conditionalFormatting>
  <conditionalFormatting sqref="A22">
    <cfRule type="duplicateValues" dxfId="102" priority="89"/>
  </conditionalFormatting>
  <conditionalFormatting sqref="A23">
    <cfRule type="duplicateValues" dxfId="101" priority="90"/>
  </conditionalFormatting>
  <conditionalFormatting sqref="A24:A25">
    <cfRule type="duplicateValues" dxfId="100" priority="88"/>
  </conditionalFormatting>
  <conditionalFormatting sqref="A26">
    <cfRule type="duplicateValues" dxfId="99" priority="87"/>
  </conditionalFormatting>
  <conditionalFormatting sqref="A27">
    <cfRule type="duplicateValues" dxfId="98" priority="86"/>
  </conditionalFormatting>
  <conditionalFormatting sqref="A28">
    <cfRule type="duplicateValues" dxfId="97" priority="85"/>
  </conditionalFormatting>
  <conditionalFormatting sqref="A29">
    <cfRule type="duplicateValues" dxfId="96" priority="83"/>
    <cfRule type="duplicateValues" dxfId="95" priority="84"/>
  </conditionalFormatting>
  <conditionalFormatting sqref="A30">
    <cfRule type="duplicateValues" dxfId="94" priority="81"/>
    <cfRule type="duplicateValues" dxfId="93" priority="82"/>
  </conditionalFormatting>
  <conditionalFormatting sqref="A31">
    <cfRule type="duplicateValues" dxfId="92" priority="79"/>
    <cfRule type="duplicateValues" dxfId="91" priority="80"/>
  </conditionalFormatting>
  <conditionalFormatting sqref="A32:A33">
    <cfRule type="duplicateValues" dxfId="90" priority="77"/>
    <cfRule type="duplicateValues" dxfId="89" priority="78"/>
  </conditionalFormatting>
  <conditionalFormatting sqref="A34:A62">
    <cfRule type="duplicateValues" dxfId="88" priority="75"/>
    <cfRule type="duplicateValues" dxfId="87" priority="76"/>
  </conditionalFormatting>
  <conditionalFormatting sqref="A63:A68">
    <cfRule type="duplicateValues" dxfId="86" priority="73"/>
    <cfRule type="duplicateValues" dxfId="85" priority="74"/>
  </conditionalFormatting>
  <conditionalFormatting sqref="A69">
    <cfRule type="duplicateValues" dxfId="84" priority="71"/>
    <cfRule type="duplicateValues" dxfId="83" priority="72"/>
  </conditionalFormatting>
  <conditionalFormatting sqref="A70:A71">
    <cfRule type="duplicateValues" dxfId="82" priority="69"/>
    <cfRule type="duplicateValues" dxfId="81" priority="70"/>
  </conditionalFormatting>
  <conditionalFormatting sqref="A72">
    <cfRule type="duplicateValues" dxfId="80" priority="67"/>
    <cfRule type="duplicateValues" dxfId="79" priority="68"/>
  </conditionalFormatting>
  <conditionalFormatting sqref="A73:A74">
    <cfRule type="duplicateValues" dxfId="78" priority="65"/>
    <cfRule type="duplicateValues" dxfId="77" priority="66"/>
  </conditionalFormatting>
  <conditionalFormatting sqref="A75:A79">
    <cfRule type="duplicateValues" dxfId="76" priority="63"/>
    <cfRule type="duplicateValues" dxfId="75" priority="64"/>
  </conditionalFormatting>
  <conditionalFormatting sqref="A80">
    <cfRule type="duplicateValues" dxfId="74" priority="61"/>
    <cfRule type="duplicateValues" dxfId="73" priority="62"/>
  </conditionalFormatting>
  <conditionalFormatting sqref="A81">
    <cfRule type="duplicateValues" dxfId="72" priority="59"/>
    <cfRule type="duplicateValues" dxfId="71" priority="60"/>
  </conditionalFormatting>
  <conditionalFormatting sqref="A82">
    <cfRule type="duplicateValues" dxfId="70" priority="57"/>
    <cfRule type="duplicateValues" dxfId="69" priority="58"/>
  </conditionalFormatting>
  <conditionalFormatting sqref="A83:A84">
    <cfRule type="duplicateValues" dxfId="68" priority="55"/>
    <cfRule type="duplicateValues" dxfId="67" priority="56"/>
  </conditionalFormatting>
  <conditionalFormatting sqref="A85">
    <cfRule type="duplicateValues" dxfId="66" priority="53"/>
    <cfRule type="duplicateValues" dxfId="65" priority="54"/>
  </conditionalFormatting>
  <conditionalFormatting sqref="A86">
    <cfRule type="duplicateValues" dxfId="64" priority="51"/>
    <cfRule type="duplicateValues" dxfId="63" priority="52"/>
  </conditionalFormatting>
  <conditionalFormatting sqref="A87">
    <cfRule type="duplicateValues" dxfId="62" priority="49"/>
    <cfRule type="duplicateValues" dxfId="61" priority="50"/>
  </conditionalFormatting>
  <conditionalFormatting sqref="A88">
    <cfRule type="duplicateValues" dxfId="60" priority="47"/>
    <cfRule type="duplicateValues" dxfId="59" priority="48"/>
  </conditionalFormatting>
  <conditionalFormatting sqref="A89">
    <cfRule type="duplicateValues" dxfId="58" priority="45"/>
    <cfRule type="duplicateValues" dxfId="57" priority="46"/>
  </conditionalFormatting>
  <conditionalFormatting sqref="A90">
    <cfRule type="duplicateValues" dxfId="56" priority="43"/>
    <cfRule type="duplicateValues" dxfId="55" priority="44"/>
  </conditionalFormatting>
  <conditionalFormatting sqref="A91:A92">
    <cfRule type="duplicateValues" dxfId="54" priority="41"/>
    <cfRule type="duplicateValues" dxfId="53" priority="42"/>
  </conditionalFormatting>
  <conditionalFormatting sqref="A93">
    <cfRule type="duplicateValues" dxfId="52" priority="39"/>
    <cfRule type="duplicateValues" dxfId="51" priority="40"/>
  </conditionalFormatting>
  <conditionalFormatting sqref="A94">
    <cfRule type="duplicateValues" dxfId="50" priority="37"/>
    <cfRule type="duplicateValues" dxfId="49" priority="38"/>
  </conditionalFormatting>
  <conditionalFormatting sqref="A95">
    <cfRule type="duplicateValues" dxfId="48" priority="35"/>
    <cfRule type="duplicateValues" dxfId="47" priority="36"/>
  </conditionalFormatting>
  <conditionalFormatting sqref="A96">
    <cfRule type="duplicateValues" dxfId="46" priority="33"/>
    <cfRule type="duplicateValues" dxfId="45" priority="34"/>
  </conditionalFormatting>
  <conditionalFormatting sqref="A97">
    <cfRule type="duplicateValues" dxfId="44" priority="31"/>
    <cfRule type="duplicateValues" dxfId="43" priority="32"/>
  </conditionalFormatting>
  <conditionalFormatting sqref="A98:A99">
    <cfRule type="duplicateValues" dxfId="42" priority="29"/>
    <cfRule type="duplicateValues" dxfId="41" priority="30"/>
  </conditionalFormatting>
  <conditionalFormatting sqref="A100">
    <cfRule type="duplicateValues" dxfId="40" priority="27"/>
    <cfRule type="duplicateValues" dxfId="39" priority="28"/>
  </conditionalFormatting>
  <conditionalFormatting sqref="A101:A108">
    <cfRule type="duplicateValues" dxfId="38" priority="25"/>
    <cfRule type="duplicateValues" dxfId="37" priority="26"/>
  </conditionalFormatting>
  <conditionalFormatting sqref="A109">
    <cfRule type="duplicateValues" dxfId="36" priority="23"/>
    <cfRule type="duplicateValues" dxfId="35" priority="24"/>
  </conditionalFormatting>
  <conditionalFormatting sqref="A110:A111">
    <cfRule type="duplicateValues" dxfId="34" priority="21"/>
    <cfRule type="duplicateValues" dxfId="33" priority="22"/>
  </conditionalFormatting>
  <conditionalFormatting sqref="A2:A111">
    <cfRule type="duplicateValues" dxfId="32" priority="20"/>
  </conditionalFormatting>
  <conditionalFormatting sqref="A112:A113">
    <cfRule type="duplicateValues" dxfId="31" priority="18"/>
    <cfRule type="duplicateValues" dxfId="30" priority="19"/>
  </conditionalFormatting>
  <conditionalFormatting sqref="A114">
    <cfRule type="duplicateValues" dxfId="29" priority="16"/>
    <cfRule type="duplicateValues" dxfId="28" priority="17"/>
  </conditionalFormatting>
  <conditionalFormatting sqref="A115:A121">
    <cfRule type="duplicateValues" dxfId="27" priority="14"/>
    <cfRule type="duplicateValues" dxfId="26" priority="15"/>
  </conditionalFormatting>
  <conditionalFormatting sqref="B117:B121">
    <cfRule type="duplicateValues" dxfId="25" priority="10"/>
  </conditionalFormatting>
  <conditionalFormatting sqref="A117:A121">
    <cfRule type="duplicateValues" dxfId="24" priority="11"/>
    <cfRule type="duplicateValues" dxfId="23" priority="12"/>
  </conditionalFormatting>
  <conditionalFormatting sqref="A117:A121">
    <cfRule type="duplicateValues" dxfId="22" priority="13"/>
  </conditionalFormatting>
  <conditionalFormatting sqref="A119">
    <cfRule type="duplicateValues" dxfId="21" priority="8"/>
    <cfRule type="duplicateValues" dxfId="20" priority="9"/>
  </conditionalFormatting>
  <conditionalFormatting sqref="A120">
    <cfRule type="duplicateValues" dxfId="19" priority="3"/>
    <cfRule type="duplicateValues" dxfId="18" priority="4"/>
  </conditionalFormatting>
  <conditionalFormatting sqref="A120:A121">
    <cfRule type="duplicateValues" dxfId="17" priority="5"/>
    <cfRule type="duplicateValues" dxfId="16" priority="6"/>
  </conditionalFormatting>
  <conditionalFormatting sqref="A120:A121">
    <cfRule type="duplicateValues" dxfId="15" priority="7"/>
  </conditionalFormatting>
  <conditionalFormatting sqref="A121">
    <cfRule type="duplicateValues" dxfId="14" priority="1"/>
    <cfRule type="duplicateValues" dxfId="13" priority="2"/>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New Launch Products</vt:lpstr>
      <vt:lpstr>MAIN</vt:lpstr>
      <vt:lpstr>Pack Change</vt:lpstr>
      <vt:lpstr>DISCONTINUED</vt:lpstr>
      <vt:lpstr>MAIN!Print_Area</vt:lpstr>
      <vt:lpstr>MAIN!Print_Titles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Kanchan Verma/INSTITUTION BUSINESS/HO</dc:creator>
  <cp:lastModifiedBy>Shiv Gupta/PMT/HO</cp:lastModifiedBy>
  <cp:lastPrinted>2025-03-26T11:34:51Z</cp:lastPrinted>
  <dcterms:created xsi:type="dcterms:W3CDTF">2024-04-08T04:36:17Z</dcterms:created>
  <dcterms:modified xsi:type="dcterms:W3CDTF">2026-04-13T09:55:54Z</dcterms:modified>
</cp:coreProperties>
</file>